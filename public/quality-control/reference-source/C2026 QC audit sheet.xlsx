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srv-fs\Shares\Beach\Data\Harbour updates\3rd Audit scans\C2\C2026\C2026 QC3 data\"/>
    </mc:Choice>
  </mc:AlternateContent>
  <xr:revisionPtr revIDLastSave="0" documentId="13_ncr:1_{560E2823-4F39-4F1D-9389-20369015FF7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udit sheet validation" sheetId="26" r:id="rId1"/>
    <sheet name="Audit sheet" sheetId="25" r:id="rId2"/>
  </sheets>
  <definedNames>
    <definedName name="_xlnm._FilterDatabase" localSheetId="1" hidden="1">'Audit sheet'!$A$1:$G$847</definedName>
    <definedName name="Area">'Audit sheet validation'!$C$218:$C$506</definedName>
    <definedName name="CABIN___STUDY">'Audit sheet validation'!$R$3:$R$52</definedName>
    <definedName name="Compass_at_helm_position">'Audit sheet validation'!$Z$4:$Z$52</definedName>
    <definedName name="DECK_FITTINGS">'Audit sheet validation'!$T$3:$T$52</definedName>
    <definedName name="Description">'Audit sheet validation'!$D$218:$D$506</definedName>
    <definedName name="Discipine_Area">'Audit sheet validation'!$D$513:$D$782</definedName>
    <definedName name="Discipline_Areas">'Audit sheet validation'!$H$514:$H$763</definedName>
    <definedName name="Discipline_No.">'Audit sheet validation'!$C$513:$C$782</definedName>
    <definedName name="Discipline_Number">'Audit sheet validation'!$G$514:$G$527</definedName>
    <definedName name="ENGINE___CONTROLS">'Audit sheet validation'!$W$3:$W$52</definedName>
    <definedName name="Failure">'Audit sheet validation'!$B$218:$B$234</definedName>
    <definedName name="GALLEY_QC">'Audit sheet validation'!$P$3:$P$52</definedName>
    <definedName name="HEADS_COMPARTMENTS__ALL_CABINS">'Audit sheet validation'!$S$3:$S$52</definedName>
    <definedName name="Location">'Audit sheet validation'!$G$217:$G$242</definedName>
    <definedName name="MAST__RIGGING___SAILS">'Audit sheet validation'!$U$3:$U$52</definedName>
    <definedName name="NAVIGATION_CONSOLE_QC">'Audit sheet validation'!$Q$3:$Q$52</definedName>
    <definedName name="PLUMBING_INSTALLATION">'Audit sheet validation'!$V$3:$V$52</definedName>
    <definedName name="RUDDER___STEERING_SYSTEM_QC">'Audit sheet validation'!$X$3:$X$52</definedName>
    <definedName name="RUNNING_RIGGING_QC">'Audit sheet validation'!$AA$3:$AA$52</definedName>
    <definedName name="SALOON_QC">'Audit sheet validation'!$O$3:$O$52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2" i="25" l="1" a="1"/>
  <c r="M82" i="25" s="1"/>
  <c r="M29" i="25" a="1"/>
  <c r="M40" i="25" a="1"/>
  <c r="M40" i="25" s="1"/>
  <c r="M219" i="25" a="1"/>
  <c r="M185" i="25" a="1"/>
  <c r="M155" i="25" a="1"/>
  <c r="M155" i="25" s="1"/>
  <c r="M118" i="25" a="1"/>
  <c r="M118" i="25" s="1"/>
  <c r="M85" i="25" a="1"/>
  <c r="M85" i="25" s="1"/>
  <c r="M59" i="25" a="1"/>
  <c r="M59" i="25" s="1"/>
  <c r="M97" i="25" a="1"/>
  <c r="M90" i="25" a="1"/>
  <c r="M90" i="25" s="1"/>
  <c r="M77" i="25" a="1"/>
  <c r="M46" i="25" a="1"/>
  <c r="M170" i="25" a="1"/>
  <c r="M170" i="25" s="1"/>
  <c r="M201" i="25" a="1"/>
  <c r="M201" i="25" s="1"/>
  <c r="M200" i="25" a="1"/>
  <c r="M200" i="25" s="1"/>
  <c r="M491" i="25" a="1"/>
  <c r="M491" i="25" s="1"/>
  <c r="M455" i="25" a="1"/>
  <c r="M416" i="25" a="1"/>
  <c r="M416" i="25" s="1"/>
  <c r="M383" i="25" a="1"/>
  <c r="M343" i="25" a="1"/>
  <c r="M306" i="25" a="1"/>
  <c r="M306" i="25" s="1"/>
  <c r="M268" i="25" a="1"/>
  <c r="M268" i="25" s="1"/>
  <c r="M161" i="25" a="1"/>
  <c r="M161" i="25" s="1"/>
  <c r="M1" i="25" a="1"/>
  <c r="M1" i="25" s="1"/>
  <c r="M2" i="25" a="1"/>
  <c r="M3" i="25" a="1"/>
  <c r="M3" i="25" s="1"/>
  <c r="M4" i="25" a="1"/>
  <c r="M5" i="25" a="1"/>
  <c r="M5" i="25" s="1"/>
  <c r="M7" i="25" a="1"/>
  <c r="M7" i="25" s="1"/>
  <c r="M8" i="25" a="1"/>
  <c r="M8" i="25" s="1"/>
  <c r="M9" i="25" a="1"/>
  <c r="M9" i="25" s="1"/>
  <c r="M10" i="25" a="1"/>
  <c r="M10" i="25" s="1"/>
  <c r="M11" i="25" a="1"/>
  <c r="M12" i="25" a="1"/>
  <c r="M12" i="25" s="1"/>
  <c r="M14" i="25" a="1"/>
  <c r="M25" i="25" a="1"/>
  <c r="M26" i="25" a="1"/>
  <c r="M27" i="25" a="1"/>
  <c r="M27" i="25" s="1"/>
  <c r="M30" i="25" a="1"/>
  <c r="M30" i="25" s="1"/>
  <c r="M31" i="25" a="1"/>
  <c r="M32" i="25" a="1"/>
  <c r="M33" i="25" a="1"/>
  <c r="M33" i="25" s="1"/>
  <c r="M34" i="25" a="1"/>
  <c r="M35" i="25" a="1"/>
  <c r="M35" i="25" s="1"/>
  <c r="M38" i="25" a="1"/>
  <c r="M38" i="25" s="1"/>
  <c r="M39" i="25" a="1"/>
  <c r="M39" i="25" s="1"/>
  <c r="M41" i="25" a="1"/>
  <c r="M41" i="25" s="1"/>
  <c r="M44" i="25" a="1"/>
  <c r="M44" i="25" s="1"/>
  <c r="M48" i="25" a="1"/>
  <c r="M49" i="25" a="1"/>
  <c r="M50" i="25" a="1"/>
  <c r="M51" i="25" a="1"/>
  <c r="M52" i="25" a="1"/>
  <c r="M52" i="25" s="1"/>
  <c r="M54" i="25" a="1"/>
  <c r="M54" i="25" s="1"/>
  <c r="M55" i="25" a="1"/>
  <c r="M55" i="25" s="1"/>
  <c r="M56" i="25" a="1"/>
  <c r="M56" i="25" s="1"/>
  <c r="M57" i="25" a="1"/>
  <c r="M58" i="25" a="1"/>
  <c r="M58" i="25" s="1"/>
  <c r="M60" i="25" a="1"/>
  <c r="M61" i="25" a="1"/>
  <c r="M62" i="25" a="1"/>
  <c r="M63" i="25" a="1"/>
  <c r="M63" i="25" s="1"/>
  <c r="M64" i="25" a="1"/>
  <c r="M64" i="25" s="1"/>
  <c r="M65" i="25" a="1"/>
  <c r="M65" i="25" s="1"/>
  <c r="M66" i="25" a="1"/>
  <c r="M67" i="25" a="1"/>
  <c r="M70" i="25" a="1"/>
  <c r="M71" i="25" a="1"/>
  <c r="M71" i="25" s="1"/>
  <c r="M73" i="25" a="1"/>
  <c r="M73" i="25" s="1"/>
  <c r="M75" i="25" a="1"/>
  <c r="M75" i="25" s="1"/>
  <c r="M76" i="25" a="1"/>
  <c r="M76" i="25" s="1"/>
  <c r="M78" i="25" a="1"/>
  <c r="M78" i="25" s="1"/>
  <c r="M79" i="25" a="1"/>
  <c r="M79" i="25" s="1"/>
  <c r="M80" i="25" a="1"/>
  <c r="M80" i="25" s="1"/>
  <c r="M81" i="25" a="1"/>
  <c r="M83" i="25" a="1"/>
  <c r="M83" i="25" s="1"/>
  <c r="M86" i="25" a="1"/>
  <c r="M86" i="25" s="1"/>
  <c r="M87" i="25" a="1"/>
  <c r="M87" i="25" s="1"/>
  <c r="M88" i="25" a="1"/>
  <c r="M88" i="25" s="1"/>
  <c r="M89" i="25" a="1"/>
  <c r="M89" i="25" s="1"/>
  <c r="M91" i="25" a="1"/>
  <c r="M92" i="25" a="1"/>
  <c r="M92" i="25" s="1"/>
  <c r="M93" i="25" a="1"/>
  <c r="M93" i="25" s="1"/>
  <c r="M94" i="25" a="1"/>
  <c r="M95" i="25" a="1"/>
  <c r="M95" i="25" s="1"/>
  <c r="M96" i="25" a="1"/>
  <c r="M96" i="25" s="1"/>
  <c r="M98" i="25" a="1"/>
  <c r="M98" i="25" s="1"/>
  <c r="M99" i="25" a="1"/>
  <c r="M99" i="25" s="1"/>
  <c r="M100" i="25" a="1"/>
  <c r="M101" i="25" a="1"/>
  <c r="M101" i="25" s="1"/>
  <c r="M102" i="25" a="1"/>
  <c r="M103" i="25" a="1"/>
  <c r="M104" i="25" a="1"/>
  <c r="M104" i="25" s="1"/>
  <c r="M105" i="25" a="1"/>
  <c r="M105" i="25" s="1"/>
  <c r="M106" i="25" a="1"/>
  <c r="M106" i="25" s="1"/>
  <c r="M107" i="25" a="1"/>
  <c r="M107" i="25" s="1"/>
  <c r="M108" i="25" a="1"/>
  <c r="M109" i="25" a="1"/>
  <c r="M109" i="25" s="1"/>
  <c r="M110" i="25" a="1"/>
  <c r="M111" i="25" a="1"/>
  <c r="M111" i="25" s="1"/>
  <c r="M114" i="25" a="1"/>
  <c r="M114" i="25" s="1"/>
  <c r="M115" i="25" a="1"/>
  <c r="M115" i="25" s="1"/>
  <c r="M116" i="25" a="1"/>
  <c r="M116" i="25" s="1"/>
  <c r="M117" i="25" a="1"/>
  <c r="M117" i="25" s="1"/>
  <c r="M119" i="25" a="1"/>
  <c r="M120" i="25" a="1"/>
  <c r="M120" i="25" s="1"/>
  <c r="M121" i="25" a="1"/>
  <c r="M121" i="25" s="1"/>
  <c r="M122" i="25" a="1"/>
  <c r="M123" i="25" a="1"/>
  <c r="M124" i="25" a="1"/>
  <c r="M124" i="25" s="1"/>
  <c r="M133" i="25" a="1"/>
  <c r="M133" i="25" s="1"/>
  <c r="M134" i="25" a="1"/>
  <c r="M134" i="25" s="1"/>
  <c r="M138" i="25" a="1"/>
  <c r="M138" i="25" s="1"/>
  <c r="M139" i="25" a="1"/>
  <c r="M139" i="25" s="1"/>
  <c r="M157" i="25" a="1"/>
  <c r="M157" i="25" s="1"/>
  <c r="M158" i="25" a="1"/>
  <c r="M159" i="25" a="1"/>
  <c r="M159" i="25" s="1"/>
  <c r="M160" i="25" a="1"/>
  <c r="M160" i="25" s="1"/>
  <c r="M162" i="25" a="1"/>
  <c r="M162" i="25" s="1"/>
  <c r="M163" i="25" a="1"/>
  <c r="M163" i="25" s="1"/>
  <c r="M164" i="25" a="1"/>
  <c r="M165" i="25" a="1"/>
  <c r="M165" i="25" s="1"/>
  <c r="M166" i="25" a="1"/>
  <c r="M166" i="25" s="1"/>
  <c r="M167" i="25" a="1"/>
  <c r="M167" i="25" s="1"/>
  <c r="M168" i="25" a="1"/>
  <c r="M168" i="25" s="1"/>
  <c r="M169" i="25" a="1"/>
  <c r="M169" i="25" s="1"/>
  <c r="M171" i="25" a="1"/>
  <c r="M171" i="25" s="1"/>
  <c r="M182" i="25" a="1"/>
  <c r="M182" i="25" s="1"/>
  <c r="M183" i="25" a="1"/>
  <c r="M183" i="25" s="1"/>
  <c r="M184" i="25" a="1"/>
  <c r="M184" i="25" s="1"/>
  <c r="M186" i="25" a="1"/>
  <c r="M186" i="25" s="1"/>
  <c r="M187" i="25" a="1"/>
  <c r="M187" i="25" s="1"/>
  <c r="M188" i="25" a="1"/>
  <c r="M188" i="25" s="1"/>
  <c r="M189" i="25" a="1"/>
  <c r="M189" i="25" s="1"/>
  <c r="M190" i="25" a="1"/>
  <c r="M190" i="25" s="1"/>
  <c r="M191" i="25" a="1"/>
  <c r="M191" i="25" s="1"/>
  <c r="M192" i="25" a="1"/>
  <c r="M192" i="25" s="1"/>
  <c r="M193" i="25" a="1"/>
  <c r="M194" i="25" a="1"/>
  <c r="M194" i="25" s="1"/>
  <c r="M195" i="25" a="1"/>
  <c r="M195" i="25" s="1"/>
  <c r="M196" i="25" a="1"/>
  <c r="M196" i="25" s="1"/>
  <c r="M198" i="25" a="1"/>
  <c r="M198" i="25" s="1"/>
  <c r="M199" i="25" a="1"/>
  <c r="M202" i="25" a="1"/>
  <c r="M202" i="25" s="1"/>
  <c r="M203" i="25" a="1"/>
  <c r="M204" i="25" a="1"/>
  <c r="M204" i="25" s="1"/>
  <c r="M205" i="25" a="1"/>
  <c r="M205" i="25" s="1"/>
  <c r="M206" i="25" a="1"/>
  <c r="M206" i="25" s="1"/>
  <c r="M207" i="25" a="1"/>
  <c r="M207" i="25" s="1"/>
  <c r="M208" i="25" a="1"/>
  <c r="M208" i="25" s="1"/>
  <c r="M209" i="25" a="1"/>
  <c r="M209" i="25" s="1"/>
  <c r="M210" i="25" a="1"/>
  <c r="M210" i="25" s="1"/>
  <c r="M211" i="25" a="1"/>
  <c r="M211" i="25" s="1"/>
  <c r="M212" i="25" a="1"/>
  <c r="M212" i="25" s="1"/>
  <c r="M213" i="25" a="1"/>
  <c r="M213" i="25" s="1"/>
  <c r="M214" i="25" a="1"/>
  <c r="M215" i="25" a="1"/>
  <c r="M215" i="25" s="1"/>
  <c r="M218" i="25" a="1"/>
  <c r="M218" i="25" s="1"/>
  <c r="M220" i="25" a="1"/>
  <c r="M220" i="25" s="1"/>
  <c r="M221" i="25" a="1"/>
  <c r="M221" i="25" s="1"/>
  <c r="M222" i="25" a="1"/>
  <c r="M222" i="25" s="1"/>
  <c r="M223" i="25" a="1"/>
  <c r="M223" i="25" s="1"/>
  <c r="M224" i="25" a="1"/>
  <c r="M224" i="25" s="1"/>
  <c r="M225" i="25" a="1"/>
  <c r="M225" i="25" s="1"/>
  <c r="M226" i="25" a="1"/>
  <c r="M226" i="25" s="1"/>
  <c r="M227" i="25" a="1"/>
  <c r="M227" i="25" s="1"/>
  <c r="M228" i="25" a="1"/>
  <c r="M228" i="25" s="1"/>
  <c r="M229" i="25" a="1"/>
  <c r="M229" i="25" s="1"/>
  <c r="M230" i="25" a="1"/>
  <c r="M230" i="25" s="1"/>
  <c r="M231" i="25" a="1"/>
  <c r="M232" i="25" a="1"/>
  <c r="M232" i="25" s="1"/>
  <c r="M233" i="25" a="1"/>
  <c r="M233" i="25" s="1"/>
  <c r="M234" i="25" a="1"/>
  <c r="M234" i="25" s="1"/>
  <c r="M235" i="25" a="1"/>
  <c r="M235" i="25" s="1"/>
  <c r="M236" i="25" a="1"/>
  <c r="M236" i="25" s="1"/>
  <c r="M237" i="25" a="1"/>
  <c r="M237" i="25" s="1"/>
  <c r="M238" i="25" a="1"/>
  <c r="M238" i="25" s="1"/>
  <c r="M239" i="25" a="1"/>
  <c r="M239" i="25" s="1"/>
  <c r="M240" i="25" a="1"/>
  <c r="M240" i="25" s="1"/>
  <c r="M241" i="25" a="1"/>
  <c r="M241" i="25" s="1"/>
  <c r="M242" i="25" a="1"/>
  <c r="M242" i="25" s="1"/>
  <c r="M249" i="25" a="1"/>
  <c r="M249" i="25" s="1"/>
  <c r="M250" i="25" a="1"/>
  <c r="M250" i="25" s="1"/>
  <c r="M251" i="25" a="1"/>
  <c r="M251" i="25" s="1"/>
  <c r="M252" i="25" a="1"/>
  <c r="M253" i="25" a="1"/>
  <c r="M253" i="25" s="1"/>
  <c r="M254" i="25" a="1"/>
  <c r="M254" i="25" s="1"/>
  <c r="M255" i="25" a="1"/>
  <c r="M255" i="25" s="1"/>
  <c r="M256" i="25" a="1"/>
  <c r="M257" i="25" a="1"/>
  <c r="M258" i="25" a="1"/>
  <c r="M258" i="25" s="1"/>
  <c r="M259" i="25" a="1"/>
  <c r="M259" i="25" s="1"/>
  <c r="M260" i="25" a="1"/>
  <c r="M260" i="25" s="1"/>
  <c r="M261" i="25" a="1"/>
  <c r="M261" i="25" s="1"/>
  <c r="M262" i="25" a="1"/>
  <c r="M262" i="25" s="1"/>
  <c r="M263" i="25" a="1"/>
  <c r="M263" i="25" s="1"/>
  <c r="M264" i="25" a="1"/>
  <c r="M264" i="25" s="1"/>
  <c r="M265" i="25" a="1"/>
  <c r="M265" i="25" s="1"/>
  <c r="M266" i="25" a="1"/>
  <c r="M266" i="25" s="1"/>
  <c r="M267" i="25" a="1"/>
  <c r="M267" i="25" s="1"/>
  <c r="M269" i="25" a="1"/>
  <c r="M269" i="25" s="1"/>
  <c r="M270" i="25" a="1"/>
  <c r="M270" i="25" s="1"/>
  <c r="M271" i="25" a="1"/>
  <c r="M271" i="25" s="1"/>
  <c r="M272" i="25" a="1"/>
  <c r="M272" i="25" s="1"/>
  <c r="M273" i="25" a="1"/>
  <c r="M273" i="25" s="1"/>
  <c r="M274" i="25" a="1"/>
  <c r="M274" i="25" s="1"/>
  <c r="M275" i="25" a="1"/>
  <c r="M275" i="25" s="1"/>
  <c r="M276" i="25" a="1"/>
  <c r="M276" i="25" s="1"/>
  <c r="M277" i="25" a="1"/>
  <c r="M277" i="25" s="1"/>
  <c r="M278" i="25" a="1"/>
  <c r="M278" i="25" s="1"/>
  <c r="M279" i="25" a="1"/>
  <c r="M279" i="25" s="1"/>
  <c r="M280" i="25" a="1"/>
  <c r="M280" i="25" s="1"/>
  <c r="M281" i="25" a="1"/>
  <c r="M281" i="25" s="1"/>
  <c r="M282" i="25" a="1"/>
  <c r="M282" i="25" s="1"/>
  <c r="M283" i="25" a="1"/>
  <c r="M283" i="25" s="1"/>
  <c r="M284" i="25" a="1"/>
  <c r="M284" i="25" s="1"/>
  <c r="M285" i="25" a="1"/>
  <c r="M285" i="25" s="1"/>
  <c r="M286" i="25" a="1"/>
  <c r="M286" i="25" s="1"/>
  <c r="M287" i="25" a="1"/>
  <c r="M287" i="25" s="1"/>
  <c r="M288" i="25" a="1"/>
  <c r="M288" i="25" s="1"/>
  <c r="M289" i="25" a="1"/>
  <c r="M289" i="25" s="1"/>
  <c r="M290" i="25" a="1"/>
  <c r="M290" i="25" s="1"/>
  <c r="M291" i="25" a="1"/>
  <c r="M291" i="25" s="1"/>
  <c r="M292" i="25" a="1"/>
  <c r="M292" i="25" s="1"/>
  <c r="M293" i="25" a="1"/>
  <c r="M293" i="25" s="1"/>
  <c r="M294" i="25" a="1"/>
  <c r="M294" i="25" s="1"/>
  <c r="M295" i="25" a="1"/>
  <c r="M295" i="25" s="1"/>
  <c r="M296" i="25" a="1"/>
  <c r="M297" i="25" a="1"/>
  <c r="M298" i="25" a="1"/>
  <c r="M298" i="25" s="1"/>
  <c r="M299" i="25" a="1"/>
  <c r="M299" i="25" s="1"/>
  <c r="M300" i="25" a="1"/>
  <c r="M300" i="25" s="1"/>
  <c r="M301" i="25" a="1"/>
  <c r="M301" i="25" s="1"/>
  <c r="M302" i="25" a="1"/>
  <c r="M302" i="25" s="1"/>
  <c r="M303" i="25" a="1"/>
  <c r="M303" i="25" s="1"/>
  <c r="M304" i="25" a="1"/>
  <c r="M304" i="25" s="1"/>
  <c r="M307" i="25" a="1"/>
  <c r="M307" i="25" s="1"/>
  <c r="M308" i="25" a="1"/>
  <c r="M308" i="25" s="1"/>
  <c r="M309" i="25" a="1"/>
  <c r="M309" i="25" s="1"/>
  <c r="M310" i="25" a="1"/>
  <c r="M310" i="25" s="1"/>
  <c r="M311" i="25" a="1"/>
  <c r="M311" i="25" s="1"/>
  <c r="M312" i="25" a="1"/>
  <c r="M312" i="25" s="1"/>
  <c r="M313" i="25" a="1"/>
  <c r="M313" i="25" s="1"/>
  <c r="M314" i="25" a="1"/>
  <c r="M314" i="25" s="1"/>
  <c r="M315" i="25" a="1"/>
  <c r="M315" i="25" s="1"/>
  <c r="M316" i="25" a="1"/>
  <c r="M316" i="25" s="1"/>
  <c r="M317" i="25" a="1"/>
  <c r="M317" i="25" s="1"/>
  <c r="M318" i="25" a="1"/>
  <c r="M318" i="25" s="1"/>
  <c r="M319" i="25" a="1"/>
  <c r="M319" i="25" s="1"/>
  <c r="M320" i="25" a="1"/>
  <c r="M321" i="25" a="1"/>
  <c r="M321" i="25" s="1"/>
  <c r="M322" i="25" a="1"/>
  <c r="M322" i="25" s="1"/>
  <c r="M323" i="25" a="1"/>
  <c r="M323" i="25" s="1"/>
  <c r="M324" i="25" a="1"/>
  <c r="M324" i="25" s="1"/>
  <c r="M325" i="25" a="1"/>
  <c r="M325" i="25" s="1"/>
  <c r="M326" i="25" a="1"/>
  <c r="M326" i="25" s="1"/>
  <c r="M327" i="25" a="1"/>
  <c r="M327" i="25" s="1"/>
  <c r="M328" i="25" a="1"/>
  <c r="M328" i="25" s="1"/>
  <c r="M329" i="25" a="1"/>
  <c r="M330" i="25" a="1"/>
  <c r="M330" i="25" s="1"/>
  <c r="M331" i="25" a="1"/>
  <c r="M331" i="25" s="1"/>
  <c r="M332" i="25" a="1"/>
  <c r="M332" i="25" s="1"/>
  <c r="M333" i="25" a="1"/>
  <c r="M333" i="25" s="1"/>
  <c r="M334" i="25" a="1"/>
  <c r="M334" i="25" s="1"/>
  <c r="M335" i="25" a="1"/>
  <c r="M335" i="25" s="1"/>
  <c r="M336" i="25" a="1"/>
  <c r="M336" i="25" s="1"/>
  <c r="M337" i="25" a="1"/>
  <c r="M337" i="25" s="1"/>
  <c r="M338" i="25" a="1"/>
  <c r="M338" i="25" s="1"/>
  <c r="M339" i="25" a="1"/>
  <c r="M340" i="25" a="1"/>
  <c r="M340" i="25" s="1"/>
  <c r="M342" i="25" a="1"/>
  <c r="M342" i="25" s="1"/>
  <c r="M344" i="25" a="1"/>
  <c r="M344" i="25" s="1"/>
  <c r="M345" i="25" a="1"/>
  <c r="M346" i="25" a="1"/>
  <c r="M346" i="25" s="1"/>
  <c r="M347" i="25" a="1"/>
  <c r="M347" i="25" s="1"/>
  <c r="M348" i="25" a="1"/>
  <c r="M348" i="25" s="1"/>
  <c r="M349" i="25" a="1"/>
  <c r="M349" i="25" s="1"/>
  <c r="M350" i="25" a="1"/>
  <c r="M350" i="25" s="1"/>
  <c r="M351" i="25" a="1"/>
  <c r="M351" i="25" s="1"/>
  <c r="M352" i="25" a="1"/>
  <c r="M352" i="25" s="1"/>
  <c r="M353" i="25" a="1"/>
  <c r="M353" i="25" s="1"/>
  <c r="M354" i="25" a="1"/>
  <c r="M354" i="25" s="1"/>
  <c r="M355" i="25" a="1"/>
  <c r="M355" i="25" s="1"/>
  <c r="M356" i="25" a="1"/>
  <c r="M356" i="25" s="1"/>
  <c r="M357" i="25" a="1"/>
  <c r="M357" i="25" s="1"/>
  <c r="M358" i="25" a="1"/>
  <c r="M358" i="25" s="1"/>
  <c r="M359" i="25" a="1"/>
  <c r="M359" i="25" s="1"/>
  <c r="M360" i="25" a="1"/>
  <c r="M360" i="25" s="1"/>
  <c r="M361" i="25" a="1"/>
  <c r="M361" i="25" s="1"/>
  <c r="M362" i="25" a="1"/>
  <c r="M362" i="25" s="1"/>
  <c r="M363" i="25" a="1"/>
  <c r="M363" i="25" s="1"/>
  <c r="M364" i="25" a="1"/>
  <c r="M364" i="25" s="1"/>
  <c r="M365" i="25" a="1"/>
  <c r="M365" i="25" s="1"/>
  <c r="M366" i="25" a="1"/>
  <c r="M366" i="25" s="1"/>
  <c r="M367" i="25" a="1"/>
  <c r="M367" i="25" s="1"/>
  <c r="M368" i="25" a="1"/>
  <c r="M368" i="25" s="1"/>
  <c r="M369" i="25" a="1"/>
  <c r="M369" i="25" s="1"/>
  <c r="M370" i="25" a="1"/>
  <c r="M370" i="25" s="1"/>
  <c r="M371" i="25" a="1"/>
  <c r="M372" i="25" a="1"/>
  <c r="M372" i="25" s="1"/>
  <c r="M373" i="25" a="1"/>
  <c r="M373" i="25" s="1"/>
  <c r="M374" i="25" a="1"/>
  <c r="M374" i="25" s="1"/>
  <c r="M375" i="25" a="1"/>
  <c r="M375" i="25" s="1"/>
  <c r="M376" i="25" a="1"/>
  <c r="M376" i="25" s="1"/>
  <c r="M377" i="25" a="1"/>
  <c r="M377" i="25" s="1"/>
  <c r="M378" i="25" a="1"/>
  <c r="M378" i="25" s="1"/>
  <c r="M379" i="25" a="1"/>
  <c r="M379" i="25" s="1"/>
  <c r="M381" i="25" a="1"/>
  <c r="M381" i="25" s="1"/>
  <c r="M382" i="25" a="1"/>
  <c r="M382" i="25" s="1"/>
  <c r="M384" i="25" a="1"/>
  <c r="M384" i="25" s="1"/>
  <c r="M385" i="25" a="1"/>
  <c r="M385" i="25" s="1"/>
  <c r="M386" i="25" a="1"/>
  <c r="M386" i="25" s="1"/>
  <c r="M387" i="25" a="1"/>
  <c r="M387" i="25" s="1"/>
  <c r="M388" i="25" a="1"/>
  <c r="M388" i="25" s="1"/>
  <c r="M389" i="25" a="1"/>
  <c r="M389" i="25" s="1"/>
  <c r="M390" i="25" a="1"/>
  <c r="M390" i="25" s="1"/>
  <c r="M391" i="25" a="1"/>
  <c r="M391" i="25" s="1"/>
  <c r="M392" i="25" a="1"/>
  <c r="M392" i="25" s="1"/>
  <c r="M393" i="25" a="1"/>
  <c r="M393" i="25" s="1"/>
  <c r="M394" i="25" a="1"/>
  <c r="M394" i="25" s="1"/>
  <c r="M395" i="25" a="1"/>
  <c r="M395" i="25" s="1"/>
  <c r="M396" i="25" a="1"/>
  <c r="M396" i="25" s="1"/>
  <c r="M397" i="25" a="1"/>
  <c r="M397" i="25" s="1"/>
  <c r="M398" i="25" a="1"/>
  <c r="M398" i="25" s="1"/>
  <c r="M399" i="25" a="1"/>
  <c r="M399" i="25" s="1"/>
  <c r="M400" i="25" a="1"/>
  <c r="M400" i="25" s="1"/>
  <c r="M401" i="25" a="1"/>
  <c r="M401" i="25" s="1"/>
  <c r="M402" i="25" a="1"/>
  <c r="M402" i="25" s="1"/>
  <c r="M403" i="25" a="1"/>
  <c r="M403" i="25" s="1"/>
  <c r="M404" i="25" a="1"/>
  <c r="M404" i="25" s="1"/>
  <c r="M405" i="25" a="1"/>
  <c r="M405" i="25" s="1"/>
  <c r="M406" i="25" a="1"/>
  <c r="M406" i="25" s="1"/>
  <c r="M407" i="25" a="1"/>
  <c r="M407" i="25" s="1"/>
  <c r="M408" i="25" a="1"/>
  <c r="M408" i="25" s="1"/>
  <c r="M409" i="25" a="1"/>
  <c r="M409" i="25" s="1"/>
  <c r="M410" i="25" a="1"/>
  <c r="M410" i="25" s="1"/>
  <c r="M411" i="25" a="1"/>
  <c r="M411" i="25" s="1"/>
  <c r="M412" i="25" a="1"/>
  <c r="M412" i="25" s="1"/>
  <c r="M414" i="25" a="1"/>
  <c r="M414" i="25" s="1"/>
  <c r="M415" i="25" a="1"/>
  <c r="M415" i="25" s="1"/>
  <c r="M417" i="25" a="1"/>
  <c r="M417" i="25" s="1"/>
  <c r="M418" i="25" a="1"/>
  <c r="M418" i="25" s="1"/>
  <c r="M419" i="25" a="1"/>
  <c r="M419" i="25" s="1"/>
  <c r="M420" i="25" a="1"/>
  <c r="M420" i="25" s="1"/>
  <c r="M421" i="25" a="1"/>
  <c r="M421" i="25" s="1"/>
  <c r="M422" i="25" a="1"/>
  <c r="M422" i="25" s="1"/>
  <c r="M423" i="25" a="1"/>
  <c r="M423" i="25" s="1"/>
  <c r="M424" i="25" a="1"/>
  <c r="M424" i="25" s="1"/>
  <c r="M425" i="25" a="1"/>
  <c r="M425" i="25" s="1"/>
  <c r="M426" i="25" a="1"/>
  <c r="M426" i="25" s="1"/>
  <c r="M427" i="25" a="1"/>
  <c r="M427" i="25" s="1"/>
  <c r="M428" i="25" a="1"/>
  <c r="M428" i="25" s="1"/>
  <c r="M429" i="25" a="1"/>
  <c r="M429" i="25" s="1"/>
  <c r="M430" i="25" a="1"/>
  <c r="M430" i="25" s="1"/>
  <c r="M431" i="25" a="1"/>
  <c r="M431" i="25" s="1"/>
  <c r="M432" i="25" a="1"/>
  <c r="M432" i="25" s="1"/>
  <c r="M433" i="25" a="1"/>
  <c r="M433" i="25" s="1"/>
  <c r="M434" i="25" a="1"/>
  <c r="M434" i="25" s="1"/>
  <c r="M435" i="25" a="1"/>
  <c r="M435" i="25" s="1"/>
  <c r="M436" i="25" a="1"/>
  <c r="M436" i="25" s="1"/>
  <c r="M437" i="25" a="1"/>
  <c r="M437" i="25" s="1"/>
  <c r="M438" i="25" a="1"/>
  <c r="M438" i="25" s="1"/>
  <c r="M439" i="25" a="1"/>
  <c r="M439" i="25" s="1"/>
  <c r="M440" i="25" a="1"/>
  <c r="M440" i="25" s="1"/>
  <c r="M441" i="25" a="1"/>
  <c r="M441" i="25" s="1"/>
  <c r="M442" i="25" a="1"/>
  <c r="M442" i="25" s="1"/>
  <c r="M443" i="25" a="1"/>
  <c r="M443" i="25" s="1"/>
  <c r="M444" i="25" a="1"/>
  <c r="M444" i="25" s="1"/>
  <c r="M445" i="25" a="1"/>
  <c r="M445" i="25" s="1"/>
  <c r="M446" i="25" a="1"/>
  <c r="M446" i="25" s="1"/>
  <c r="M447" i="25" a="1"/>
  <c r="M447" i="25" s="1"/>
  <c r="M448" i="25" a="1"/>
  <c r="M448" i="25" s="1"/>
  <c r="M449" i="25" a="1"/>
  <c r="M449" i="25" s="1"/>
  <c r="M450" i="25" a="1"/>
  <c r="M450" i="25" s="1"/>
  <c r="M451" i="25" a="1"/>
  <c r="M451" i="25" s="1"/>
  <c r="M452" i="25" a="1"/>
  <c r="M452" i="25" s="1"/>
  <c r="M454" i="25" a="1"/>
  <c r="M454" i="25" s="1"/>
  <c r="M456" i="25" a="1"/>
  <c r="M456" i="25" s="1"/>
  <c r="M457" i="25" a="1"/>
  <c r="M457" i="25" s="1"/>
  <c r="M458" i="25" a="1"/>
  <c r="M458" i="25" s="1"/>
  <c r="M459" i="25" a="1"/>
  <c r="M459" i="25" s="1"/>
  <c r="M460" i="25" a="1"/>
  <c r="M460" i="25" s="1"/>
  <c r="M461" i="25" a="1"/>
  <c r="M461" i="25" s="1"/>
  <c r="M462" i="25" a="1"/>
  <c r="M462" i="25" s="1"/>
  <c r="M463" i="25" a="1"/>
  <c r="M463" i="25" s="1"/>
  <c r="M464" i="25" a="1"/>
  <c r="M464" i="25" s="1"/>
  <c r="M465" i="25" a="1"/>
  <c r="M465" i="25" s="1"/>
  <c r="M466" i="25" a="1"/>
  <c r="M466" i="25" s="1"/>
  <c r="M467" i="25" a="1"/>
  <c r="M467" i="25" s="1"/>
  <c r="M468" i="25" a="1"/>
  <c r="M468" i="25" s="1"/>
  <c r="M469" i="25" a="1"/>
  <c r="M469" i="25" s="1"/>
  <c r="M470" i="25" a="1"/>
  <c r="M470" i="25" s="1"/>
  <c r="M471" i="25" a="1"/>
  <c r="M471" i="25" s="1"/>
  <c r="M472" i="25" a="1"/>
  <c r="M472" i="25" s="1"/>
  <c r="M473" i="25" a="1"/>
  <c r="M473" i="25" s="1"/>
  <c r="M474" i="25" a="1"/>
  <c r="M474" i="25" s="1"/>
  <c r="M475" i="25" a="1"/>
  <c r="M475" i="25" s="1"/>
  <c r="M476" i="25" a="1"/>
  <c r="M476" i="25" s="1"/>
  <c r="M477" i="25" a="1"/>
  <c r="M477" i="25" s="1"/>
  <c r="M478" i="25" a="1"/>
  <c r="M478" i="25" s="1"/>
  <c r="M479" i="25" a="1"/>
  <c r="M479" i="25" s="1"/>
  <c r="M480" i="25" a="1"/>
  <c r="M480" i="25" s="1"/>
  <c r="M481" i="25" a="1"/>
  <c r="M481" i="25" s="1"/>
  <c r="M482" i="25" a="1"/>
  <c r="M482" i="25" s="1"/>
  <c r="M483" i="25" a="1"/>
  <c r="M483" i="25" s="1"/>
  <c r="M484" i="25" a="1"/>
  <c r="M484" i="25" s="1"/>
  <c r="M485" i="25" a="1"/>
  <c r="M485" i="25" s="1"/>
  <c r="M486" i="25" a="1"/>
  <c r="M486" i="25" s="1"/>
  <c r="M487" i="25" a="1"/>
  <c r="M487" i="25" s="1"/>
  <c r="M488" i="25" a="1"/>
  <c r="M488" i="25" s="1"/>
  <c r="M490" i="25" a="1"/>
  <c r="M490" i="25" s="1"/>
  <c r="M492" i="25" a="1"/>
  <c r="M492" i="25" s="1"/>
  <c r="M493" i="25" a="1"/>
  <c r="M493" i="25" s="1"/>
  <c r="M494" i="25" a="1"/>
  <c r="M494" i="25" s="1"/>
  <c r="M495" i="25" a="1"/>
  <c r="M495" i="25" s="1"/>
  <c r="M496" i="25" a="1"/>
  <c r="M496" i="25" s="1"/>
  <c r="M497" i="25" a="1"/>
  <c r="M497" i="25" s="1"/>
  <c r="M498" i="25" a="1"/>
  <c r="M498" i="25" s="1"/>
  <c r="M499" i="25" a="1"/>
  <c r="M499" i="25" s="1"/>
  <c r="M500" i="25" a="1"/>
  <c r="M500" i="25" s="1"/>
  <c r="M501" i="25" a="1"/>
  <c r="M501" i="25" s="1"/>
  <c r="M502" i="25" a="1"/>
  <c r="M502" i="25" s="1"/>
  <c r="M503" i="25" a="1"/>
  <c r="M503" i="25" s="1"/>
  <c r="M504" i="25" a="1"/>
  <c r="M504" i="25" s="1"/>
  <c r="M505" i="25" a="1"/>
  <c r="M505" i="25" s="1"/>
  <c r="M513" i="25" a="1"/>
  <c r="M513" i="25" s="1"/>
  <c r="M514" i="25" a="1"/>
  <c r="M514" i="25" s="1"/>
  <c r="M515" i="25" a="1"/>
  <c r="M515" i="25" s="1"/>
  <c r="M516" i="25" a="1"/>
  <c r="M516" i="25" s="1"/>
  <c r="M517" i="25" a="1"/>
  <c r="M517" i="25" s="1"/>
  <c r="M506" i="25" a="1"/>
  <c r="M506" i="25" s="1"/>
  <c r="M507" i="25" a="1"/>
  <c r="M507" i="25" s="1"/>
  <c r="M508" i="25" a="1"/>
  <c r="M508" i="25" s="1"/>
  <c r="M509" i="25" a="1"/>
  <c r="M509" i="25" s="1"/>
  <c r="M510" i="25" a="1"/>
  <c r="M510" i="25" s="1"/>
  <c r="M511" i="25" a="1"/>
  <c r="M511" i="25" s="1"/>
  <c r="M512" i="25" a="1"/>
  <c r="M512" i="25" s="1"/>
  <c r="M518" i="25" a="1"/>
  <c r="M518" i="25" s="1"/>
  <c r="M519" i="25" a="1"/>
  <c r="M519" i="25" s="1"/>
  <c r="M520" i="25" a="1"/>
  <c r="M520" i="25" s="1"/>
  <c r="M521" i="25" a="1"/>
  <c r="M521" i="25" s="1"/>
  <c r="M522" i="25" a="1"/>
  <c r="M522" i="25" s="1"/>
  <c r="M523" i="25" a="1"/>
  <c r="M523" i="25" s="1"/>
  <c r="M524" i="25" a="1"/>
  <c r="M524" i="25" s="1"/>
  <c r="M525" i="25" a="1"/>
  <c r="M525" i="25" s="1"/>
  <c r="M526" i="25" a="1"/>
  <c r="M526" i="25" s="1"/>
  <c r="M527" i="25" a="1"/>
  <c r="M527" i="25" s="1"/>
  <c r="M528" i="25" a="1"/>
  <c r="M528" i="25" s="1"/>
  <c r="M529" i="25" a="1"/>
  <c r="M529" i="25" s="1"/>
  <c r="M530" i="25" a="1"/>
  <c r="M530" i="25" s="1"/>
  <c r="M531" i="25" a="1"/>
  <c r="M531" i="25" s="1"/>
  <c r="M532" i="25" a="1"/>
  <c r="M532" i="25" s="1"/>
  <c r="M533" i="25" a="1"/>
  <c r="M533" i="25" s="1"/>
  <c r="M534" i="25" a="1"/>
  <c r="M534" i="25" s="1"/>
  <c r="M535" i="25" a="1"/>
  <c r="M535" i="25" s="1"/>
  <c r="M536" i="25" a="1"/>
  <c r="M536" i="25" s="1"/>
  <c r="M537" i="25" a="1"/>
  <c r="M537" i="25" s="1"/>
  <c r="M538" i="25" a="1"/>
  <c r="M538" i="25" s="1"/>
  <c r="M539" i="25" a="1"/>
  <c r="M539" i="25" s="1"/>
  <c r="M540" i="25" a="1"/>
  <c r="M540" i="25" s="1"/>
  <c r="M541" i="25" a="1"/>
  <c r="M541" i="25" s="1"/>
  <c r="M542" i="25" a="1"/>
  <c r="M542" i="25" s="1"/>
  <c r="M543" i="25" a="1"/>
  <c r="M543" i="25" s="1"/>
  <c r="M544" i="25" a="1"/>
  <c r="M544" i="25" s="1"/>
  <c r="M545" i="25" a="1"/>
  <c r="M545" i="25" s="1"/>
  <c r="M546" i="25" a="1"/>
  <c r="M546" i="25" s="1"/>
  <c r="M547" i="25" a="1"/>
  <c r="M547" i="25" s="1"/>
  <c r="M548" i="25" a="1"/>
  <c r="M548" i="25" s="1"/>
  <c r="M549" i="25" a="1"/>
  <c r="M549" i="25" s="1"/>
  <c r="M550" i="25" a="1"/>
  <c r="M550" i="25" s="1"/>
  <c r="M551" i="25" a="1"/>
  <c r="M551" i="25" s="1"/>
  <c r="M552" i="25" a="1"/>
  <c r="M552" i="25" s="1"/>
  <c r="M553" i="25" a="1"/>
  <c r="M553" i="25" s="1"/>
  <c r="M554" i="25" a="1"/>
  <c r="M554" i="25" s="1"/>
  <c r="M555" i="25" a="1"/>
  <c r="M555" i="25" s="1"/>
  <c r="M556" i="25" a="1"/>
  <c r="M556" i="25" s="1"/>
  <c r="M557" i="25" a="1"/>
  <c r="M557" i="25" s="1"/>
  <c r="G217" i="26" a="1"/>
  <c r="H514" i="26" a="1"/>
  <c r="G514" i="26" a="1"/>
  <c r="H217" i="26" a="1"/>
  <c r="E217" i="26" a="1"/>
  <c r="H514" i="26"/>
  <c r="G514" i="26"/>
  <c r="H217" i="26"/>
  <c r="G217" i="26"/>
  <c r="E217" i="26"/>
  <c r="M455" i="25"/>
  <c r="M383" i="25"/>
  <c r="M371" i="25"/>
  <c r="M345" i="25"/>
  <c r="M343" i="25"/>
  <c r="M339" i="25"/>
  <c r="M329" i="25"/>
  <c r="M320" i="25"/>
  <c r="M297" i="25"/>
  <c r="M296" i="25"/>
  <c r="M257" i="25"/>
  <c r="M256" i="25"/>
  <c r="M252" i="25"/>
  <c r="M231" i="25"/>
  <c r="M219" i="25"/>
  <c r="M214" i="25"/>
  <c r="M203" i="25"/>
  <c r="M199" i="25"/>
  <c r="M193" i="25"/>
  <c r="M185" i="25"/>
  <c r="M164" i="25"/>
  <c r="M158" i="25"/>
  <c r="M123" i="25"/>
  <c r="M122" i="25"/>
  <c r="M119" i="25"/>
  <c r="M110" i="25"/>
  <c r="M108" i="25"/>
  <c r="M103" i="25"/>
  <c r="M102" i="25"/>
  <c r="M100" i="25"/>
  <c r="M97" i="25"/>
  <c r="M94" i="25"/>
  <c r="M91" i="25"/>
  <c r="M81" i="25"/>
  <c r="M77" i="25"/>
  <c r="M70" i="25"/>
  <c r="M67" i="25"/>
  <c r="M66" i="25"/>
  <c r="M62" i="25"/>
  <c r="M61" i="25"/>
  <c r="M60" i="25"/>
  <c r="M57" i="25"/>
  <c r="M51" i="25"/>
  <c r="M50" i="25"/>
  <c r="M49" i="25"/>
  <c r="M48" i="25"/>
  <c r="M46" i="25"/>
  <c r="M34" i="25"/>
  <c r="M32" i="25"/>
  <c r="M31" i="25"/>
  <c r="M29" i="25"/>
  <c r="M26" i="25"/>
  <c r="M25" i="25"/>
  <c r="M14" i="25"/>
  <c r="M11" i="25"/>
  <c r="M4" i="25"/>
  <c r="M2" i="2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Wajdee Gordon</author>
  </authors>
  <commentList>
    <comment ref="C1" authorId="0" shapeId="0" xr:uid="{4F1F184E-C4F1-44E3-AF31-642858D865B6}">
      <text>
        <r>
          <rPr>
            <sz val="9"/>
            <color indexed="81"/>
            <rFont val="Tahoma"/>
            <family val="2"/>
          </rPr>
          <t xml:space="preserve">1  gelcoat
2  flowcoat
3  joinery
4  deckfitting
5  plumber
6  mechanical
7 electrical
8  perspex
9  spray
10 cleaning
</t>
        </r>
      </text>
    </comment>
    <comment ref="E1" authorId="0" shapeId="0" xr:uid="{D67A56D0-DE72-4602-B713-EBCD9322014D}">
      <text>
        <r>
          <rPr>
            <sz val="9"/>
            <color indexed="81"/>
            <rFont val="Tahoma"/>
            <family val="2"/>
          </rPr>
          <t xml:space="preserve">Carpentry/SprayDeck/Plumb/Mech/Electrical
proud
damage
sealer
loose
operational
cleaning
Incorrect
missing part
GRP / Perspex / 
track repairs
porosity
pinholes
voids
repairs
cracks
scratches 
spills
flowcoat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Wajdee Gordon</author>
  </authors>
  <commentList>
    <comment ref="C1" authorId="0" shapeId="0" xr:uid="{DD65A726-ADB9-4CD8-B22F-D96DB6200362}">
      <text>
        <r>
          <rPr>
            <sz val="9"/>
            <color indexed="81"/>
            <rFont val="Tahoma"/>
            <family val="2"/>
          </rPr>
          <t xml:space="preserve">1  gelcoat
2  flowcoat
3  joinery
4  deckfitting
5  plumber
6  mechanical
7 electrical
8  perspex
9  spray
10 cleaning
</t>
        </r>
      </text>
    </comment>
    <comment ref="E1" authorId="0" shapeId="0" xr:uid="{0935471A-6730-4E6B-8C98-417A613C5F2A}">
      <text>
        <r>
          <rPr>
            <sz val="9"/>
            <color indexed="81"/>
            <rFont val="Tahoma"/>
            <family val="2"/>
          </rPr>
          <t xml:space="preserve">Carpentry/SprayDeck/Plumb/Mech/Electrical
proud
damage
sealer
loose
operational
cleaning
Incorrect
missing part
GRP / Perspex / 
track repairs
porosity
pinholes
voids
repairs
cracks
scratches 
spills
flowcoat
</t>
        </r>
      </text>
    </comment>
    <comment ref="C30" authorId="0" shapeId="0" xr:uid="{DCC036EC-AAC2-4DD5-9EA3-357CCDE00715}">
      <text>
        <r>
          <rPr>
            <sz val="9"/>
            <color indexed="81"/>
            <rFont val="Tahoma"/>
            <family val="2"/>
          </rPr>
          <t xml:space="preserve">1  gelcoat
2  flowcoat
3  joinery
4  deckfitting
5  plumber
6  mechanical
7 electrical
8  perspex
9  spray
10 cleaning
</t>
        </r>
      </text>
    </comment>
    <comment ref="E30" authorId="0" shapeId="0" xr:uid="{15E321F8-5038-4DA1-9B61-F1CD4108D4D5}">
      <text>
        <r>
          <rPr>
            <sz val="9"/>
            <color indexed="81"/>
            <rFont val="Tahoma"/>
            <family val="2"/>
          </rPr>
          <t xml:space="preserve">Carpentry/SprayDeck/Plumb/Mech/Electrical
proud
damage
sealer
loose
operational
cleaning
Incorrect
missing part
GRP / Perspex / 
track repairs
porosity
pinholes
voids
repairs
cracks
scratches 
spills
flowcoat
</t>
        </r>
      </text>
    </comment>
    <comment ref="C60" authorId="0" shapeId="0" xr:uid="{99FA18AE-7FE3-4067-AF2A-954562EF7ECD}">
      <text>
        <r>
          <rPr>
            <sz val="9"/>
            <color indexed="81"/>
            <rFont val="Tahoma"/>
            <family val="2"/>
          </rPr>
          <t xml:space="preserve">1  gelcoat
2  flowcoat
3  joinery
4  deckfitting
5  plumber
6  mechanical
7 electrical
8  perspex
9  spray
10 cleaning
</t>
        </r>
      </text>
    </comment>
    <comment ref="E60" authorId="0" shapeId="0" xr:uid="{AB6B4773-B2C3-421A-B5C3-020EF7137F5F}">
      <text>
        <r>
          <rPr>
            <sz val="9"/>
            <color indexed="81"/>
            <rFont val="Tahoma"/>
            <family val="2"/>
          </rPr>
          <t xml:space="preserve">Carpentry/SprayDeck/Plumb/Mech/Electrical
proud
damage
sealer
loose
operational
cleaning
Incorrect
missing part
GRP / Perspex / 
track repairs
porosity
pinholes
voids
repairs
cracks
scratches 
spills
flowcoat
</t>
        </r>
      </text>
    </comment>
    <comment ref="C86" authorId="0" shapeId="0" xr:uid="{DC8D2EEF-EA47-4FEE-AFCD-596C803A6F67}">
      <text>
        <r>
          <rPr>
            <sz val="9"/>
            <color indexed="81"/>
            <rFont val="Tahoma"/>
            <family val="2"/>
          </rPr>
          <t xml:space="preserve">1  gelcoat
2  flowcoat
3  joinery
4  deckfitting
5  plumber
6  mechanical
7 electrical
8  perspex
9  spray
10 cleaning
</t>
        </r>
      </text>
    </comment>
    <comment ref="E86" authorId="0" shapeId="0" xr:uid="{4DD1DDED-33D3-456C-83E5-6715F8855EE3}">
      <text>
        <r>
          <rPr>
            <sz val="9"/>
            <color indexed="81"/>
            <rFont val="Tahoma"/>
            <family val="2"/>
          </rPr>
          <t xml:space="preserve">Carpentry/SprayDeck/Plumb/Mech/Electrical
proud
damage
sealer
loose
operational
cleaning
Incorrect
missing part
GRP / Perspex / 
track repairs
porosity
pinholes
voids
repairs
cracks
scratches 
spills
flowcoat
</t>
        </r>
      </text>
    </comment>
    <comment ref="C119" authorId="0" shapeId="0" xr:uid="{3222F077-4532-4D19-8CCA-F0DFA018B5EC}">
      <text>
        <r>
          <rPr>
            <sz val="9"/>
            <color indexed="81"/>
            <rFont val="Tahoma"/>
            <family val="2"/>
          </rPr>
          <t xml:space="preserve">1  gelcoat
2  flowcoat
3  joinery
4  deckfitting
5  plumber
6  mechanical
7 electrical
8  perspex
9  spray
10 cleaning
</t>
        </r>
      </text>
    </comment>
    <comment ref="E119" authorId="0" shapeId="0" xr:uid="{7277B549-680E-4EBC-AB1F-153D85D36432}">
      <text>
        <r>
          <rPr>
            <sz val="9"/>
            <color indexed="81"/>
            <rFont val="Tahoma"/>
            <family val="2"/>
          </rPr>
          <t xml:space="preserve">Carpentry/SprayDeck/Plumb/Mech/Electrical
proud
damage
sealer
loose
operational
cleaning
Incorrect
missing part
GRP / Perspex / 
track repairs
porosity
pinholes
voids
repairs
cracks
scratches 
spills
flowcoat
</t>
        </r>
      </text>
    </comment>
    <comment ref="C156" authorId="0" shapeId="0" xr:uid="{C4305C1B-43B4-4C4A-9D3B-B72018CB2874}">
      <text>
        <r>
          <rPr>
            <sz val="9"/>
            <color indexed="81"/>
            <rFont val="Tahoma"/>
            <family val="2"/>
          </rPr>
          <t xml:space="preserve">1  gelcoat
2  flowcoat
3  joinery
4  deckfitting
5  plumber
6  mechanical
7 electrical
8  perspex
9  spray
10 cleaning
</t>
        </r>
      </text>
    </comment>
    <comment ref="E156" authorId="0" shapeId="0" xr:uid="{F3CEBAD2-A2CA-4B80-8994-4313C73A1A72}">
      <text>
        <r>
          <rPr>
            <sz val="9"/>
            <color indexed="81"/>
            <rFont val="Tahoma"/>
            <family val="2"/>
          </rPr>
          <t xml:space="preserve">Carpentry/SprayDeck/Plumb/Mech/Electrical
proud
damage
sealer
loose
operational
cleaning
Incorrect
missing part
GRP / Perspex / 
track repairs
porosity
pinholes
voids
repairs
cracks
scratches 
spills
flowcoat
</t>
        </r>
      </text>
    </comment>
    <comment ref="C186" authorId="0" shapeId="0" xr:uid="{68BD0AF0-4507-4950-BE99-E62C6E83725F}">
      <text>
        <r>
          <rPr>
            <sz val="9"/>
            <color indexed="81"/>
            <rFont val="Tahoma"/>
            <family val="2"/>
          </rPr>
          <t xml:space="preserve">1  gelcoat
2  flowcoat
3  joinery
4  deckfitting
5  plumber
6  mechanical
7 electrical
8  perspex
9  spray
10 cleaning
</t>
        </r>
      </text>
    </comment>
    <comment ref="E186" authorId="0" shapeId="0" xr:uid="{3660EBA3-B48E-48B9-91E6-E40FF9EE2C51}">
      <text>
        <r>
          <rPr>
            <sz val="9"/>
            <color indexed="81"/>
            <rFont val="Tahoma"/>
            <family val="2"/>
          </rPr>
          <t xml:space="preserve">Carpentry/SprayDeck/Plumb/Mech/Electrical
proud
damage
sealer
loose
operational
cleaning
Incorrect
missing part
GRP / Perspex / 
track repairs
porosity
pinholes
voids
repairs
cracks
scratches 
spills
flowcoat
</t>
        </r>
      </text>
    </comment>
    <comment ref="C220" authorId="0" shapeId="0" xr:uid="{3D380C90-C8B6-4CC8-9344-2459B79B84BF}">
      <text>
        <r>
          <rPr>
            <sz val="9"/>
            <color indexed="81"/>
            <rFont val="Tahoma"/>
            <family val="2"/>
          </rPr>
          <t xml:space="preserve">1  gelcoat
2  flowcoat
3  joinery
4  deckfitting
5  plumber
6  mechanical
7 electrical
8  perspex
9  spray
10 cleaning
</t>
        </r>
      </text>
    </comment>
    <comment ref="E220" authorId="0" shapeId="0" xr:uid="{4B6B6DF5-4B2C-408C-BAB2-AE997FAC00CA}">
      <text>
        <r>
          <rPr>
            <sz val="9"/>
            <color indexed="81"/>
            <rFont val="Tahoma"/>
            <family val="2"/>
          </rPr>
          <t xml:space="preserve">Carpentry/SprayDeck/Plumb/Mech/Electrical
proud
damage
sealer
loose
operational
cleaning
Incorrect
missing part
GRP / Perspex / 
track repairs
porosity
pinholes
voids
repairs
cracks
scratches 
spills
flowcoat
</t>
        </r>
      </text>
    </comment>
    <comment ref="C253" authorId="0" shapeId="0" xr:uid="{C37DF733-6508-4102-A3BC-B8EEE826E98F}">
      <text>
        <r>
          <rPr>
            <sz val="9"/>
            <color indexed="81"/>
            <rFont val="Tahoma"/>
            <family val="2"/>
          </rPr>
          <t xml:space="preserve">1  gelcoat
2  flowcoat
3  joinery
4  deckfitting
5  plumber
6  mechanical
7 electrical
8  perspex
9  spray
10 cleaning
</t>
        </r>
      </text>
    </comment>
    <comment ref="E253" authorId="0" shapeId="0" xr:uid="{31907E36-28FD-4DCC-8CED-7D6B33359AD7}">
      <text>
        <r>
          <rPr>
            <sz val="9"/>
            <color indexed="81"/>
            <rFont val="Tahoma"/>
            <family val="2"/>
          </rPr>
          <t xml:space="preserve">Carpentry/SprayDeck/Plumb/Mech/Electrical
proud
damage
sealer
loose
operational
cleaning
Incorrect
missing part
GRP / Perspex / 
track repairs
porosity
pinholes
voids
repairs
cracks
scratches 
spills
flowcoat
</t>
        </r>
      </text>
    </comment>
    <comment ref="C290" authorId="0" shapeId="0" xr:uid="{D7CC3A22-D9A0-4310-9DB2-2A0E62B33EC5}">
      <text>
        <r>
          <rPr>
            <sz val="9"/>
            <color indexed="81"/>
            <rFont val="Tahoma"/>
            <family val="2"/>
          </rPr>
          <t xml:space="preserve">1  gelcoat
2  flowcoat
3  joinery
4  deckfitting
5  plumber
6  mechanical
7 electrical
8  perspex
9  spray
10 cleaning
</t>
        </r>
      </text>
    </comment>
    <comment ref="E290" authorId="0" shapeId="0" xr:uid="{4FBF5FD5-C1DD-4567-941D-A920A8CDB0CF}">
      <text>
        <r>
          <rPr>
            <sz val="9"/>
            <color indexed="81"/>
            <rFont val="Tahoma"/>
            <family val="2"/>
          </rPr>
          <t xml:space="preserve">Carpentry/SprayDeck/Plumb/Mech/Electrical
proud
damage
sealer
loose
operational
cleaning
Incorrect
missing part
GRP / Perspex / 
track repairs
porosity
pinholes
voids
repairs
cracks
scratches 
spills
flowcoat
</t>
        </r>
      </text>
    </comment>
    <comment ref="C327" authorId="0" shapeId="0" xr:uid="{919F732F-78D8-4716-BCB6-0FADA5B38C30}">
      <text>
        <r>
          <rPr>
            <sz val="9"/>
            <color indexed="81"/>
            <rFont val="Tahoma"/>
            <family val="2"/>
          </rPr>
          <t xml:space="preserve">1  gelcoat
2  flowcoat
3  joinery
4  deckfitting
5  plumber
6  mechanical
7 electrical
8  perspex
9  spray
10 cleaning
</t>
        </r>
      </text>
    </comment>
    <comment ref="E327" authorId="0" shapeId="0" xr:uid="{86832DF2-1818-4134-A619-75959F03CCAD}">
      <text>
        <r>
          <rPr>
            <sz val="9"/>
            <color indexed="81"/>
            <rFont val="Tahoma"/>
            <family val="2"/>
          </rPr>
          <t xml:space="preserve">Carpentry/SprayDeck/Plumb/Mech/Electrical
proud
damage
sealer
loose
operational
cleaning
Incorrect
missing part
GRP / Perspex / 
track repairs
porosity
pinholes
voids
repairs
cracks
scratches 
spills
flowcoat
</t>
        </r>
      </text>
    </comment>
    <comment ref="C367" authorId="0" shapeId="0" xr:uid="{D5692A77-9F16-4078-B794-BDDCBEE53680}">
      <text>
        <r>
          <rPr>
            <sz val="9"/>
            <color indexed="81"/>
            <rFont val="Tahoma"/>
            <family val="2"/>
          </rPr>
          <t xml:space="preserve">1  gelcoat
2  flowcoat
3  joinery
4  deckfitting
5  plumber
6  mechanical
7 electrical
8  perspex
9  spray
10 cleaning
</t>
        </r>
      </text>
    </comment>
    <comment ref="E367" authorId="0" shapeId="0" xr:uid="{376405D9-1F28-41DA-83F5-71553829F3FE}">
      <text>
        <r>
          <rPr>
            <sz val="9"/>
            <color indexed="81"/>
            <rFont val="Tahoma"/>
            <family val="2"/>
          </rPr>
          <t xml:space="preserve">Carpentry/SprayDeck/Plumb/Mech/Electrical
proud
damage
sealer
loose
operational
cleaning
Incorrect
missing part
GRP / Perspex / 
track repairs
porosity
pinholes
voids
repairs
cracks
scratches 
spills
flowcoat
</t>
        </r>
      </text>
    </comment>
    <comment ref="C400" authorId="0" shapeId="0" xr:uid="{6F4AD83A-41C6-49CC-A017-14D40DE84F5C}">
      <text>
        <r>
          <rPr>
            <sz val="9"/>
            <color indexed="81"/>
            <rFont val="Tahoma"/>
            <family val="2"/>
          </rPr>
          <t xml:space="preserve">1  gelcoat
2  flowcoat
3  joinery
4  deckfitting
5  plumber
6  mechanical
7 electrical
8  perspex
9  spray
10 cleaning
</t>
        </r>
      </text>
    </comment>
    <comment ref="E400" authorId="0" shapeId="0" xr:uid="{54E95766-FD4D-48D9-B3FA-3EE02D794779}">
      <text>
        <r>
          <rPr>
            <sz val="9"/>
            <color indexed="81"/>
            <rFont val="Tahoma"/>
            <family val="2"/>
          </rPr>
          <t xml:space="preserve">Carpentry/SprayDeck/Plumb/Mech/Electrical
proud
damage
sealer
loose
operational
cleaning
Incorrect
missing part
GRP / Perspex / 
track repairs
porosity
pinholes
voids
repairs
cracks
scratches 
spills
flowcoat
</t>
        </r>
      </text>
    </comment>
    <comment ref="C439" authorId="0" shapeId="0" xr:uid="{4645F7E1-3D48-43FD-9FC2-E4DCF4A47374}">
      <text>
        <r>
          <rPr>
            <sz val="9"/>
            <color indexed="81"/>
            <rFont val="Tahoma"/>
            <family val="2"/>
          </rPr>
          <t xml:space="preserve">1  gelcoat
2  flowcoat
3  joinery
4  deckfitting
5  plumber
6  mechanical
7 electrical
8  perspex
9  spray
10 cleaning
</t>
        </r>
      </text>
    </comment>
    <comment ref="E439" authorId="0" shapeId="0" xr:uid="{5DC141A6-A634-4BE9-93ED-74FD542EAFCB}">
      <text>
        <r>
          <rPr>
            <sz val="9"/>
            <color indexed="81"/>
            <rFont val="Tahoma"/>
            <family val="2"/>
          </rPr>
          <t xml:space="preserve">Carpentry/SprayDeck/Plumb/Mech/Electrical
proud
damage
sealer
loose
operational
cleaning
Incorrect
missing part
GRP / Perspex / 
track repairs
porosity
pinholes
voids
repairs
cracks
scratches 
spills
flowcoat
</t>
        </r>
      </text>
    </comment>
    <comment ref="C475" authorId="0" shapeId="0" xr:uid="{3641213B-4D76-4786-9A73-40E2BD663E3B}">
      <text>
        <r>
          <rPr>
            <sz val="9"/>
            <color indexed="81"/>
            <rFont val="Tahoma"/>
            <family val="2"/>
          </rPr>
          <t xml:space="preserve">1  gelcoat
2  flowcoat
3  joinery
4  deckfitting
5  plumber
6  mechanical
7 electrical
8  perspex
9  spray
10 cleaning
</t>
        </r>
      </text>
    </comment>
    <comment ref="E475" authorId="0" shapeId="0" xr:uid="{04C8555C-63F1-447A-AF54-18F7334558C5}">
      <text>
        <r>
          <rPr>
            <sz val="9"/>
            <color indexed="81"/>
            <rFont val="Tahoma"/>
            <family val="2"/>
          </rPr>
          <t xml:space="preserve">Carpentry/SprayDeck/Plumb/Mech/Electrical
proud
damage
sealer
loose
operational
cleaning
Incorrect
missing part
GRP / Perspex / 
track repairs
porosity
pinholes
voids
repairs
cracks
scratches 
spills
flowcoat
</t>
        </r>
      </text>
    </comment>
    <comment ref="C510" authorId="0" shapeId="0" xr:uid="{1C1CCFBE-5BE5-4DD0-8B0E-4B7EA5960C47}">
      <text>
        <r>
          <rPr>
            <sz val="9"/>
            <color indexed="81"/>
            <rFont val="Tahoma"/>
            <family val="2"/>
          </rPr>
          <t xml:space="preserve">1  gelcoat
2  flowcoat
3  joinery
4  deckfitting
5  plumber
6  mechanical
7 electrical
8  perspex
9  spray
10 cleaning
</t>
        </r>
      </text>
    </comment>
    <comment ref="E510" authorId="0" shapeId="0" xr:uid="{801A8FD0-4CC5-4F7F-A50D-0C09156C9105}">
      <text>
        <r>
          <rPr>
            <sz val="9"/>
            <color indexed="81"/>
            <rFont val="Tahoma"/>
            <family val="2"/>
          </rPr>
          <t xml:space="preserve">Carpentry/SprayDeck/Plumb/Mech/Electrical
proud
damage
sealer
loose
operational
cleaning
Incorrect
missing part
GRP / Perspex / 
track repairs
porosity
pinholes
voids
repairs
cracks
scratches 
spills
flowcoat
</t>
        </r>
      </text>
    </comment>
    <comment ref="C548" authorId="0" shapeId="0" xr:uid="{2840B52D-6D47-4EED-965A-A6990A117372}">
      <text>
        <r>
          <rPr>
            <sz val="9"/>
            <color indexed="81"/>
            <rFont val="Tahoma"/>
            <family val="2"/>
          </rPr>
          <t xml:space="preserve">1  gelcoat
2  flowcoat
3  joinery
4  deckfitting
5  plumber
6  mechanical
7 electrical
8  perspex
9  spray
10 cleaning
</t>
        </r>
      </text>
    </comment>
    <comment ref="E548" authorId="0" shapeId="0" xr:uid="{D6674CC1-0486-4FC6-80D1-77D51BD7CE38}">
      <text>
        <r>
          <rPr>
            <sz val="9"/>
            <color indexed="81"/>
            <rFont val="Tahoma"/>
            <family val="2"/>
          </rPr>
          <t xml:space="preserve">Carpentry/SprayDeck/Plumb/Mech/Electrical
proud
damage
sealer
loose
operational
cleaning
Incorrect
missing part
GRP / Perspex / 
track repairs
porosity
pinholes
voids
repairs
cracks
scratches 
spills
flowcoat
</t>
        </r>
      </text>
    </comment>
    <comment ref="C583" authorId="0" shapeId="0" xr:uid="{A6AF438C-DB72-4296-86E0-66DF2D81B6AF}">
      <text>
        <r>
          <rPr>
            <sz val="9"/>
            <color indexed="81"/>
            <rFont val="Tahoma"/>
            <family val="2"/>
          </rPr>
          <t xml:space="preserve">1  gelcoat
2  flowcoat
3  joinery
4  deckfitting
5  plumber
6  mechanical
7 electrical
8  perspex
9  spray
10 cleaning
</t>
        </r>
      </text>
    </comment>
    <comment ref="E583" authorId="0" shapeId="0" xr:uid="{E1C5DBF9-342A-4BA2-852E-F9C81E521CA4}">
      <text>
        <r>
          <rPr>
            <sz val="9"/>
            <color indexed="81"/>
            <rFont val="Tahoma"/>
            <family val="2"/>
          </rPr>
          <t xml:space="preserve">Carpentry/SprayDeck/Plumb/Mech/Electrical
proud
damage
sealer
loose
operational
cleaning
Incorrect
missing part
GRP / Perspex / 
track repairs
porosity
pinholes
voids
repairs
cracks
scratches 
spills
flowcoat
</t>
        </r>
      </text>
    </comment>
    <comment ref="C618" authorId="0" shapeId="0" xr:uid="{7AB62448-D180-443C-8E5C-886C2484D845}">
      <text>
        <r>
          <rPr>
            <sz val="9"/>
            <color indexed="81"/>
            <rFont val="Tahoma"/>
            <family val="2"/>
          </rPr>
          <t xml:space="preserve">1  gelcoat
2  flowcoat
3  joinery
4  deckfitting
5  plumber
6  mechanical
7 electrical
8  perspex
9  spray
10 cleaning
</t>
        </r>
      </text>
    </comment>
    <comment ref="E618" authorId="0" shapeId="0" xr:uid="{5BDE5B0D-F4FB-4E91-A483-7A87E12107D6}">
      <text>
        <r>
          <rPr>
            <sz val="9"/>
            <color indexed="81"/>
            <rFont val="Tahoma"/>
            <family val="2"/>
          </rPr>
          <t xml:space="preserve">Carpentry/SprayDeck/Plumb/Mech/Electrical
proud
damage
sealer
loose
operational
cleaning
Incorrect
missing part
GRP / Perspex / 
track repairs
porosity
pinholes
voids
repairs
cracks
scratches 
spills
flowcoat
</t>
        </r>
      </text>
    </comment>
    <comment ref="C659" authorId="0" shapeId="0" xr:uid="{A0503725-0CD7-4FB2-81DC-798F1B488C3D}">
      <text>
        <r>
          <rPr>
            <sz val="9"/>
            <color indexed="81"/>
            <rFont val="Tahoma"/>
            <family val="2"/>
          </rPr>
          <t xml:space="preserve">1  gelcoat
2  flowcoat
3  joinery
4  deckfitting
5  plumber
6  mechanical
7 electrical
8  perspex
9  spray
10 cleaning
</t>
        </r>
      </text>
    </comment>
    <comment ref="E659" authorId="0" shapeId="0" xr:uid="{3E824143-43F9-40F6-8FF6-78C4A9607899}">
      <text>
        <r>
          <rPr>
            <sz val="9"/>
            <color indexed="81"/>
            <rFont val="Tahoma"/>
            <family val="2"/>
          </rPr>
          <t xml:space="preserve">Carpentry/SprayDeck/Plumb/Mech/Electrical
proud
damage
sealer
loose
operational
cleaning
Incorrect
missing part
GRP / Perspex / 
track repairs
porosity
pinholes
voids
repairs
cracks
scratches 
spills
flowcoat
</t>
        </r>
      </text>
    </comment>
    <comment ref="C695" authorId="0" shapeId="0" xr:uid="{E49C4EF4-8480-4BC8-8F2C-C0979D549F67}">
      <text>
        <r>
          <rPr>
            <sz val="9"/>
            <color indexed="81"/>
            <rFont val="Tahoma"/>
            <family val="2"/>
          </rPr>
          <t xml:space="preserve">1  gelcoat
2  flowcoat
3  joinery
4  deckfitting
5  plumber
6  mechanical
7 electrical
8  perspex
9  spray
10 cleaning
</t>
        </r>
      </text>
    </comment>
    <comment ref="E695" authorId="0" shapeId="0" xr:uid="{374D4ED5-5BF2-420A-85D0-ABA5E972D9E4}">
      <text>
        <r>
          <rPr>
            <sz val="9"/>
            <color indexed="81"/>
            <rFont val="Tahoma"/>
            <family val="2"/>
          </rPr>
          <t xml:space="preserve">Carpentry/SprayDeck/Plumb/Mech/Electrical
proud
damage
sealer
loose
operational
cleaning
Incorrect
missing part
GRP / Perspex / 
track repairs
porosity
pinholes
voids
repairs
cracks
scratches 
spills
flowcoat
</t>
        </r>
      </text>
    </comment>
    <comment ref="C737" authorId="0" shapeId="0" xr:uid="{AD4D8760-AB42-45EF-AA91-89187A19BB89}">
      <text>
        <r>
          <rPr>
            <sz val="9"/>
            <color indexed="81"/>
            <rFont val="Tahoma"/>
            <family val="2"/>
          </rPr>
          <t xml:space="preserve">1  gelcoat
2  flowcoat
3  joinery
4  deckfitting
5  plumber
6  mechanical
7 electrical
8  perspex
9  spray
10 cleaning
</t>
        </r>
      </text>
    </comment>
    <comment ref="E737" authorId="0" shapeId="0" xr:uid="{5127BE80-B332-4B31-A4DC-B2ED27E913FF}">
      <text>
        <r>
          <rPr>
            <sz val="9"/>
            <color indexed="81"/>
            <rFont val="Tahoma"/>
            <family val="2"/>
          </rPr>
          <t xml:space="preserve">Carpentry/SprayDeck/Plumb/Mech/Electrical
proud
damage
sealer
loose
operational
cleaning
Incorrect
missing part
GRP / Perspex / 
track repairs
porosity
pinholes
voids
repairs
cracks
scratches 
spills
flowcoat
</t>
        </r>
      </text>
    </comment>
    <comment ref="C771" authorId="0" shapeId="0" xr:uid="{AEE0588E-D630-4258-9C33-5CE02D4306C1}">
      <text>
        <r>
          <rPr>
            <sz val="9"/>
            <color indexed="81"/>
            <rFont val="Tahoma"/>
            <family val="2"/>
          </rPr>
          <t xml:space="preserve">1  gelcoat
2  flowcoat
3  joinery
4  deckfitting
5  plumber
6  mechanical
7 electrical
8  perspex
9  spray
10 cleaning
</t>
        </r>
      </text>
    </comment>
    <comment ref="E771" authorId="0" shapeId="0" xr:uid="{A328C1A2-A583-4550-9AB8-50F780E41422}">
      <text>
        <r>
          <rPr>
            <sz val="9"/>
            <color indexed="81"/>
            <rFont val="Tahoma"/>
            <family val="2"/>
          </rPr>
          <t xml:space="preserve">Carpentry/SprayDeck/Plumb/Mech/Electrical
proud
damage
sealer
loose
operational
cleaning
Incorrect
missing part
GRP / Perspex / 
track repairs
porosity
pinholes
voids
repairs
cracks
scratches 
spills
flowcoat
</t>
        </r>
      </text>
    </comment>
    <comment ref="C805" authorId="0" shapeId="0" xr:uid="{13F78058-7462-4A62-99F1-A6DBB68CACC0}">
      <text>
        <r>
          <rPr>
            <sz val="9"/>
            <color indexed="81"/>
            <rFont val="Tahoma"/>
            <family val="2"/>
          </rPr>
          <t xml:space="preserve">1  gelcoat
2  flowcoat
3  joinery
4  deckfitting
5  plumber
6  mechanical
7 electrical
8  perspex
9  spray
10 cleaning
</t>
        </r>
      </text>
    </comment>
    <comment ref="E805" authorId="0" shapeId="0" xr:uid="{AF9B42A1-DA32-4B87-8EAC-0F2EA22657CE}">
      <text>
        <r>
          <rPr>
            <sz val="9"/>
            <color indexed="81"/>
            <rFont val="Tahoma"/>
            <family val="2"/>
          </rPr>
          <t xml:space="preserve">Carpentry/SprayDeck/Plumb/Mech/Electrical
proud
damage
sealer
loose
operational
cleaning
Incorrect
missing part
GRP / Perspex / 
track repairs
porosity
pinholes
voids
repairs
cracks
scratches 
spills
flowcoat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1">
    <bk>
      <extLst>
        <ext uri="{3e2802c4-a4d2-4d8b-9148-e3be6c30e623}">
          <xlrd:rvb i="0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1">
    <bk>
      <rc t="1" v="0"/>
    </bk>
  </valueMetadata>
</metadata>
</file>

<file path=xl/sharedStrings.xml><?xml version="1.0" encoding="utf-8"?>
<sst xmlns="http://schemas.openxmlformats.org/spreadsheetml/2006/main" count="2791" uniqueCount="689">
  <si>
    <t>No</t>
  </si>
  <si>
    <t>Area</t>
  </si>
  <si>
    <t>Code</t>
  </si>
  <si>
    <t>Item/Part /sub component</t>
  </si>
  <si>
    <t xml:space="preserve">Failure </t>
  </si>
  <si>
    <t>Failure mode</t>
  </si>
  <si>
    <t>Repaired by</t>
  </si>
  <si>
    <t xml:space="preserve">Repaired Date </t>
  </si>
  <si>
    <t>TL/BM CHECK</t>
  </si>
  <si>
    <t>QC</t>
  </si>
  <si>
    <t>RWK</t>
  </si>
  <si>
    <t>ACC</t>
  </si>
  <si>
    <t>Fwd area</t>
  </si>
  <si>
    <t>track repairs</t>
  </si>
  <si>
    <t>cracks</t>
  </si>
  <si>
    <t>Midship area</t>
  </si>
  <si>
    <t>porosity</t>
  </si>
  <si>
    <t>Aft area</t>
  </si>
  <si>
    <t>pinholes</t>
  </si>
  <si>
    <t>Flybridge</t>
  </si>
  <si>
    <t>window surround</t>
  </si>
  <si>
    <t>voids</t>
  </si>
  <si>
    <t>Fwd cockpit</t>
  </si>
  <si>
    <t>Bows</t>
  </si>
  <si>
    <t>repairs</t>
  </si>
  <si>
    <t>Foredeck</t>
  </si>
  <si>
    <t>Deck flange</t>
  </si>
  <si>
    <t>Waterchannel</t>
  </si>
  <si>
    <t xml:space="preserve">scratches </t>
  </si>
  <si>
    <t>Helmstation</t>
  </si>
  <si>
    <t>spills</t>
  </si>
  <si>
    <t>Transom</t>
  </si>
  <si>
    <t>Bimini</t>
  </si>
  <si>
    <t>flowcoat</t>
  </si>
  <si>
    <t>Helmstation steps</t>
  </si>
  <si>
    <t>Settee</t>
  </si>
  <si>
    <t>floating step</t>
  </si>
  <si>
    <t>locker lids</t>
  </si>
  <si>
    <t>Table</t>
  </si>
  <si>
    <t>Ceiling</t>
  </si>
  <si>
    <t>Targawing</t>
  </si>
  <si>
    <t>Eyebrow</t>
  </si>
  <si>
    <t>Decklid</t>
  </si>
  <si>
    <t>Door surround</t>
  </si>
  <si>
    <t xml:space="preserve">Trampoline </t>
  </si>
  <si>
    <t>SALOON QC</t>
  </si>
  <si>
    <t>Laminate finish with solid wood trims</t>
  </si>
  <si>
    <t>damage</t>
  </si>
  <si>
    <t>Wear resistant laminate flooring</t>
  </si>
  <si>
    <t>sealer</t>
  </si>
  <si>
    <t>loose</t>
  </si>
  <si>
    <t>U-shape settee</t>
  </si>
  <si>
    <t>operational</t>
  </si>
  <si>
    <t>LED overhead lighting</t>
  </si>
  <si>
    <t>cleaning</t>
  </si>
  <si>
    <t>Concealed overhead rope lighting</t>
  </si>
  <si>
    <t>Overhead window with blind</t>
  </si>
  <si>
    <t>Ventilation through forward facing port lights</t>
  </si>
  <si>
    <t>Stowage space under settee cushions</t>
  </si>
  <si>
    <t>Forward doorway access to forward cockpit and foredeck</t>
  </si>
  <si>
    <t>Access to aft cockpit through sliding door</t>
  </si>
  <si>
    <t>2 x Loose Ottoman stools (upholstered) to be used as:</t>
  </si>
  <si>
    <t>Chart table seat</t>
  </si>
  <si>
    <t>Settee seating</t>
  </si>
  <si>
    <t>Aft cockpit</t>
  </si>
  <si>
    <t xml:space="preserve">Vanity table seat in aft stbd cabin </t>
  </si>
  <si>
    <t>Joinery staircases to hull accommodation</t>
  </si>
  <si>
    <t>Carbon monoxide detector/alarm</t>
  </si>
  <si>
    <t>GALLEY QC</t>
  </si>
  <si>
    <t>High quality galley worktop surfaces</t>
  </si>
  <si>
    <t>Single lever mixer faucet with pull-out sprayer</t>
  </si>
  <si>
    <t>Large bowl s/s sink</t>
  </si>
  <si>
    <t>Dish and cutlery drying recess with drainage</t>
  </si>
  <si>
    <t>Cover for drying recess</t>
  </si>
  <si>
    <t xml:space="preserve">Vitrifrigo 2 drawer front-opening fridge/freezer </t>
  </si>
  <si>
    <t>burner gas hob</t>
  </si>
  <si>
    <t>gas oven</t>
  </si>
  <si>
    <t>Gas solenoid shut-off valve with control &amp; warning light at cooker</t>
  </si>
  <si>
    <t>Gas detectors in each hull connected to alarm in saloon</t>
  </si>
  <si>
    <t>Gas cylinder regulator in dedicated LPG locker</t>
  </si>
  <si>
    <t>Separate garbage bin locker</t>
  </si>
  <si>
    <t>Stowage space in shelf lockers</t>
  </si>
  <si>
    <t>Stowage space under floorboards</t>
  </si>
  <si>
    <t>Drawer under oven</t>
  </si>
  <si>
    <t>3 x Drawers alongside oven</t>
  </si>
  <si>
    <t>Outboard galley shelf with provision for microwave</t>
  </si>
  <si>
    <t>Smoke detector/alarm</t>
  </si>
  <si>
    <t>NAVIGATION CONSOLE QC</t>
  </si>
  <si>
    <t>Chart table with storage locker under hinged lid</t>
  </si>
  <si>
    <t>Backrest s/s railing</t>
  </si>
  <si>
    <t>Storage locker under chart table</t>
  </si>
  <si>
    <t>CABIN &amp; STUDY</t>
  </si>
  <si>
    <t xml:space="preserve">Double berth </t>
  </si>
  <si>
    <t>Bedside table outboard</t>
  </si>
  <si>
    <t>Bedside cave locker inboard</t>
  </si>
  <si>
    <t>1 x Full height hanging locker</t>
  </si>
  <si>
    <t>1 x Drawer unit with 2 x drawers</t>
  </si>
  <si>
    <t>Vanity table/desk with storage locker and mirror under lid</t>
  </si>
  <si>
    <t>Fold up vanity mirror</t>
  </si>
  <si>
    <t>Stowage drawer under bunk</t>
  </si>
  <si>
    <t>Sliding entrance door with lock</t>
  </si>
  <si>
    <t>Large mirror behind sliding entrance door</t>
  </si>
  <si>
    <t>Glass divider with sliding panel</t>
  </si>
  <si>
    <t>Concealed under bunk rope lighting</t>
  </si>
  <si>
    <t>2 x LED reading lamps over bunk</t>
  </si>
  <si>
    <t>Large hull window incorporating portlight and pleated blind</t>
  </si>
  <si>
    <t>Transom portlight in aft cabin and pleated blind</t>
  </si>
  <si>
    <t>HEADS COMPARTMENTS (ALL CABINS)</t>
  </si>
  <si>
    <t>Washbasins with basin mixer and high quality worktop</t>
  </si>
  <si>
    <t>Under-basin locker with toilet roll holder</t>
  </si>
  <si>
    <t>Vanity locker with mirror</t>
  </si>
  <si>
    <t>Double towel rail</t>
  </si>
  <si>
    <t>Sliding or hinged heads door</t>
  </si>
  <si>
    <t>Dedicated trashcan locker</t>
  </si>
  <si>
    <t>Shower compartment c/w lever mixer and adjustable shower rose</t>
  </si>
  <si>
    <t>Shower sump with automatic drainage system</t>
  </si>
  <si>
    <t>LED Overhead lighting</t>
  </si>
  <si>
    <t>Portlight with roller blind</t>
  </si>
  <si>
    <t>Overhead roller blinds for privacy</t>
  </si>
  <si>
    <t xml:space="preserve">DECK FITTINGS </t>
  </si>
  <si>
    <t>Guard wires with stanchions, bases, port &amp; starboard side gates</t>
  </si>
  <si>
    <t>Guard wires across bow and stern</t>
  </si>
  <si>
    <t>1600w vertical windlass with capstan, 10mm gypsy &amp; hand-held remote</t>
  </si>
  <si>
    <t>Anchor bow roller fitting</t>
  </si>
  <si>
    <t>Anchor chain stopper</t>
  </si>
  <si>
    <t>Life raft locker with convertible fore/aft seat bolster</t>
  </si>
  <si>
    <t>Sliding companionway door/window</t>
  </si>
  <si>
    <t>Sliding hatch over forward cockpit steps</t>
  </si>
  <si>
    <t>Hardtop over forward and aft cockpit complete with LED lighting</t>
  </si>
  <si>
    <t>Hardtop bimini over helm with supports and LED light</t>
  </si>
  <si>
    <t>Folding swimming ladder c/w teak steps</t>
  </si>
  <si>
    <t>Emergency ladder on port transom</t>
  </si>
  <si>
    <t>Aft Cockpit table</t>
  </si>
  <si>
    <t>Fold down Forward Cockpit table</t>
  </si>
  <si>
    <t>Mainsheet system</t>
  </si>
  <si>
    <t>Trampoline (white Aquabatten Supertramp)</t>
  </si>
  <si>
    <t>Helm seat with upholstered backrest</t>
  </si>
  <si>
    <t>Acrylic smoke grey tinted windows</t>
  </si>
  <si>
    <t>Hardtop supports</t>
  </si>
  <si>
    <t>Electric sea water flush toilet</t>
  </si>
  <si>
    <t>Flush Hatch over cabins</t>
  </si>
  <si>
    <t>Flush Hatch over port forepeak (includes mushroom cowl)</t>
  </si>
  <si>
    <t>Portlight  in transom</t>
  </si>
  <si>
    <t>Anchor chain bin</t>
  </si>
  <si>
    <t>Anchor/windlass locker</t>
  </si>
  <si>
    <t>Foredeck/forward cockpit lockers</t>
  </si>
  <si>
    <t>Forward access to foredeck c/w watertight Lewmar door</t>
  </si>
  <si>
    <t>Pulpits with seats</t>
  </si>
  <si>
    <t>Pushpits</t>
  </si>
  <si>
    <t>Coachroof handrails</t>
  </si>
  <si>
    <t>Transom grab handles</t>
  </si>
  <si>
    <t xml:space="preserve">Mainsheet winch </t>
  </si>
  <si>
    <t>Lewmar genoa cars with pin stop</t>
  </si>
  <si>
    <t xml:space="preserve"> Lewmar genoa tracks</t>
  </si>
  <si>
    <t>Halyard clutch at helm (mainsail)</t>
  </si>
  <si>
    <t>Halyard clutch at helm (gennaker)</t>
  </si>
  <si>
    <t xml:space="preserve"> Genoa sheet clutch at helm</t>
  </si>
  <si>
    <t>Main sheet clutch at helm</t>
  </si>
  <si>
    <t>Clutch and cleat on mast for genoa halyard</t>
  </si>
  <si>
    <t>Rope bag at helm with integral winch handle pocket</t>
  </si>
  <si>
    <t xml:space="preserve">MAST, RIGGING &amp; SAILS </t>
  </si>
  <si>
    <t>Natural anodized mast</t>
  </si>
  <si>
    <t>Natural anodized crossbeam c/w mooring cleats</t>
  </si>
  <si>
    <t>Wind indicator</t>
  </si>
  <si>
    <t>Genoa furler</t>
  </si>
  <si>
    <t>Mainsail full battened c/w 2 rows reefs</t>
  </si>
  <si>
    <t>Furling genoa</t>
  </si>
  <si>
    <t>2 x Additional spare 12v wires in mast</t>
  </si>
  <si>
    <t>Additional spare conduit with messenger in mast</t>
  </si>
  <si>
    <t xml:space="preserve">PLUMBING INSTALLATION </t>
  </si>
  <si>
    <t>Hot and cold pressurized fresh water system consisting of:</t>
  </si>
  <si>
    <t>Fresh water pressure pump with accumulator tank</t>
  </si>
  <si>
    <t>Hot water cylinders</t>
  </si>
  <si>
    <t>Transom shower (cold only)</t>
  </si>
  <si>
    <t xml:space="preserve">Automatic shower drain pumps </t>
  </si>
  <si>
    <t>Holding tanks</t>
  </si>
  <si>
    <t>Water purifying filter system (Purifying water tap located at galley)</t>
  </si>
  <si>
    <t>ENGINE &amp; CONTROLS</t>
  </si>
  <si>
    <t>Double lever throttle / gearshift control</t>
  </si>
  <si>
    <t>Sound deadening panels in engine room</t>
  </si>
  <si>
    <t>Engine room ventilation fans</t>
  </si>
  <si>
    <t>Yanmar 57hp diesel engines with sail drives</t>
  </si>
  <si>
    <t>Propellers – fixed blade</t>
  </si>
  <si>
    <t>Fuel deck fillers</t>
  </si>
  <si>
    <t>Fuel tank</t>
  </si>
  <si>
    <t>Exhaust skin fittings (s/s)</t>
  </si>
  <si>
    <t>2 x Exhaust water locks/mufflers</t>
  </si>
  <si>
    <t>Cooling water inlet strainers</t>
  </si>
  <si>
    <t>Exhaust cooling water temperature sensors with audible alarms at helm</t>
  </si>
  <si>
    <t>RUDDER &amp; STEERING SYSTEM QC</t>
  </si>
  <si>
    <t>High performance spade rudders</t>
  </si>
  <si>
    <t>Self-aligning bearings</t>
  </si>
  <si>
    <t>Chain-and-wire steering system c/w bulkhead steering unit and brake</t>
  </si>
  <si>
    <t>Destroyer-type steering wheel</t>
  </si>
  <si>
    <t>Emergency tiller (s/s)</t>
  </si>
  <si>
    <t>ELECTRICAL INSTALLATION QC</t>
  </si>
  <si>
    <t>Digital monitoring with 7" Multi-function Dispaly</t>
  </si>
  <si>
    <t>LED Courtesy lights at stairways</t>
  </si>
  <si>
    <t>Bi-colour &amp; stern navigation lights</t>
  </si>
  <si>
    <t>12v outlet socket at helm station</t>
  </si>
  <si>
    <t>USB outlets at fridge locker</t>
  </si>
  <si>
    <t xml:space="preserve">House batteries </t>
  </si>
  <si>
    <t>Engine starter battery isolator switches</t>
  </si>
  <si>
    <t>Electrical spares kit: fuses, relays, fuse holders</t>
  </si>
  <si>
    <t>NAVIGATION EQUIPMENT QC</t>
  </si>
  <si>
    <t>Compass at helm position</t>
  </si>
  <si>
    <t>RUNNING RIGGING QC</t>
  </si>
  <si>
    <t xml:space="preserve">Main sheets </t>
  </si>
  <si>
    <t>Genoa sheets</t>
  </si>
  <si>
    <t>Halyards (main, genoa &amp; spare)</t>
  </si>
  <si>
    <t>Single line reefs lead aft</t>
  </si>
  <si>
    <t>Main boom topping lift</t>
  </si>
  <si>
    <t xml:space="preserve">Saloon table </t>
  </si>
  <si>
    <t>Incorrect</t>
  </si>
  <si>
    <t>Location</t>
  </si>
  <si>
    <t>Sealer</t>
  </si>
  <si>
    <t>Description</t>
  </si>
  <si>
    <t>Cleaning</t>
  </si>
  <si>
    <t>Track repairs</t>
  </si>
  <si>
    <t>Porosity</t>
  </si>
  <si>
    <t>Pinholes</t>
  </si>
  <si>
    <t>Voids</t>
  </si>
  <si>
    <t>Repairs</t>
  </si>
  <si>
    <t>Cracks</t>
  </si>
  <si>
    <t>Flowcoat</t>
  </si>
  <si>
    <t>GRP</t>
  </si>
  <si>
    <t>Carpentry</t>
  </si>
  <si>
    <t>USB outlets in each cabin</t>
  </si>
  <si>
    <t>USB outlets at saloon settee</t>
  </si>
  <si>
    <t>House battery isolator switch QC</t>
  </si>
  <si>
    <t>Alternators, standard with engines</t>
  </si>
  <si>
    <t>Furler clutch</t>
  </si>
  <si>
    <t>Drinks holders - 2 in fwd cockpit and 1 at helm</t>
  </si>
  <si>
    <t>Reef clutch at helm</t>
  </si>
  <si>
    <t xml:space="preserve">Primary electric winches </t>
  </si>
  <si>
    <t>Lewmar winch handles</t>
  </si>
  <si>
    <t>Mooring cleats</t>
  </si>
  <si>
    <t>Hardtop grab handles</t>
  </si>
  <si>
    <t>Portlight hull side</t>
  </si>
  <si>
    <t>Portlight windscreen</t>
  </si>
  <si>
    <t>Flush Hatch over heads</t>
  </si>
  <si>
    <t>Water tanks,total capacity with level reading and gauges</t>
  </si>
  <si>
    <t>Electric bilge pumps (keel sump) with float switches and alarm at switch panel</t>
  </si>
  <si>
    <t>Manual bilge pumps with (keel sump)</t>
  </si>
  <si>
    <t>High water bilge float switches with alarm at switch panel</t>
  </si>
  <si>
    <t>Electric bilge pumps (engine room) with float switch and warning light at switch panel</t>
  </si>
  <si>
    <t>Fuel filter / water separators</t>
  </si>
  <si>
    <t>Engine start batteries - 96Ah lead Acid type</t>
  </si>
  <si>
    <t>USB outlets at chart table QC</t>
  </si>
  <si>
    <t>Column1</t>
  </si>
  <si>
    <t>missing part</t>
  </si>
  <si>
    <t>Failure</t>
  </si>
  <si>
    <t>Stbd Side Deck</t>
  </si>
  <si>
    <t>Stbd Crew Quarters</t>
  </si>
  <si>
    <t>Port Side Deck</t>
  </si>
  <si>
    <t>Port Crew Quarters</t>
  </si>
  <si>
    <t>Helm Station</t>
  </si>
  <si>
    <t>Stbd Engine Room</t>
  </si>
  <si>
    <t>Port Engine Room</t>
  </si>
  <si>
    <t>Stbd Hull</t>
  </si>
  <si>
    <t>Port hull</t>
  </si>
  <si>
    <t>Toilet base</t>
  </si>
  <si>
    <t>Floor</t>
  </si>
  <si>
    <t>Steps</t>
  </si>
  <si>
    <t>Inboard</t>
  </si>
  <si>
    <t>Outboard</t>
  </si>
  <si>
    <t>Chain plate</t>
  </si>
  <si>
    <t>BBQ locker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</si>
  <si>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</si>
  <si>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</si>
  <si>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</si>
  <si>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</si>
  <si>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</si>
  <si>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</si>
  <si>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</si>
  <si>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</si>
  <si>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</si>
  <si>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</si>
  <si>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BBQ Locker</t>
  </si>
  <si>
    <t>Lockers</t>
  </si>
  <si>
    <t>Bilges</t>
  </si>
  <si>
    <t>lids</t>
  </si>
  <si>
    <t>Ducting</t>
  </si>
  <si>
    <t>Aircon unit</t>
  </si>
  <si>
    <t>Doors</t>
  </si>
  <si>
    <t>dividers</t>
  </si>
  <si>
    <t>windows</t>
  </si>
  <si>
    <t>solids</t>
  </si>
  <si>
    <t>vents</t>
  </si>
  <si>
    <t>formica</t>
  </si>
  <si>
    <t>Vinyl</t>
  </si>
  <si>
    <t>Stainlesteel</t>
  </si>
  <si>
    <t>Discipline No.</t>
  </si>
  <si>
    <t>Discipine Area</t>
  </si>
  <si>
    <t>Discipline Number</t>
  </si>
  <si>
    <t>Discipline Areas</t>
  </si>
  <si>
    <t xml:space="preserve">Scratches </t>
  </si>
  <si>
    <t>Spills</t>
  </si>
  <si>
    <t>Damage</t>
  </si>
  <si>
    <t>Loose</t>
  </si>
  <si>
    <t>Operational</t>
  </si>
  <si>
    <t>Missing part</t>
  </si>
  <si>
    <t>CABIN &amp; STUDY &amp; PASSAGE</t>
  </si>
  <si>
    <t>Staircase</t>
  </si>
  <si>
    <t>Plinth/Skirting</t>
  </si>
  <si>
    <t>Basin module</t>
  </si>
  <si>
    <t>Shower bulkhead module</t>
  </si>
  <si>
    <t>Heads bulkhead module</t>
  </si>
  <si>
    <t>Companion door</t>
  </si>
  <si>
    <t>Windows</t>
  </si>
  <si>
    <t>Fwd cockpit door</t>
  </si>
  <si>
    <t>U shape settee</t>
  </si>
  <si>
    <t>Saloon table</t>
  </si>
  <si>
    <t>Formica Bulkheads</t>
  </si>
  <si>
    <t>Magazine locker/shelf locker</t>
  </si>
  <si>
    <t>Hullside vinyl panels</t>
  </si>
  <si>
    <t>Window blinds</t>
  </si>
  <si>
    <t>Nav desk</t>
  </si>
  <si>
    <t>Ottoman</t>
  </si>
  <si>
    <t>Galley lockers</t>
  </si>
  <si>
    <t>Stove locker</t>
  </si>
  <si>
    <t>Draw locker</t>
  </si>
  <si>
    <t>Fridge/Freezer locker</t>
  </si>
  <si>
    <t>Microwave locker</t>
  </si>
  <si>
    <t>Tv locker</t>
  </si>
  <si>
    <t>AC/DC locker</t>
  </si>
  <si>
    <t>Vinyl ceiling</t>
  </si>
  <si>
    <t>Ice maker</t>
  </si>
  <si>
    <t>Wine cooler</t>
  </si>
  <si>
    <t>SALOON</t>
  </si>
  <si>
    <t>Exterior</t>
  </si>
  <si>
    <t>INTERIOR</t>
  </si>
  <si>
    <t>Formica bulkheads</t>
  </si>
  <si>
    <t>Inspection lids</t>
  </si>
  <si>
    <t>Vinyl panels</t>
  </si>
  <si>
    <t>Bunk Drawers</t>
  </si>
  <si>
    <t>Hanging locker</t>
  </si>
  <si>
    <t>Fiddles</t>
  </si>
  <si>
    <t>Fan</t>
  </si>
  <si>
    <t>Hatch</t>
  </si>
  <si>
    <t xml:space="preserve">HEADS </t>
  </si>
  <si>
    <t>Washbasins with basin mixer</t>
  </si>
  <si>
    <t>DECKFITTING</t>
  </si>
  <si>
    <t>Lewmar genoa tracks</t>
  </si>
  <si>
    <t>Genoa sheet clutch at helm</t>
  </si>
  <si>
    <t>PLUMBING</t>
  </si>
  <si>
    <t>Hot water cylinders/waterheaters</t>
  </si>
  <si>
    <t>MECHANICAL</t>
  </si>
  <si>
    <t xml:space="preserve">ELECTRICAL </t>
  </si>
  <si>
    <t>PERSPEX</t>
  </si>
  <si>
    <t>SPRAY PAINTING</t>
  </si>
  <si>
    <t>CLEANING</t>
  </si>
  <si>
    <t>Saloon</t>
  </si>
  <si>
    <t>HEADS COMPARTMENTS</t>
  </si>
  <si>
    <t>RUDDER &amp; STEERING SYSTEM</t>
  </si>
  <si>
    <t>ELECTRICAL INSTALLATION</t>
  </si>
  <si>
    <t>NAVIGATION EQUIPMENT</t>
  </si>
  <si>
    <t>RUNNING RIGGING</t>
  </si>
  <si>
    <t>CABIN/ STUDY/PASSAGE</t>
  </si>
  <si>
    <t>Waste tank</t>
  </si>
  <si>
    <t>Engine Room</t>
  </si>
  <si>
    <t>Stbd hull side</t>
  </si>
  <si>
    <t>Proud/Alignment</t>
  </si>
  <si>
    <t>proud/Alignment</t>
  </si>
  <si>
    <t>Wetbar</t>
  </si>
  <si>
    <t>Cabin Door</t>
  </si>
  <si>
    <t>Coat hook</t>
  </si>
  <si>
    <t xml:space="preserve">AC Outlets </t>
  </si>
  <si>
    <t>Step ladder</t>
  </si>
  <si>
    <t>Perspex</t>
  </si>
  <si>
    <t>Pop up lights</t>
  </si>
  <si>
    <t xml:space="preserve">BBQ </t>
  </si>
  <si>
    <t>Skylight</t>
  </si>
  <si>
    <t>Door frames</t>
  </si>
  <si>
    <t>Light switch</t>
  </si>
  <si>
    <t>Forepeak panel</t>
  </si>
  <si>
    <t>Stickers/tape/residue</t>
  </si>
  <si>
    <t>Bunktop/Double berth</t>
  </si>
  <si>
    <t xml:space="preserve">Formica steps </t>
  </si>
  <si>
    <t>Stairs</t>
  </si>
  <si>
    <t>Frame</t>
  </si>
  <si>
    <t>Vents</t>
  </si>
  <si>
    <t>Solids</t>
  </si>
  <si>
    <t>Formica</t>
  </si>
  <si>
    <t>Dividers</t>
  </si>
  <si>
    <t>Portlight</t>
  </si>
  <si>
    <t>Hull windows</t>
  </si>
  <si>
    <t>Lids</t>
  </si>
  <si>
    <t>Locker lids</t>
  </si>
  <si>
    <t>Floating step</t>
  </si>
  <si>
    <t>Burner gas hob</t>
  </si>
  <si>
    <t>Gas oven</t>
  </si>
  <si>
    <t>Washing machine locker</t>
  </si>
  <si>
    <t>Windlass, 10mm gypsy &amp; hand-held remote</t>
  </si>
  <si>
    <t>Bunk Liners</t>
  </si>
  <si>
    <t>Ceiling Liner</t>
  </si>
  <si>
    <t>Lewmar</t>
  </si>
  <si>
    <t>Flybridge steps</t>
  </si>
  <si>
    <t>S/S cupholder</t>
  </si>
  <si>
    <t>corian</t>
  </si>
  <si>
    <t>LPG label</t>
  </si>
  <si>
    <t>Inboard liner</t>
  </si>
  <si>
    <t>side deck step</t>
  </si>
  <si>
    <t>fwd deck steps</t>
  </si>
  <si>
    <t>window module</t>
  </si>
  <si>
    <t>deck Join</t>
  </si>
  <si>
    <t>chain plate</t>
  </si>
  <si>
    <t>toe rail</t>
  </si>
  <si>
    <t>chafe plate</t>
  </si>
  <si>
    <t>Date:</t>
  </si>
  <si>
    <t>Part</t>
  </si>
  <si>
    <t>QC NAME :</t>
  </si>
  <si>
    <t>Boat no:</t>
  </si>
  <si>
    <t>Column2</t>
  </si>
  <si>
    <t>QC NAME :Kyle</t>
  </si>
  <si>
    <t>Boat no:C2023</t>
  </si>
  <si>
    <t>Date: 11/07/2026</t>
  </si>
  <si>
    <t>Date: 25/07/2026</t>
  </si>
  <si>
    <t>Missing bolt covers bottom and top</t>
  </si>
  <si>
    <t>Loose catch block - port outer side</t>
  </si>
  <si>
    <t>Missing cover strip on companionway door frame bottom area</t>
  </si>
  <si>
    <t>Damaged floor lifter rubbers - check all</t>
  </si>
  <si>
    <t>Missing floor studs on aft locker lid</t>
  </si>
  <si>
    <t>Floor sealer stepping - check all floor sealer as marked</t>
  </si>
  <si>
    <t>Aircon vent aft of galley is dirty - clean, check entire</t>
  </si>
  <si>
    <t>Scratches and dull on port GRP liner</t>
  </si>
  <si>
    <t>Scratches and dull on starboard GRP liner</t>
  </si>
  <si>
    <t>Damages on primer on port aft window</t>
  </si>
  <si>
    <t>Clean all blinds as marked</t>
  </si>
  <si>
    <t>Forward cockpit blind strings loose and twisted</t>
  </si>
  <si>
    <t>Boat no:C2026</t>
  </si>
  <si>
    <t>Date: 19/08/2026</t>
  </si>
  <si>
    <t>Spills and damages on companionway door frame check entire frame</t>
  </si>
  <si>
    <t>Damages on aft battery locker lid</t>
  </si>
  <si>
    <t xml:space="preserve">Damages on fwd battery locker lid </t>
  </si>
  <si>
    <t xml:space="preserve">Aircon inspection - remove peel ply and loose fibre glass strands </t>
  </si>
  <si>
    <t xml:space="preserve">Clean port shelf between GRP liner and shelf </t>
  </si>
  <si>
    <t xml:space="preserve">Operational </t>
  </si>
  <si>
    <t>Twisted port fwd blind strings - port aft blind string</t>
  </si>
  <si>
    <t>Window</t>
  </si>
  <si>
    <t>Electric oven shaving on bottom pot drawer</t>
  </si>
  <si>
    <t>Galley locker drawers open when locked - as marked</t>
  </si>
  <si>
    <t>Two drawer fridge not aligned</t>
  </si>
  <si>
    <t>Fridge aft of sink stepping</t>
  </si>
  <si>
    <t>Loose hinges on locker below sink - check all as marked</t>
  </si>
  <si>
    <t>Loose corian sleeve</t>
  </si>
  <si>
    <t>Align locker doors aft of forward cockpit door</t>
  </si>
  <si>
    <t>Loose hinges and catch on all locker doors aft of forward cockpit door - as marked</t>
  </si>
  <si>
    <t>Fire extinguisher fitted at incorrect position</t>
  </si>
  <si>
    <t xml:space="preserve">Neaten sealer fwd of sink </t>
  </si>
  <si>
    <t>Corian</t>
  </si>
  <si>
    <t xml:space="preserve">Clean all mullion covers and windows </t>
  </si>
  <si>
    <t>Saloon cont…</t>
  </si>
  <si>
    <t xml:space="preserve">Port centre blind not covering entire window, light coming through </t>
  </si>
  <si>
    <t xml:space="preserve">Starboard centre blind not covering entire window, light coming through </t>
  </si>
  <si>
    <t xml:space="preserve">Oven </t>
  </si>
  <si>
    <t>Fridge</t>
  </si>
  <si>
    <t>Bin locker door stepping</t>
  </si>
  <si>
    <t>Locker aft of bin locker - fit catch and loose hinges, check all as marked</t>
  </si>
  <si>
    <t xml:space="preserve">Adjust companion way door and check alignment </t>
  </si>
  <si>
    <t xml:space="preserve">Aft cockpit </t>
  </si>
  <si>
    <t>Poor repair on chubby locker door above catch</t>
  </si>
  <si>
    <t>Porosity, poor repair and pin holes on floor tracking forward of gas locker</t>
  </si>
  <si>
    <t>Crack at starboard galley corner below barbecue locker inboard</t>
  </si>
  <si>
    <t>Crack below barbecue locker outboard</t>
  </si>
  <si>
    <t>Barbecue locker lid poorly scribed and uneven gaps</t>
  </si>
  <si>
    <t>Barbecue locker lid hinge outboard hinge standing proud</t>
  </si>
  <si>
    <t>Thin gel coat and chip off area above bridge deck flange</t>
  </si>
  <si>
    <t>Port aft inspection locker lid creeking and stepping</t>
  </si>
  <si>
    <t>Flimsy ceiling panel starboard side as marked</t>
  </si>
  <si>
    <t>Smears, stains and rust marks on fridge frames - neaten sealer</t>
  </si>
  <si>
    <t xml:space="preserve">Wobbly, sump lid </t>
  </si>
  <si>
    <t xml:space="preserve">Loose </t>
  </si>
  <si>
    <t>Concern</t>
  </si>
  <si>
    <t>Track repair</t>
  </si>
  <si>
    <t>Adjust gas locker Perco</t>
  </si>
  <si>
    <t>Bbq locker</t>
  </si>
  <si>
    <t>Loose grommet fitting inside life raft locker</t>
  </si>
  <si>
    <t>Tafflon blocks not touching swim ladder in closed position and adjust swim ladder</t>
  </si>
  <si>
    <t>Broken popper at port 3rd ceiling panel</t>
  </si>
  <si>
    <t xml:space="preserve">Skewly fitted backrest clips starboard side and check all clips for loose </t>
  </si>
  <si>
    <t>Flow coat spills on wires and engine room surround - check entire surround as marked</t>
  </si>
  <si>
    <t>Flow coat entire engine room as marked</t>
  </si>
  <si>
    <t>Loose gasket on engine room locker lid</t>
  </si>
  <si>
    <t>Remove flowcoat and neaten flowcoat as marked</t>
  </si>
  <si>
    <t>Remove spills on all marked items and GRP rooms surround</t>
  </si>
  <si>
    <t xml:space="preserve">Crack on step in tracking </t>
  </si>
  <si>
    <t xml:space="preserve">Crack on floating step tracking </t>
  </si>
  <si>
    <t xml:space="preserve">Loose door handles x3 and knocking </t>
  </si>
  <si>
    <t>Cannot semi lock</t>
  </si>
  <si>
    <t>Stb fwd heads</t>
  </si>
  <si>
    <t xml:space="preserve">Stb fwd cabin </t>
  </si>
  <si>
    <t>Fit catch and check operation of sliding door</t>
  </si>
  <si>
    <t>Fit silver screw cap on door lock</t>
  </si>
  <si>
    <t>Incomplete sealer behind sliding door</t>
  </si>
  <si>
    <t>Visible hole in formica inside forward of waste tank locker</t>
  </si>
  <si>
    <t>Incorrect screws on toilet flush switch</t>
  </si>
  <si>
    <t>Scratches and dull on PVC window surround</t>
  </si>
  <si>
    <t>Adjust roller blind to blind track</t>
  </si>
  <si>
    <t>Loose hinges on under basin and locker</t>
  </si>
  <si>
    <t>Neaten sealer as marked</t>
  </si>
  <si>
    <t>Hatch joint liner to short</t>
  </si>
  <si>
    <t>Poor spray work on entire capping</t>
  </si>
  <si>
    <t>Seal capping above entrance</t>
  </si>
  <si>
    <t>Fit striker plate and check operation of door</t>
  </si>
  <si>
    <t>Hanging locker front proud</t>
  </si>
  <si>
    <t>Neaten outboard bulkhead joints</t>
  </si>
  <si>
    <t>Poor edging at top of outboard bulkhead</t>
  </si>
  <si>
    <t>Coat hook fitted skew</t>
  </si>
  <si>
    <t>Rubber incorrect on fan</t>
  </si>
  <si>
    <t>Twisted blind strings</t>
  </si>
  <si>
    <t>Light switches fitted skew</t>
  </si>
  <si>
    <t>Outlets fitted skew</t>
  </si>
  <si>
    <t>Neaten floor sealer</t>
  </si>
  <si>
    <t>Damage on inspection at forward floating step</t>
  </si>
  <si>
    <t>Visible hole at CO2 alarm</t>
  </si>
  <si>
    <t>Stb fwd passage</t>
  </si>
  <si>
    <t>Starboard forward passage: Deep scratches on all stainless steel cappings</t>
  </si>
  <si>
    <t>Neaten outboard formica joints</t>
  </si>
  <si>
    <t>Neaten edging at aft bulkhead</t>
  </si>
  <si>
    <t>OV Heads</t>
  </si>
  <si>
    <t>Sliding door brackets fitted incorrect</t>
  </si>
  <si>
    <t>Screw protruding at top of pelmet</t>
  </si>
  <si>
    <t>Missing screw + loose divider</t>
  </si>
  <si>
    <t>Adjust gap on stepping vanity locker front</t>
  </si>
  <si>
    <t>Under basin and drawers: Adjust catches</t>
  </si>
  <si>
    <t>Loose toilet roll holder</t>
  </si>
  <si>
    <t>Missing screw cap on off deck catch</t>
  </si>
  <si>
    <t>Scratches on ceiling</t>
  </si>
  <si>
    <t>Line up blind track on roller blind</t>
  </si>
  <si>
    <t>Wobbly sump lid</t>
  </si>
  <si>
    <t>Study</t>
  </si>
  <si>
    <t>Scratches on all stainless steel cappings</t>
  </si>
  <si>
    <t>Broken ceiling poppers. Check all</t>
  </si>
  <si>
    <t>Deck hatch: Proud at screws</t>
  </si>
  <si>
    <t>Adjust catches on hanging locker</t>
  </si>
  <si>
    <t>Visible hole at forward top inch of hanging locker</t>
  </si>
  <si>
    <t>Drawer not soft closing + adjust gaps on outboard drawers</t>
  </si>
  <si>
    <t>Inboard drawers open while rolling + shaving</t>
  </si>
  <si>
    <t>Loose screws on sliding door</t>
  </si>
  <si>
    <t>Stb aft cabin</t>
  </si>
  <si>
    <t>Hanging locker door knocks</t>
  </si>
  <si>
    <t>Fire label fitted skew</t>
  </si>
  <si>
    <t>Loose hinges at study desk</t>
  </si>
  <si>
    <t>Skew push lock at study desk</t>
  </si>
  <si>
    <t>Rubber fitted incorrect on hatch</t>
  </si>
  <si>
    <t>Poor repair on inboard ceiling liner</t>
  </si>
  <si>
    <t>Skew light switch</t>
  </si>
  <si>
    <t>Skew outlets</t>
  </si>
  <si>
    <t>Loose reading lights at swivel</t>
  </si>
  <si>
    <t>Damage on anodising at deck hatch</t>
  </si>
  <si>
    <t>Port aft cabin</t>
  </si>
  <si>
    <t>Poor repairs around going flange</t>
  </si>
  <si>
    <t>Fit gullwing door locks and set door</t>
  </si>
  <si>
    <t>Gullwing blind fitted skew in closed position</t>
  </si>
  <si>
    <t>Poor spray on vent</t>
  </si>
  <si>
    <t>Stepping hanging locker front</t>
  </si>
  <si>
    <t>Loose catches on hanging lockers</t>
  </si>
  <si>
    <t>Missing hanging rail inside hanging locker</t>
  </si>
  <si>
    <t>Deep scratches on stainless steel step covers</t>
  </si>
  <si>
    <t>Damage on edging outboard bottom step</t>
  </si>
  <si>
    <t>Rubber fitted incorrect on fan</t>
  </si>
  <si>
    <t>Loose catch on waste tank locker</t>
  </si>
  <si>
    <t>Multiple screw holes on top bunk</t>
  </si>
  <si>
    <t>Blind knocking outlet when closing</t>
  </si>
  <si>
    <t>Overspray outboard of bunk drawer</t>
  </si>
  <si>
    <t>Port aft heads</t>
  </si>
  <si>
    <t>Fit catch and adjust sliding heads door</t>
  </si>
  <si>
    <t>Towel rail loose making noise</t>
  </si>
  <si>
    <t>Seal around entire window transition</t>
  </si>
  <si>
    <t>Roller blind loose</t>
  </si>
  <si>
    <t>Loose toilet seat</t>
  </si>
  <si>
    <t>Damage to formica board inside under basin locker aft area</t>
  </si>
  <si>
    <t>Poor tracking edge at toilet seat base</t>
  </si>
  <si>
    <t>Port side deck</t>
  </si>
  <si>
    <t>Scratches</t>
  </si>
  <si>
    <t>Repair</t>
  </si>
  <si>
    <t>Crack</t>
  </si>
  <si>
    <t>Stb side deck</t>
  </si>
  <si>
    <t>Chips on deck lid at aft Grabrail</t>
  </si>
  <si>
    <t>Scratches and dull on entire deck lid</t>
  </si>
  <si>
    <t>Poor repair aft of midship cabin deck hatch</t>
  </si>
  <si>
    <t>Poor repair at deck joint at pulpit seat</t>
  </si>
  <si>
    <t>Crack and pour repair on entire bow</t>
  </si>
  <si>
    <t>Poor repair around entire bow more surface</t>
  </si>
  <si>
    <t>Scratches and dull on entire toe rail</t>
  </si>
  <si>
    <t>Crack at spinlock</t>
  </si>
  <si>
    <t>Thin on decklid above targawing</t>
  </si>
  <si>
    <t>Stb hull</t>
  </si>
  <si>
    <t>Poor repair at Deck Joint at Transom</t>
  </si>
  <si>
    <t>Poor repair at Aft Deck Joint at Diesel Cap</t>
  </si>
  <si>
    <t>Poor repair at Aft chafeplate</t>
  </si>
  <si>
    <t>Poor repair Aft of Aft Window</t>
  </si>
  <si>
    <t>Poor repair at Deck Joint at Stanchion Gate</t>
  </si>
  <si>
    <t>Grind marks Aft of Chain Plate Cover at Deck Joint</t>
  </si>
  <si>
    <t>Neaten Chain Plate Sealer</t>
  </si>
  <si>
    <t>Poor repair Aft of Chain Plate Cover</t>
  </si>
  <si>
    <t>Poor repair at Deck Joint at Midship Cleat</t>
  </si>
  <si>
    <t>Poor repair at Deck Joint between second and third Stanchion</t>
  </si>
  <si>
    <t>Scratches above Hull windows</t>
  </si>
  <si>
    <t>Clean and scratches on all Hull windows</t>
  </si>
  <si>
    <t xml:space="preserve">Port forepeak </t>
  </si>
  <si>
    <t xml:space="preserve">missing edging on waste tank locker </t>
  </si>
  <si>
    <t xml:space="preserve">poor flowcoat above water tank flange </t>
  </si>
  <si>
    <t>clean spills on wiring sleeves below hatch</t>
  </si>
  <si>
    <t>clean entire floating step</t>
  </si>
  <si>
    <t xml:space="preserve">missing edging at fwd shelf + remove masking tape </t>
  </si>
  <si>
    <t>damage + missing insulation at aircon</t>
  </si>
  <si>
    <t xml:space="preserve">spills on entire bilge surround </t>
  </si>
  <si>
    <t xml:space="preserve">Port fwd cabin </t>
  </si>
  <si>
    <t xml:space="preserve">damage + loose poppers on headboard </t>
  </si>
  <si>
    <t xml:space="preserve">bunk top lid not sealer around </t>
  </si>
  <si>
    <t xml:space="preserve">clean all vynil panels </t>
  </si>
  <si>
    <t xml:space="preserve">neaten fibreglass tabbing inside bunk surround </t>
  </si>
  <si>
    <t>loose bunk Fiddle (check both)</t>
  </si>
  <si>
    <t>loose fire extinguisher bracket</t>
  </si>
  <si>
    <t xml:space="preserve">clean spills on entire window surround </t>
  </si>
  <si>
    <t xml:space="preserve">clean excess on bunk top inboard side </t>
  </si>
  <si>
    <t xml:space="preserve">top bunk drawer opening when locked </t>
  </si>
  <si>
    <t xml:space="preserve">poor sealer on entire floor joints + remove spills on entire floor </t>
  </si>
  <si>
    <t>compound on cabin blinds (check entire)</t>
  </si>
  <si>
    <t xml:space="preserve">missing fan wiring cut out </t>
  </si>
  <si>
    <t xml:space="preserve">missing touch up on Formica joints on outboard bulkhead + sealer </t>
  </si>
  <si>
    <t xml:space="preserve">loose coat hook base </t>
  </si>
  <si>
    <t xml:space="preserve">loose light switch inboard side </t>
  </si>
  <si>
    <t xml:space="preserve">loose bookshelf rails above inboard hanging locker </t>
  </si>
  <si>
    <t xml:space="preserve">loos catches on hanging locker door </t>
  </si>
  <si>
    <t>damage door capping on entire door cappings</t>
  </si>
  <si>
    <t xml:space="preserve">missing sticker player on cabin door </t>
  </si>
  <si>
    <t xml:space="preserve">Port fwd heads </t>
  </si>
  <si>
    <t xml:space="preserve">missing </t>
  </si>
  <si>
    <t xml:space="preserve">cleaning </t>
  </si>
  <si>
    <t xml:space="preserve">missing + damage+ yellow sealer on entire heads surround </t>
  </si>
  <si>
    <t>missing sealer above at heads door + below door frame</t>
  </si>
  <si>
    <t xml:space="preserve">missing striker plate on heads door </t>
  </si>
  <si>
    <t xml:space="preserve">clean hatch surround </t>
  </si>
  <si>
    <t xml:space="preserve">loose Formica strip fwd of vanity locker </t>
  </si>
  <si>
    <t xml:space="preserve">loose blind tac </t>
  </si>
  <si>
    <t>hull window + portlight</t>
  </si>
  <si>
    <t xml:space="preserve">missing toilet roll holder </t>
  </si>
  <si>
    <t>loose catch on basin locker</t>
  </si>
  <si>
    <t xml:space="preserve">loose Perspex divider </t>
  </si>
  <si>
    <t xml:space="preserve">loose vanity locker catch </t>
  </si>
  <si>
    <t xml:space="preserve">loose shower rose base </t>
  </si>
  <si>
    <t xml:space="preserve">Port passage </t>
  </si>
  <si>
    <t xml:space="preserve">proud </t>
  </si>
  <si>
    <t xml:space="preserve">poor sealer on entire passage floor </t>
  </si>
  <si>
    <t xml:space="preserve">clean spills below settee surrounds </t>
  </si>
  <si>
    <t xml:space="preserve">passage floorboards warped </t>
  </si>
  <si>
    <t xml:space="preserve">lose fire extinguisher bracket </t>
  </si>
  <si>
    <t xml:space="preserve">missing sealer at mid outboard capping </t>
  </si>
  <si>
    <t xml:space="preserve">Port mid cabin </t>
  </si>
  <si>
    <t xml:space="preserve">concern </t>
  </si>
  <si>
    <t xml:space="preserve">Port mid heads </t>
  </si>
  <si>
    <t>missing screws on door capping</t>
  </si>
  <si>
    <t xml:space="preserve">striker plate on door </t>
  </si>
  <si>
    <t xml:space="preserve">poor sealer on cabin floor+outboard bunk joints + clean spills on entire floor </t>
  </si>
  <si>
    <t xml:space="preserve">poor touch up on outboard Formica jointss </t>
  </si>
  <si>
    <t xml:space="preserve">catch on hanging locker door </t>
  </si>
  <si>
    <t xml:space="preserve">missing cut out on fan base at wiring </t>
  </si>
  <si>
    <t xml:space="preserve">bubbles on window surround </t>
  </si>
  <si>
    <t>remove pencil markings at headboard reading light</t>
  </si>
  <si>
    <t xml:space="preserve">clean all vynil panels + remove pencil markings on panels </t>
  </si>
  <si>
    <t xml:space="preserve">floor tracking creeking when stepped on </t>
  </si>
  <si>
    <t xml:space="preserve">striker plate on heads door </t>
  </si>
  <si>
    <t xml:space="preserve">hatch liner magnet not catching </t>
  </si>
  <si>
    <t xml:space="preserve">missing sealer on bulkhead inboard joint </t>
  </si>
  <si>
    <t xml:space="preserve">on screw holes on heads door </t>
  </si>
  <si>
    <t xml:space="preserve">clean entire heads door </t>
  </si>
  <si>
    <t xml:space="preserve">forward cockpit/foredeck </t>
  </si>
  <si>
    <t xml:space="preserve">dull on all Flybridge steps coamings </t>
  </si>
  <si>
    <t xml:space="preserve">dull on entire Bimini surround + flange </t>
  </si>
  <si>
    <t xml:space="preserve">On Bimini skyscreen </t>
  </si>
  <si>
    <t xml:space="preserve">spills on tracking aft at stern light tracking </t>
  </si>
  <si>
    <t xml:space="preserve">missing Boom labels </t>
  </si>
  <si>
    <t xml:space="preserve">clean entire tracking at mast </t>
  </si>
  <si>
    <t>fwd cockpit sumo lid wobbly</t>
  </si>
  <si>
    <t xml:space="preserve">loose catch on settee </t>
  </si>
  <si>
    <t xml:space="preserve">spills on STB settee tracking </t>
  </si>
  <si>
    <t xml:space="preserve">loose vynil ceiling panels + clean all </t>
  </si>
  <si>
    <t xml:space="preserve">centre vynil panel </t>
  </si>
  <si>
    <t xml:space="preserve">mould marks aft of ceiling coaming joints fwd of main window </t>
  </si>
  <si>
    <t xml:space="preserve">poor repairs + scratches on decklid coaming </t>
  </si>
  <si>
    <t xml:space="preserve">anchor locker not operating when locking </t>
  </si>
  <si>
    <t>generator locker lid stepping when locked</t>
  </si>
  <si>
    <t xml:space="preserve">loose trampoline+ tension lines </t>
  </si>
  <si>
    <t>missing sealer at nav light A-frame</t>
  </si>
  <si>
    <t xml:space="preserve">outboard of main window in waterline </t>
  </si>
  <si>
    <t xml:space="preserve">loose gaurdwires+ clean crossbeam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</si>
</sst>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0"/>
      <name val="Arial"/>
      <family val="2"/>
    </font>
    <font>
      <sz val="11"/>
      <color rgb="FF3F3F3F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color rgb="FF000000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000000"/>
      <name val="Calibri"/>
      <family val="2"/>
    </font>
    <font>
      <b/>
      <u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/>
        <bgColor theme="4" tint="0.79998168889431442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2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6">
    <xf numFmtId="0" fontId="0" fillId="0" borderId="0"/>
    <xf numFmtId="0" fontId="3" fillId="0" borderId="0"/>
    <xf numFmtId="0" fontId="1" fillId="2" borderId="2" applyNumberFormat="0" applyAlignment="0" applyProtection="0"/>
    <xf numFmtId="0" fontId="2" fillId="0" borderId="3" applyNumberFormat="0" applyFill="0" applyProtection="0"/>
    <xf numFmtId="0" fontId="4" fillId="2" borderId="1" applyNumberFormat="0" applyProtection="0">
      <alignment horizontal="left"/>
    </xf>
    <xf numFmtId="0" fontId="5" fillId="0" borderId="0"/>
  </cellStyleXfs>
  <cellXfs count="152">
    <xf numFmtId="0" fontId="0" fillId="0" borderId="0" xfId="0"/>
    <xf numFmtId="0" fontId="0" fillId="0" borderId="0" xfId="0" applyAlignment="1">
      <alignment horizontal="center"/>
    </xf>
    <xf numFmtId="0" fontId="8" fillId="0" borderId="5" xfId="0" applyFont="1" applyBorder="1" applyAlignment="1">
      <alignment horizontal="left" vertical="center" wrapText="1"/>
    </xf>
    <xf numFmtId="0" fontId="0" fillId="0" borderId="5" xfId="0" applyBorder="1"/>
    <xf numFmtId="0" fontId="6" fillId="0" borderId="0" xfId="0" applyFont="1"/>
    <xf numFmtId="0" fontId="0" fillId="0" borderId="5" xfId="0" applyBorder="1" applyAlignment="1">
      <alignment horizontal="left"/>
    </xf>
    <xf numFmtId="0" fontId="7" fillId="0" borderId="5" xfId="0" applyFont="1" applyBorder="1" applyAlignment="1">
      <alignment horizontal="left" vertical="center" wrapText="1"/>
    </xf>
    <xf numFmtId="0" fontId="0" fillId="2" borderId="3" xfId="0" applyFill="1" applyBorder="1" applyAlignment="1">
      <alignment horizontal="center"/>
    </xf>
    <xf numFmtId="0" fontId="0" fillId="3" borderId="5" xfId="0" applyFill="1" applyBorder="1" applyAlignment="1">
      <alignment horizontal="left"/>
    </xf>
    <xf numFmtId="0" fontId="0" fillId="2" borderId="5" xfId="0" applyFill="1" applyBorder="1" applyAlignment="1">
      <alignment horizontal="center"/>
    </xf>
    <xf numFmtId="0" fontId="7" fillId="0" borderId="5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5" xfId="0" applyFont="1" applyBorder="1" applyAlignment="1">
      <alignment vertical="center"/>
    </xf>
    <xf numFmtId="0" fontId="9" fillId="3" borderId="5" xfId="0" applyFont="1" applyFill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0" xfId="0" applyAlignment="1">
      <alignment horizontal="left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0" fontId="8" fillId="2" borderId="5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/>
    </xf>
    <xf numFmtId="0" fontId="0" fillId="0" borderId="4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4" xfId="0" applyBorder="1"/>
    <xf numFmtId="0" fontId="0" fillId="5" borderId="4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7" fillId="2" borderId="4" xfId="0" applyFont="1" applyFill="1" applyBorder="1" applyAlignment="1">
      <alignment horizontal="left" vertical="center" wrapText="1"/>
    </xf>
    <xf numFmtId="0" fontId="7" fillId="5" borderId="4" xfId="0" applyFont="1" applyFill="1" applyBorder="1" applyAlignment="1">
      <alignment horizontal="left" vertical="center" wrapText="1"/>
    </xf>
    <xf numFmtId="0" fontId="0" fillId="5" borderId="5" xfId="0" applyFill="1" applyBorder="1" applyAlignment="1">
      <alignment horizontal="left"/>
    </xf>
    <xf numFmtId="0" fontId="7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0" fillId="0" borderId="10" xfId="0" applyBorder="1" applyAlignment="1">
      <alignment horizontal="left"/>
    </xf>
    <xf numFmtId="0" fontId="0" fillId="0" borderId="10" xfId="0" applyBorder="1"/>
    <xf numFmtId="0" fontId="7" fillId="0" borderId="10" xfId="0" applyFont="1" applyBorder="1" applyAlignment="1">
      <alignment vertical="center" wrapText="1"/>
    </xf>
    <xf numFmtId="0" fontId="8" fillId="2" borderId="6" xfId="0" applyFont="1" applyFill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6" xfId="0" applyFont="1" applyBorder="1" applyAlignment="1">
      <alignment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left"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8" fillId="2" borderId="7" xfId="0" applyFont="1" applyFill="1" applyBorder="1" applyAlignment="1">
      <alignment horizontal="left" vertical="center"/>
    </xf>
    <xf numFmtId="0" fontId="8" fillId="2" borderId="14" xfId="0" applyFont="1" applyFill="1" applyBorder="1" applyAlignment="1">
      <alignment horizontal="left" vertical="center"/>
    </xf>
    <xf numFmtId="0" fontId="0" fillId="0" borderId="12" xfId="0" applyBorder="1" applyAlignment="1">
      <alignment horizontal="left"/>
    </xf>
    <xf numFmtId="0" fontId="12" fillId="2" borderId="16" xfId="0" applyFont="1" applyFill="1" applyBorder="1" applyAlignment="1">
      <alignment horizontal="center"/>
    </xf>
    <xf numFmtId="0" fontId="0" fillId="5" borderId="15" xfId="0" applyFill="1" applyBorder="1" applyAlignment="1">
      <alignment horizontal="left"/>
    </xf>
    <xf numFmtId="0" fontId="7" fillId="0" borderId="13" xfId="0" applyFont="1" applyBorder="1" applyAlignment="1">
      <alignment horizontal="left" vertical="center" wrapText="1"/>
    </xf>
    <xf numFmtId="0" fontId="0" fillId="2" borderId="15" xfId="0" applyFill="1" applyBorder="1" applyAlignment="1">
      <alignment horizontal="left"/>
    </xf>
    <xf numFmtId="0" fontId="7" fillId="0" borderId="7" xfId="0" applyFont="1" applyBorder="1" applyAlignment="1">
      <alignment horizontal="left" vertical="center" wrapText="1"/>
    </xf>
    <xf numFmtId="0" fontId="0" fillId="0" borderId="6" xfId="0" applyBorder="1"/>
    <xf numFmtId="0" fontId="14" fillId="0" borderId="0" xfId="0" applyFont="1" applyAlignment="1">
      <alignment horizontal="center"/>
    </xf>
    <xf numFmtId="0" fontId="7" fillId="0" borderId="17" xfId="0" applyFont="1" applyBorder="1" applyAlignment="1">
      <alignment horizontal="left" vertical="center" wrapText="1"/>
    </xf>
    <xf numFmtId="0" fontId="7" fillId="4" borderId="17" xfId="0" applyFont="1" applyFill="1" applyBorder="1" applyAlignment="1">
      <alignment horizontal="left" vertical="center" wrapText="1"/>
    </xf>
    <xf numFmtId="0" fontId="7" fillId="4" borderId="5" xfId="0" applyFont="1" applyFill="1" applyBorder="1" applyAlignment="1">
      <alignment horizontal="left" vertical="center" wrapText="1"/>
    </xf>
    <xf numFmtId="0" fontId="15" fillId="0" borderId="0" xfId="0" applyFont="1" applyAlignment="1">
      <alignment horizontal="center"/>
    </xf>
    <xf numFmtId="0" fontId="15" fillId="6" borderId="0" xfId="0" applyFont="1" applyFill="1" applyAlignment="1">
      <alignment horizontal="center"/>
    </xf>
    <xf numFmtId="0" fontId="7" fillId="5" borderId="17" xfId="0" applyFont="1" applyFill="1" applyBorder="1" applyAlignment="1">
      <alignment horizontal="left" vertical="center" wrapText="1"/>
    </xf>
    <xf numFmtId="0" fontId="7" fillId="5" borderId="5" xfId="0" applyFont="1" applyFill="1" applyBorder="1" applyAlignment="1">
      <alignment horizontal="left" vertical="center" wrapText="1"/>
    </xf>
    <xf numFmtId="0" fontId="12" fillId="2" borderId="15" xfId="0" applyFont="1" applyFill="1" applyBorder="1" applyAlignment="1">
      <alignment horizontal="center"/>
    </xf>
    <xf numFmtId="0" fontId="0" fillId="4" borderId="5" xfId="0" applyFill="1" applyBorder="1" applyAlignment="1">
      <alignment horizontal="left"/>
    </xf>
    <xf numFmtId="0" fontId="0" fillId="4" borderId="5" xfId="0" applyFill="1" applyBorder="1"/>
    <xf numFmtId="0" fontId="14" fillId="0" borderId="5" xfId="0" applyFont="1" applyBorder="1" applyAlignment="1">
      <alignment horizontal="center"/>
    </xf>
    <xf numFmtId="0" fontId="13" fillId="2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left" vertical="center" wrapText="1"/>
    </xf>
    <xf numFmtId="0" fontId="0" fillId="4" borderId="3" xfId="0" applyFill="1" applyBorder="1"/>
    <xf numFmtId="0" fontId="0" fillId="7" borderId="0" xfId="0" applyFill="1" applyAlignment="1">
      <alignment horizontal="center"/>
    </xf>
    <xf numFmtId="0" fontId="7" fillId="8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2" borderId="5" xfId="0" applyFill="1" applyBorder="1"/>
    <xf numFmtId="0" fontId="0" fillId="2" borderId="5" xfId="0" applyFill="1" applyBorder="1" applyAlignment="1">
      <alignment wrapText="1"/>
    </xf>
    <xf numFmtId="0" fontId="0" fillId="0" borderId="5" xfId="0" applyBorder="1" applyAlignment="1">
      <alignment wrapText="1"/>
    </xf>
    <xf numFmtId="0" fontId="0" fillId="0" borderId="5" xfId="0" applyBorder="1" applyAlignment="1">
      <alignment horizontal="center"/>
    </xf>
    <xf numFmtId="0" fontId="16" fillId="0" borderId="0" xfId="0" applyFont="1" applyAlignment="1">
      <alignment vertical="center"/>
    </xf>
    <xf numFmtId="0" fontId="2" fillId="2" borderId="5" xfId="3" applyFill="1" applyBorder="1" applyAlignment="1">
      <alignment horizontal="center" vertical="center"/>
    </xf>
    <xf numFmtId="0" fontId="0" fillId="2" borderId="6" xfId="0" applyFill="1" applyBorder="1"/>
    <xf numFmtId="0" fontId="7" fillId="4" borderId="3" xfId="0" applyFont="1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top" wrapText="1"/>
    </xf>
    <xf numFmtId="0" fontId="0" fillId="2" borderId="6" xfId="0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10" xfId="0" applyBorder="1" applyAlignment="1">
      <alignment wrapText="1"/>
    </xf>
    <xf numFmtId="0" fontId="0" fillId="2" borderId="10" xfId="0" applyFill="1" applyBorder="1" applyAlignment="1">
      <alignment wrapText="1"/>
    </xf>
    <xf numFmtId="0" fontId="0" fillId="0" borderId="3" xfId="0" applyBorder="1" applyAlignment="1">
      <alignment horizontal="center"/>
    </xf>
    <xf numFmtId="0" fontId="0" fillId="2" borderId="3" xfId="0" applyFill="1" applyBorder="1" applyAlignment="1">
      <alignment wrapText="1"/>
    </xf>
    <xf numFmtId="0" fontId="0" fillId="2" borderId="3" xfId="0" applyFill="1" applyBorder="1"/>
    <xf numFmtId="0" fontId="18" fillId="2" borderId="5" xfId="0" applyFont="1" applyFill="1" applyBorder="1" applyAlignment="1">
      <alignment horizontal="center"/>
    </xf>
    <xf numFmtId="0" fontId="0" fillId="0" borderId="19" xfId="0" applyBorder="1" applyAlignment="1">
      <alignment wrapText="1"/>
    </xf>
    <xf numFmtId="0" fontId="0" fillId="0" borderId="3" xfId="0" applyBorder="1"/>
    <xf numFmtId="0" fontId="14" fillId="0" borderId="3" xfId="0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6" xfId="0" applyBorder="1" applyAlignment="1">
      <alignment wrapText="1"/>
    </xf>
    <xf numFmtId="0" fontId="0" fillId="2" borderId="6" xfId="0" applyFill="1" applyBorder="1" applyAlignment="1">
      <alignment wrapText="1"/>
    </xf>
    <xf numFmtId="0" fontId="7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wrapText="1"/>
    </xf>
    <xf numFmtId="0" fontId="17" fillId="0" borderId="5" xfId="0" applyFont="1" applyBorder="1" applyAlignment="1">
      <alignment horizontal="center" vertical="center" wrapText="1"/>
    </xf>
    <xf numFmtId="0" fontId="11" fillId="0" borderId="5" xfId="0" applyFont="1" applyBorder="1"/>
    <xf numFmtId="0" fontId="11" fillId="0" borderId="5" xfId="0" applyFont="1" applyBorder="1" applyAlignment="1">
      <alignment horizontal="center" wrapText="1"/>
    </xf>
    <xf numFmtId="0" fontId="11" fillId="0" borderId="5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/>
    </xf>
    <xf numFmtId="0" fontId="17" fillId="0" borderId="5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9" borderId="5" xfId="0" applyFont="1" applyFill="1" applyBorder="1" applyAlignment="1">
      <alignment horizontal="center" vertical="center" wrapText="1"/>
    </xf>
    <xf numFmtId="0" fontId="11" fillId="9" borderId="5" xfId="0" applyFont="1" applyFill="1" applyBorder="1" applyAlignment="1">
      <alignment horizontal="center" wrapText="1"/>
    </xf>
    <xf numFmtId="0" fontId="17" fillId="9" borderId="5" xfId="0" applyFont="1" applyFill="1" applyBorder="1" applyAlignment="1">
      <alignment horizontal="center" vertical="center" wrapText="1"/>
    </xf>
    <xf numFmtId="0" fontId="11" fillId="9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wrapText="1"/>
    </xf>
    <xf numFmtId="0" fontId="11" fillId="2" borderId="5" xfId="0" applyFont="1" applyFill="1" applyBorder="1" applyAlignment="1">
      <alignment horizontal="center" wrapText="1"/>
    </xf>
    <xf numFmtId="0" fontId="11" fillId="2" borderId="5" xfId="0" applyFont="1" applyFill="1" applyBorder="1" applyAlignment="1">
      <alignment horizontal="center"/>
    </xf>
    <xf numFmtId="0" fontId="17" fillId="9" borderId="19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wrapText="1"/>
    </xf>
    <xf numFmtId="0" fontId="11" fillId="2" borderId="5" xfId="0" applyFont="1" applyFill="1" applyBorder="1"/>
    <xf numFmtId="0" fontId="11" fillId="2" borderId="5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 wrapText="1"/>
    </xf>
    <xf numFmtId="0" fontId="0" fillId="10" borderId="5" xfId="0" applyFill="1" applyBorder="1" applyAlignment="1">
      <alignment horizontal="center"/>
    </xf>
    <xf numFmtId="0" fontId="2" fillId="0" borderId="4" xfId="3" applyFill="1" applyBorder="1" applyAlignment="1">
      <alignment horizontal="center" vertical="center"/>
    </xf>
    <xf numFmtId="0" fontId="2" fillId="0" borderId="3" xfId="3" applyFill="1" applyAlignment="1">
      <alignment horizontal="center" vertical="center"/>
    </xf>
    <xf numFmtId="0" fontId="2" fillId="2" borderId="4" xfId="3" applyFill="1" applyBorder="1" applyAlignment="1">
      <alignment horizontal="center" vertical="center"/>
    </xf>
    <xf numFmtId="0" fontId="2" fillId="2" borderId="3" xfId="3" applyFill="1" applyAlignment="1">
      <alignment horizontal="center" vertical="center"/>
    </xf>
    <xf numFmtId="0" fontId="0" fillId="0" borderId="6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3" xfId="0" applyBorder="1" applyAlignment="1">
      <alignment horizontal="left"/>
    </xf>
    <xf numFmtId="0" fontId="2" fillId="2" borderId="5" xfId="3" applyFill="1" applyBorder="1" applyAlignment="1">
      <alignment horizontal="center" vertical="center" wrapText="1"/>
    </xf>
    <xf numFmtId="0" fontId="2" fillId="2" borderId="5" xfId="3" applyFill="1" applyBorder="1" applyAlignment="1">
      <alignment horizontal="center" vertical="center"/>
    </xf>
    <xf numFmtId="0" fontId="2" fillId="2" borderId="4" xfId="3" applyFill="1" applyBorder="1" applyAlignment="1">
      <alignment horizontal="center" vertical="center" wrapText="1"/>
    </xf>
    <xf numFmtId="0" fontId="2" fillId="2" borderId="3" xfId="3" applyFill="1" applyAlignment="1">
      <alignment horizontal="center" vertical="center" wrapText="1"/>
    </xf>
    <xf numFmtId="0" fontId="0" fillId="0" borderId="1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2" borderId="5" xfId="0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7" fillId="2" borderId="19" xfId="0" applyFont="1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/>
    </xf>
    <xf numFmtId="0" fontId="0" fillId="2" borderId="19" xfId="0" applyFill="1" applyBorder="1"/>
    <xf numFmtId="0" fontId="17" fillId="2" borderId="3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wrapText="1"/>
    </xf>
    <xf numFmtId="0" fontId="11" fillId="9" borderId="5" xfId="0" applyFont="1" applyFill="1" applyBorder="1" applyAlignment="1">
      <alignment wrapText="1"/>
    </xf>
    <xf numFmtId="0" fontId="0" fillId="2" borderId="0" xfId="0" applyFill="1" applyAlignment="1">
      <alignment wrapText="1"/>
    </xf>
  </cellXfs>
  <cellStyles count="6">
    <cellStyle name="Heading 2 2" xfId="2" xr:uid="{00000000-0005-0000-0000-000000000000}"/>
    <cellStyle name="Heading 3 2" xfId="3" xr:uid="{00000000-0005-0000-0000-000001000000}"/>
    <cellStyle name="Normal" xfId="0" builtinId="0"/>
    <cellStyle name="Normal 2" xfId="5" xr:uid="{00000000-0005-0000-0000-000004000000}"/>
    <cellStyle name="Normal 3" xfId="1" xr:uid="{00000000-0005-0000-0000-000005000000}"/>
    <cellStyle name="Output 2" xfId="4" xr:uid="{00000000-0005-0000-0000-000006000000}"/>
  </cellStyles>
  <dxfs count="28"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/>
      </border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C4447C-7F11-4783-9AAE-1FB0C9C33002}" name="Table1" displayName="Table1" ref="O2:AN52" totalsRowShown="0" headerRowDxfId="27">
  <autoFilter ref="O2:AN52" xr:uid="{67C4447C-7F11-4783-9AAE-1FB0C9C33002}"/>
  <tableColumns count="26">
    <tableColumn id="1" xr3:uid="{112B49CC-BBA8-46EF-9573-3F6D019BEE36}" name="SALOON QC" dataDxfId="26"/>
    <tableColumn id="2" xr3:uid="{4B9BDC8D-1EFB-4675-B56F-13E1C9131FFF}" name="GALLEY QC" dataDxfId="25"/>
    <tableColumn id="3" xr3:uid="{65544FA8-6AC1-4814-BF03-BE875C174E54}" name="NAVIGATION CONSOLE QC" dataDxfId="24"/>
    <tableColumn id="4" xr3:uid="{B417DB46-6C86-4CE2-84D3-66ADAADF0E13}" name="CABIN &amp; STUDY" dataDxfId="23"/>
    <tableColumn id="5" xr3:uid="{F927F728-2F84-44AB-8693-BCCC0CCB4D8D}" name="HEADS COMPARTMENTS (ALL CABINS)" dataDxfId="22"/>
    <tableColumn id="6" xr3:uid="{674C0825-23F6-4CA9-B5EE-BF14466ACDF4}" name="DECK FITTINGS " dataDxfId="21"/>
    <tableColumn id="7" xr3:uid="{629D4A64-1BAE-4FF2-A11A-854D954713E5}" name="MAST, RIGGING &amp; SAILS "/>
    <tableColumn id="8" xr3:uid="{05A870BF-0239-42F3-96CD-8EC84914BFBC}" name="PLUMBING INSTALLATION "/>
    <tableColumn id="9" xr3:uid="{C14C80C9-84BB-4C9D-BC78-4C4F5719A245}" name="ENGINE &amp; CONTROLS"/>
    <tableColumn id="10" xr3:uid="{BF4DF656-CD1E-455D-B08B-498C89A9A937}" name="RUDDER &amp; STEERING SYSTEM QC"/>
    <tableColumn id="11" xr3:uid="{9921F43F-24C9-47A6-B29D-B40A48A1DC97}" name="ELECTRICAL INSTALLATION QC"/>
    <tableColumn id="12" xr3:uid="{6FD2A5AF-051F-4718-9130-22176CEFBD08}" name="NAVIGATION EQUIPMENT QC"/>
    <tableColumn id="13" xr3:uid="{1E18C1E4-6E71-449E-A8CE-F9B4D2810B5B}" name="RUNNING RIGGING QC"/>
    <tableColumn id="14" xr3:uid="{07266573-7262-4A26-AAFA-63E83C1F359E}" name="Fwd cockpit"/>
    <tableColumn id="15" xr3:uid="{7A9A8D35-9ED5-4CA2-8182-76B308688057}" name="Foredeck"/>
    <tableColumn id="16" xr3:uid="{229C3CC2-232A-46A0-AE19-4DAFA727CFE8}" name="Stbd Side Deck"/>
    <tableColumn id="17" xr3:uid="{C27139F3-FE9F-4A07-A9C3-9CF5B65E00EA}" name="Stbd Crew Quarters"/>
    <tableColumn id="18" xr3:uid="{F52A0348-8FEC-4D98-B3E1-D2351371485C}" name="Port Side Deck"/>
    <tableColumn id="19" xr3:uid="{60EAE210-87C0-4944-ABB9-9396C91B2BEA}" name="Port Crew Quarters"/>
    <tableColumn id="20" xr3:uid="{5BD62877-2820-44FB-8CAE-DCB17AD798C7}" name="Flybridge"/>
    <tableColumn id="21" xr3:uid="{5030C405-76DA-43F9-948E-8FC009630224}" name="Aft cockpit"/>
    <tableColumn id="22" xr3:uid="{9875FE6D-337A-4C12-810B-A75917ADEEE4}" name="Helm Station"/>
    <tableColumn id="23" xr3:uid="{D5A1B9A4-1BFB-46F9-BECF-2A25149BB2CA}" name="Stbd Engine Room"/>
    <tableColumn id="24" xr3:uid="{1140CCC9-8C2F-415C-B1B3-528015535D5D}" name="Port Engine Room"/>
    <tableColumn id="25" xr3:uid="{77C4FAAF-22D1-4685-A215-5A45B8326CBE}" name="Stbd Hull"/>
    <tableColumn id="26" xr3:uid="{C2B964F3-6808-466D-B54D-14A9DF2BB646}" name="Port hul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818C1B4-4EAE-438C-AFD6-9941D8E4F229}" name="Table5" displayName="Table5" ref="A1:L216" totalsRowShown="0" headerRowDxfId="20" dataDxfId="19" tableBorderDxfId="18">
  <autoFilter ref="A1:L216" xr:uid="{6818C1B4-4EAE-438C-AFD6-9941D8E4F229}"/>
  <tableColumns count="12">
    <tableColumn id="1" xr3:uid="{1E8C1D1A-E634-49C4-BF0D-A3C757371306}" name="No" dataDxfId="17"/>
    <tableColumn id="2" xr3:uid="{8B271FC7-63EB-4DCD-88E0-441E2EDE21EE}" name="Area" dataDxfId="16"/>
    <tableColumn id="3" xr3:uid="{292C7CED-5897-4C20-A68E-EC830DF7B1BE}" name="Code" dataDxfId="15"/>
    <tableColumn id="4" xr3:uid="{0EAC6049-4C78-4735-B146-A586170CDE76}" name="Item/Part /sub component" dataDxfId="14"/>
    <tableColumn id="5" xr3:uid="{751FFE9B-0CCB-4175-B45F-1AD62F76AC12}" name="Failure " dataDxfId="13"/>
    <tableColumn id="12" xr3:uid="{929547B2-AAD3-4BA9-BAE2-47D45B9EF839}" name="Column2" dataDxfId="12"/>
    <tableColumn id="6" xr3:uid="{290BA2FE-2BC7-47C6-856D-C9E143FCDA8B}" name="Failure mode" dataDxfId="11"/>
    <tableColumn id="7" xr3:uid="{C4A358AF-8011-4472-A9E5-B61BA2492950}" name="Repaired by" dataDxfId="10"/>
    <tableColumn id="8" xr3:uid="{4954C40D-0CE7-491C-ADBE-0571746088A3}" name="Repaired Date " dataDxfId="9"/>
    <tableColumn id="9" xr3:uid="{42741329-0C03-41D3-8056-E81ED21B94D7}" name="TL/BM CHECK" dataDxfId="8"/>
    <tableColumn id="10" xr3:uid="{4A5FC777-C6C5-422E-A80D-DA2961AE2863}" name="QC" dataDxfId="7"/>
    <tableColumn id="11" xr3:uid="{698C43B7-DB6A-467F-95E5-163B9E6B134F}" name="Column1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50F807-508F-4C94-89C5-D6987D3E4CE5}" name="Table2" displayName="Table2" ref="B217:D506" totalsRowShown="0" headerRowDxfId="5">
  <autoFilter ref="B217:D506" xr:uid="{D650F807-508F-4C94-89C5-D6987D3E4CE5}"/>
  <tableColumns count="3">
    <tableColumn id="1" xr3:uid="{F486489D-294B-4C4C-B27B-B1579006500C}" name="Failure"/>
    <tableColumn id="2" xr3:uid="{819D5FC8-1D3E-4CBD-B8CA-72226484EEAB}" name="Area" dataDxfId="4"/>
    <tableColumn id="3" xr3:uid="{9D0F0F24-6263-4AD5-B187-1BE6356D00C2}" name="Description" dataDxf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AB70CBD-29B8-47B2-A7F8-AB4F5A1D4AA7}" name="Table3" displayName="Table3" ref="O54:X125" totalsRowShown="0" headerRowDxfId="2">
  <autoFilter ref="O54:X125" xr:uid="{4AB70CBD-29B8-47B2-A7F8-AB4F5A1D4AA7}"/>
  <tableColumns count="10">
    <tableColumn id="1" xr3:uid="{0A6FB6AA-FAC0-40CB-9FDA-B0C3CCCD9EB9}" name="1"/>
    <tableColumn id="2" xr3:uid="{1614E0CF-62FF-4A07-AAAF-623F0B1ED10F}" name="2"/>
    <tableColumn id="3" xr3:uid="{C2C37A9B-DF22-48FA-AF20-59AE2423BCD2}" name="3"/>
    <tableColumn id="4" xr3:uid="{CDAAC493-B1C2-4ED0-87F8-B5F26AC9F297}" name="4"/>
    <tableColumn id="5" xr3:uid="{79C80566-ED7E-4A5E-9B74-FFBE2A905EDB}" name="5"/>
    <tableColumn id="6" xr3:uid="{C6B1464F-D8F6-4875-A5A1-569147E03F6E}" name="6"/>
    <tableColumn id="7" xr3:uid="{7C66A2EA-A6B2-4E5D-B5A2-E6C482FF78DE}" name="7"/>
    <tableColumn id="8" xr3:uid="{E5E44FD0-5F75-44E6-AAC5-7968E3D507AD}" name="8"/>
    <tableColumn id="9" xr3:uid="{7F873016-338B-49E9-9859-D30939B7C469}" name="9"/>
    <tableColumn id="10" xr3:uid="{147C6B9A-95C1-45B6-B032-5C93F4CD0AC7}" name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D363D9C-85BA-4427-826B-C5EEF0FAB743}" name="Table4" displayName="Table4" ref="C512:D782" totalsRowShown="0" headerRowDxfId="1">
  <autoFilter ref="C512:D782" xr:uid="{3D363D9C-85BA-4427-826B-C5EEF0FAB743}"/>
  <tableColumns count="2">
    <tableColumn id="1" xr3:uid="{43EEFB55-F332-400A-A227-7AEEA6167924}" name="Discipline No." dataDxfId="0"/>
    <tableColumn id="2" xr3:uid="{C837BC2E-F4E1-44C9-8734-6940CA42C786}" name="Discipine Are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821AF-F059-4F9A-BA96-45978967367F}">
  <dimension ref="A1:AN782"/>
  <sheetViews>
    <sheetView zoomScale="73" zoomScaleNormal="73" workbookViewId="0">
      <selection activeCell="B4" sqref="B4"/>
    </sheetView>
  </sheetViews>
  <sheetFormatPr defaultRowHeight="15" x14ac:dyDescent="0.25"/>
  <cols>
    <col min="1" max="1" width="9" style="15" bestFit="1" customWidth="1"/>
    <col min="2" max="2" width="22" style="15" bestFit="1" customWidth="1"/>
    <col min="3" max="3" width="35" style="15" bestFit="1" customWidth="1"/>
    <col min="4" max="4" width="81" style="15" bestFit="1" customWidth="1"/>
    <col min="5" max="5" width="20.85546875" style="15" bestFit="1" customWidth="1"/>
    <col min="6" max="6" width="20.85546875" style="15" customWidth="1"/>
    <col min="7" max="7" width="35" style="15" bestFit="1" customWidth="1"/>
    <col min="8" max="8" width="81" style="15" bestFit="1" customWidth="1"/>
    <col min="9" max="9" width="15.5703125" style="15" customWidth="1"/>
    <col min="10" max="10" width="15.7109375" style="15" customWidth="1"/>
    <col min="11" max="11" width="9.140625" style="15"/>
    <col min="12" max="12" width="10.28515625" style="15" customWidth="1"/>
    <col min="14" max="14" width="8.42578125" bestFit="1" customWidth="1"/>
    <col min="15" max="15" width="54.28515625" customWidth="1"/>
    <col min="16" max="16" width="62.140625" customWidth="1"/>
    <col min="17" max="17" width="62.140625" bestFit="1" customWidth="1"/>
    <col min="18" max="18" width="68" bestFit="1" customWidth="1"/>
    <col min="19" max="19" width="81" bestFit="1" customWidth="1"/>
    <col min="20" max="20" width="68" customWidth="1"/>
    <col min="21" max="21" width="65.28515625" bestFit="1" customWidth="1"/>
    <col min="22" max="22" width="81" customWidth="1"/>
    <col min="23" max="23" width="68" customWidth="1"/>
    <col min="24" max="24" width="65.28515625" customWidth="1"/>
    <col min="25" max="25" width="46.7109375" customWidth="1"/>
    <col min="26" max="26" width="29" customWidth="1"/>
    <col min="27" max="27" width="30.28515625" customWidth="1"/>
    <col min="28" max="28" width="17.28515625" bestFit="1" customWidth="1"/>
    <col min="29" max="29" width="14.5703125" bestFit="1" customWidth="1"/>
    <col min="30" max="30" width="19.5703125" bestFit="1" customWidth="1"/>
    <col min="31" max="31" width="24.42578125" bestFit="1" customWidth="1"/>
    <col min="32" max="32" width="19.28515625" bestFit="1" customWidth="1"/>
    <col min="33" max="33" width="24.28515625" bestFit="1" customWidth="1"/>
    <col min="34" max="34" width="14.5703125" bestFit="1" customWidth="1"/>
    <col min="35" max="35" width="15.85546875" bestFit="1" customWidth="1"/>
    <col min="36" max="36" width="18" bestFit="1" customWidth="1"/>
    <col min="37" max="37" width="22.85546875" bestFit="1" customWidth="1"/>
    <col min="38" max="38" width="22.5703125" bestFit="1" customWidth="1"/>
    <col min="39" max="39" width="14.42578125" bestFit="1" customWidth="1"/>
    <col min="40" max="40" width="14.140625" bestFit="1" customWidth="1"/>
  </cols>
  <sheetData>
    <row r="1" spans="1:40" ht="15.75" customHeight="1" x14ac:dyDescent="0.25">
      <c r="A1" s="39" t="s">
        <v>0</v>
      </c>
      <c r="B1" s="40" t="s">
        <v>1</v>
      </c>
      <c r="C1" s="41" t="s">
        <v>2</v>
      </c>
      <c r="D1" s="41" t="s">
        <v>3</v>
      </c>
      <c r="E1" s="40" t="s">
        <v>4</v>
      </c>
      <c r="F1" s="40" t="s">
        <v>413</v>
      </c>
      <c r="G1" s="40" t="s">
        <v>5</v>
      </c>
      <c r="H1" s="42" t="s">
        <v>6</v>
      </c>
      <c r="I1" s="42" t="s">
        <v>7</v>
      </c>
      <c r="J1" s="42" t="s">
        <v>8</v>
      </c>
      <c r="K1" s="43" t="s">
        <v>9</v>
      </c>
      <c r="L1" s="44" t="s">
        <v>249</v>
      </c>
    </row>
    <row r="2" spans="1:40" ht="15" customHeight="1" x14ac:dyDescent="0.25">
      <c r="A2" s="31"/>
      <c r="B2" s="28"/>
      <c r="C2" s="29"/>
      <c r="D2" s="29"/>
      <c r="E2" s="64" t="s">
        <v>225</v>
      </c>
      <c r="F2" s="64"/>
      <c r="G2" s="28"/>
      <c r="H2" s="30"/>
      <c r="I2" s="30"/>
      <c r="J2" s="30"/>
      <c r="K2" s="18" t="s">
        <v>10</v>
      </c>
      <c r="L2" s="36" t="s">
        <v>11</v>
      </c>
      <c r="O2" s="19" t="s">
        <v>45</v>
      </c>
      <c r="P2" s="19" t="s">
        <v>68</v>
      </c>
      <c r="Q2" s="19" t="s">
        <v>87</v>
      </c>
      <c r="R2" s="19" t="s">
        <v>91</v>
      </c>
      <c r="S2" s="19" t="s">
        <v>107</v>
      </c>
      <c r="T2" s="19" t="s">
        <v>119</v>
      </c>
      <c r="U2" s="19" t="s">
        <v>160</v>
      </c>
      <c r="V2" s="19" t="s">
        <v>169</v>
      </c>
      <c r="W2" s="19" t="s">
        <v>177</v>
      </c>
      <c r="X2" s="19" t="s">
        <v>189</v>
      </c>
      <c r="Y2" s="19" t="s">
        <v>195</v>
      </c>
      <c r="Z2" s="19" t="s">
        <v>204</v>
      </c>
      <c r="AA2" s="19" t="s">
        <v>206</v>
      </c>
      <c r="AB2" s="19" t="s">
        <v>22</v>
      </c>
      <c r="AC2" s="19" t="s">
        <v>25</v>
      </c>
      <c r="AD2" s="19" t="s">
        <v>252</v>
      </c>
      <c r="AE2" s="19" t="s">
        <v>253</v>
      </c>
      <c r="AF2" s="19" t="s">
        <v>254</v>
      </c>
      <c r="AG2" s="19" t="s">
        <v>255</v>
      </c>
      <c r="AH2" s="19" t="s">
        <v>19</v>
      </c>
      <c r="AI2" s="19" t="s">
        <v>64</v>
      </c>
      <c r="AJ2" s="19" t="s">
        <v>256</v>
      </c>
      <c r="AK2" s="19" t="s">
        <v>257</v>
      </c>
      <c r="AL2" s="19" t="s">
        <v>258</v>
      </c>
      <c r="AM2" s="19" t="s">
        <v>259</v>
      </c>
      <c r="AN2" s="19" t="s">
        <v>260</v>
      </c>
    </row>
    <row r="3" spans="1:40" ht="15" customHeight="1" x14ac:dyDescent="0.25">
      <c r="A3" s="32"/>
      <c r="B3" s="16"/>
      <c r="C3" s="5">
        <v>1</v>
      </c>
      <c r="D3" s="17" t="s">
        <v>12</v>
      </c>
      <c r="E3" s="3" t="s">
        <v>218</v>
      </c>
      <c r="F3" s="92"/>
      <c r="G3" s="16"/>
      <c r="H3" s="2"/>
      <c r="I3" s="2"/>
      <c r="J3" s="2"/>
      <c r="K3" s="2"/>
      <c r="L3" s="37"/>
      <c r="N3" s="4"/>
      <c r="O3" s="5" t="s">
        <v>46</v>
      </c>
      <c r="P3" s="5" t="s">
        <v>69</v>
      </c>
      <c r="Q3" s="5" t="s">
        <v>88</v>
      </c>
      <c r="R3" s="5" t="s">
        <v>46</v>
      </c>
      <c r="S3" s="5" t="s">
        <v>108</v>
      </c>
      <c r="T3" s="5" t="s">
        <v>120</v>
      </c>
      <c r="U3" s="5" t="s">
        <v>161</v>
      </c>
      <c r="V3" s="5" t="s">
        <v>170</v>
      </c>
      <c r="W3" s="5" t="s">
        <v>178</v>
      </c>
      <c r="X3" s="5" t="s">
        <v>190</v>
      </c>
      <c r="Y3" s="5" t="s">
        <v>196</v>
      </c>
      <c r="Z3" s="5" t="s">
        <v>205</v>
      </c>
      <c r="AA3" s="5" t="s">
        <v>207</v>
      </c>
      <c r="AB3" s="17" t="s">
        <v>12</v>
      </c>
      <c r="AC3" s="17" t="s">
        <v>12</v>
      </c>
      <c r="AD3" s="17" t="s">
        <v>12</v>
      </c>
      <c r="AE3" s="17" t="s">
        <v>12</v>
      </c>
      <c r="AF3" s="17" t="s">
        <v>12</v>
      </c>
      <c r="AG3" s="17" t="s">
        <v>12</v>
      </c>
      <c r="AH3" s="50" t="s">
        <v>12</v>
      </c>
      <c r="AI3" s="6" t="s">
        <v>12</v>
      </c>
      <c r="AJ3" s="48" t="s">
        <v>12</v>
      </c>
      <c r="AK3" s="6" t="s">
        <v>12</v>
      </c>
      <c r="AL3" s="6" t="s">
        <v>12</v>
      </c>
      <c r="AM3" s="17" t="s">
        <v>12</v>
      </c>
      <c r="AN3" s="17" t="s">
        <v>12</v>
      </c>
    </row>
    <row r="4" spans="1:40" ht="15" customHeight="1" x14ac:dyDescent="0.25">
      <c r="A4" s="32"/>
      <c r="B4" s="16"/>
      <c r="C4" s="5">
        <v>2</v>
      </c>
      <c r="D4" s="17" t="s">
        <v>15</v>
      </c>
      <c r="E4" s="3" t="s">
        <v>219</v>
      </c>
      <c r="F4" s="92"/>
      <c r="G4" s="16"/>
      <c r="H4" s="2"/>
      <c r="I4" s="2"/>
      <c r="J4" s="2"/>
      <c r="K4" s="2"/>
      <c r="L4" s="37"/>
      <c r="N4" s="4"/>
      <c r="O4" s="5" t="s">
        <v>48</v>
      </c>
      <c r="P4" s="5" t="s">
        <v>70</v>
      </c>
      <c r="Q4" s="6" t="s">
        <v>53</v>
      </c>
      <c r="R4" s="5" t="s">
        <v>48</v>
      </c>
      <c r="S4" s="5" t="s">
        <v>109</v>
      </c>
      <c r="T4" s="5" t="s">
        <v>121</v>
      </c>
      <c r="U4" s="5" t="s">
        <v>162</v>
      </c>
      <c r="V4" s="5" t="s">
        <v>241</v>
      </c>
      <c r="W4" s="5" t="s">
        <v>179</v>
      </c>
      <c r="X4" s="5" t="s">
        <v>191</v>
      </c>
      <c r="Y4" s="5" t="s">
        <v>197</v>
      </c>
      <c r="AA4" s="5" t="s">
        <v>208</v>
      </c>
      <c r="AB4" s="17" t="s">
        <v>17</v>
      </c>
      <c r="AC4" s="17" t="s">
        <v>17</v>
      </c>
      <c r="AD4" s="17" t="s">
        <v>15</v>
      </c>
      <c r="AE4" s="17" t="s">
        <v>17</v>
      </c>
      <c r="AF4" s="17" t="s">
        <v>17</v>
      </c>
      <c r="AG4" s="17" t="s">
        <v>17</v>
      </c>
      <c r="AH4" s="50" t="s">
        <v>17</v>
      </c>
      <c r="AI4" s="6" t="s">
        <v>17</v>
      </c>
      <c r="AJ4" s="48" t="s">
        <v>17</v>
      </c>
      <c r="AK4" s="6" t="s">
        <v>17</v>
      </c>
      <c r="AL4" s="6" t="s">
        <v>17</v>
      </c>
      <c r="AM4" s="17" t="s">
        <v>15</v>
      </c>
      <c r="AN4" t="s">
        <v>266</v>
      </c>
    </row>
    <row r="5" spans="1:40" ht="15" customHeight="1" x14ac:dyDescent="0.25">
      <c r="A5" s="32"/>
      <c r="B5" s="16"/>
      <c r="C5" s="5">
        <v>3</v>
      </c>
      <c r="D5" s="17" t="s">
        <v>17</v>
      </c>
      <c r="E5" s="3" t="s">
        <v>220</v>
      </c>
      <c r="F5" s="92"/>
      <c r="G5" s="16"/>
      <c r="H5" s="2"/>
      <c r="I5" s="2"/>
      <c r="J5" s="2"/>
      <c r="K5" s="2"/>
      <c r="L5" s="37"/>
      <c r="N5" s="4"/>
      <c r="O5" s="5" t="s">
        <v>212</v>
      </c>
      <c r="P5" s="5" t="s">
        <v>71</v>
      </c>
      <c r="Q5" s="6" t="s">
        <v>89</v>
      </c>
      <c r="R5" s="5" t="s">
        <v>92</v>
      </c>
      <c r="S5" s="5" t="s">
        <v>110</v>
      </c>
      <c r="T5" s="5" t="s">
        <v>122</v>
      </c>
      <c r="U5" s="5" t="s">
        <v>163</v>
      </c>
      <c r="V5" s="5" t="s">
        <v>171</v>
      </c>
      <c r="W5" s="5" t="s">
        <v>180</v>
      </c>
      <c r="X5" s="5" t="s">
        <v>192</v>
      </c>
      <c r="Y5" s="5" t="s">
        <v>198</v>
      </c>
      <c r="AA5" s="5" t="s">
        <v>209</v>
      </c>
      <c r="AB5" s="17" t="s">
        <v>20</v>
      </c>
      <c r="AC5" s="17" t="s">
        <v>23</v>
      </c>
      <c r="AD5" s="17" t="s">
        <v>17</v>
      </c>
      <c r="AE5" s="17" t="s">
        <v>23</v>
      </c>
      <c r="AF5" s="17" t="s">
        <v>20</v>
      </c>
      <c r="AG5" s="17" t="s">
        <v>23</v>
      </c>
      <c r="AH5" s="50" t="s">
        <v>26</v>
      </c>
      <c r="AI5" s="6" t="s">
        <v>20</v>
      </c>
      <c r="AJ5" s="48" t="s">
        <v>20</v>
      </c>
      <c r="AK5" s="6" t="s">
        <v>39</v>
      </c>
      <c r="AL5" s="6" t="s">
        <v>39</v>
      </c>
      <c r="AM5" s="17" t="s">
        <v>17</v>
      </c>
      <c r="AN5" s="17" t="s">
        <v>17</v>
      </c>
    </row>
    <row r="6" spans="1:40" ht="15" customHeight="1" x14ac:dyDescent="0.25">
      <c r="A6" s="32"/>
      <c r="B6" s="16"/>
      <c r="C6" s="5">
        <v>4</v>
      </c>
      <c r="D6" s="17" t="s">
        <v>20</v>
      </c>
      <c r="E6" s="3" t="s">
        <v>221</v>
      </c>
      <c r="F6" s="92"/>
      <c r="G6" s="16"/>
      <c r="H6" s="2"/>
      <c r="I6" s="2"/>
      <c r="J6" s="2"/>
      <c r="K6" s="2"/>
      <c r="L6" s="37"/>
      <c r="N6" s="4"/>
      <c r="O6" s="5" t="s">
        <v>51</v>
      </c>
      <c r="P6" s="5" t="s">
        <v>72</v>
      </c>
      <c r="Q6" s="5" t="s">
        <v>90</v>
      </c>
      <c r="R6" s="5" t="s">
        <v>93</v>
      </c>
      <c r="S6" s="5" t="s">
        <v>111</v>
      </c>
      <c r="T6" s="5" t="s">
        <v>123</v>
      </c>
      <c r="U6" s="5" t="s">
        <v>164</v>
      </c>
      <c r="V6" s="5" t="s">
        <v>172</v>
      </c>
      <c r="W6" s="5" t="s">
        <v>181</v>
      </c>
      <c r="X6" s="5" t="s">
        <v>193</v>
      </c>
      <c r="Y6" s="5" t="s">
        <v>199</v>
      </c>
      <c r="AA6" s="5" t="s">
        <v>210</v>
      </c>
      <c r="AB6" s="5" t="s">
        <v>27</v>
      </c>
      <c r="AC6" s="17" t="s">
        <v>26</v>
      </c>
      <c r="AD6" s="17" t="s">
        <v>20</v>
      </c>
      <c r="AE6" s="5" t="s">
        <v>27</v>
      </c>
      <c r="AF6" s="17" t="s">
        <v>23</v>
      </c>
      <c r="AG6" s="5" t="s">
        <v>27</v>
      </c>
      <c r="AH6" s="14" t="s">
        <v>27</v>
      </c>
      <c r="AI6" s="5" t="s">
        <v>27</v>
      </c>
      <c r="AJ6" s="48" t="s">
        <v>32</v>
      </c>
      <c r="AK6" s="3" t="s">
        <v>262</v>
      </c>
      <c r="AL6" s="3" t="s">
        <v>262</v>
      </c>
      <c r="AM6" s="17" t="s">
        <v>20</v>
      </c>
      <c r="AN6" s="17" t="s">
        <v>20</v>
      </c>
    </row>
    <row r="7" spans="1:40" ht="15" customHeight="1" x14ac:dyDescent="0.25">
      <c r="A7" s="32"/>
      <c r="B7" s="16"/>
      <c r="C7" s="5">
        <v>5</v>
      </c>
      <c r="D7" s="17" t="s">
        <v>23</v>
      </c>
      <c r="E7" s="3" t="s">
        <v>222</v>
      </c>
      <c r="F7" s="92"/>
      <c r="G7" s="16"/>
      <c r="H7" s="2"/>
      <c r="I7" s="2"/>
      <c r="J7" s="2"/>
      <c r="K7" s="2"/>
      <c r="L7" s="37"/>
      <c r="N7" s="4"/>
      <c r="O7" s="5" t="s">
        <v>53</v>
      </c>
      <c r="P7" s="5" t="s">
        <v>73</v>
      </c>
      <c r="Q7" s="3"/>
      <c r="R7" s="5" t="s">
        <v>94</v>
      </c>
      <c r="S7" s="5" t="s">
        <v>112</v>
      </c>
      <c r="T7" s="5" t="s">
        <v>124</v>
      </c>
      <c r="U7" s="5" t="s">
        <v>165</v>
      </c>
      <c r="V7" s="5" t="s">
        <v>173</v>
      </c>
      <c r="W7" s="5" t="s">
        <v>182</v>
      </c>
      <c r="X7" s="5" t="s">
        <v>194</v>
      </c>
      <c r="Y7" s="5" t="s">
        <v>248</v>
      </c>
      <c r="AA7" s="5" t="s">
        <v>211</v>
      </c>
      <c r="AB7" s="17" t="s">
        <v>37</v>
      </c>
      <c r="AC7" s="5" t="s">
        <v>27</v>
      </c>
      <c r="AD7" s="17" t="s">
        <v>23</v>
      </c>
      <c r="AE7" s="17" t="s">
        <v>37</v>
      </c>
      <c r="AF7" s="17" t="s">
        <v>26</v>
      </c>
      <c r="AG7" s="17" t="s">
        <v>37</v>
      </c>
      <c r="AH7" s="50" t="s">
        <v>32</v>
      </c>
      <c r="AI7" s="6" t="s">
        <v>29</v>
      </c>
      <c r="AJ7" s="48" t="s">
        <v>34</v>
      </c>
      <c r="AK7" s="3" t="s">
        <v>264</v>
      </c>
      <c r="AL7" s="3" t="s">
        <v>264</v>
      </c>
      <c r="AM7" s="17" t="s">
        <v>23</v>
      </c>
      <c r="AN7" s="17" t="s">
        <v>23</v>
      </c>
    </row>
    <row r="8" spans="1:40" ht="15" customHeight="1" x14ac:dyDescent="0.25">
      <c r="A8" s="32"/>
      <c r="B8" s="16"/>
      <c r="C8" s="5">
        <v>6</v>
      </c>
      <c r="D8" s="17" t="s">
        <v>26</v>
      </c>
      <c r="E8" s="3" t="s">
        <v>223</v>
      </c>
      <c r="F8" s="92"/>
      <c r="G8" s="16"/>
      <c r="H8" s="2"/>
      <c r="I8" s="2"/>
      <c r="J8" s="2"/>
      <c r="K8" s="2"/>
      <c r="L8" s="37"/>
      <c r="N8" s="4"/>
      <c r="O8" s="5" t="s">
        <v>55</v>
      </c>
      <c r="P8" s="5" t="s">
        <v>74</v>
      </c>
      <c r="Q8" s="3"/>
      <c r="R8" s="5" t="s">
        <v>95</v>
      </c>
      <c r="S8" s="5" t="s">
        <v>113</v>
      </c>
      <c r="T8" s="5" t="s">
        <v>125</v>
      </c>
      <c r="U8" s="5" t="s">
        <v>166</v>
      </c>
      <c r="V8" s="5" t="s">
        <v>174</v>
      </c>
      <c r="W8" s="5" t="s">
        <v>183</v>
      </c>
      <c r="Y8" s="5" t="s">
        <v>200</v>
      </c>
      <c r="AB8" s="17" t="s">
        <v>39</v>
      </c>
      <c r="AC8" s="17" t="s">
        <v>37</v>
      </c>
      <c r="AD8" s="17" t="s">
        <v>26</v>
      </c>
      <c r="AE8" s="17" t="s">
        <v>39</v>
      </c>
      <c r="AF8" s="5" t="s">
        <v>27</v>
      </c>
      <c r="AG8" s="17" t="s">
        <v>39</v>
      </c>
      <c r="AH8" s="50" t="s">
        <v>35</v>
      </c>
      <c r="AI8" s="6" t="s">
        <v>34</v>
      </c>
      <c r="AJ8" s="48" t="s">
        <v>39</v>
      </c>
      <c r="AK8" s="3" t="s">
        <v>265</v>
      </c>
      <c r="AL8" s="3" t="s">
        <v>265</v>
      </c>
      <c r="AM8" s="17" t="s">
        <v>26</v>
      </c>
      <c r="AN8" s="17" t="s">
        <v>26</v>
      </c>
    </row>
    <row r="9" spans="1:40" ht="15" customHeight="1" x14ac:dyDescent="0.25">
      <c r="A9" s="32"/>
      <c r="B9" s="16"/>
      <c r="C9" s="5">
        <v>7</v>
      </c>
      <c r="D9" s="5" t="s">
        <v>27</v>
      </c>
      <c r="E9" s="3" t="s">
        <v>296</v>
      </c>
      <c r="F9" s="92"/>
      <c r="G9" s="16"/>
      <c r="H9" s="2"/>
      <c r="I9" s="2"/>
      <c r="J9" s="2"/>
      <c r="K9" s="2"/>
      <c r="L9" s="37"/>
      <c r="N9" s="4"/>
      <c r="O9" s="5" t="s">
        <v>56</v>
      </c>
      <c r="P9" s="5" t="s">
        <v>75</v>
      </c>
      <c r="Q9" s="3"/>
      <c r="R9" s="5" t="s">
        <v>96</v>
      </c>
      <c r="S9" s="5" t="s">
        <v>114</v>
      </c>
      <c r="T9" s="5" t="s">
        <v>126</v>
      </c>
      <c r="U9" s="5" t="s">
        <v>167</v>
      </c>
      <c r="V9" s="5" t="s">
        <v>175</v>
      </c>
      <c r="W9" s="5" t="s">
        <v>246</v>
      </c>
      <c r="Y9" s="5" t="s">
        <v>228</v>
      </c>
      <c r="AB9" s="17" t="s">
        <v>41</v>
      </c>
      <c r="AC9" s="17" t="s">
        <v>44</v>
      </c>
      <c r="AD9" s="5" t="s">
        <v>27</v>
      </c>
      <c r="AE9" s="3" t="s">
        <v>261</v>
      </c>
      <c r="AF9" s="17" t="s">
        <v>40</v>
      </c>
      <c r="AG9" s="3" t="s">
        <v>261</v>
      </c>
      <c r="AH9" s="50" t="s">
        <v>38</v>
      </c>
      <c r="AI9" s="6" t="s">
        <v>35</v>
      </c>
      <c r="AJ9" s="48" t="s">
        <v>40</v>
      </c>
      <c r="AM9" s="6" t="s">
        <v>31</v>
      </c>
      <c r="AN9" s="48" t="s">
        <v>31</v>
      </c>
    </row>
    <row r="10" spans="1:40" ht="15" customHeight="1" x14ac:dyDescent="0.25">
      <c r="A10" s="32"/>
      <c r="B10" s="7"/>
      <c r="C10" s="5">
        <v>8</v>
      </c>
      <c r="D10" s="6" t="s">
        <v>29</v>
      </c>
      <c r="E10" s="3" t="s">
        <v>297</v>
      </c>
      <c r="F10" s="92"/>
      <c r="G10" s="16"/>
      <c r="H10" s="2"/>
      <c r="I10" s="2"/>
      <c r="J10" s="2"/>
      <c r="K10" s="2"/>
      <c r="L10" s="37"/>
      <c r="N10" s="4"/>
      <c r="O10" s="5" t="s">
        <v>57</v>
      </c>
      <c r="P10" s="5" t="s">
        <v>76</v>
      </c>
      <c r="Q10" s="3"/>
      <c r="R10" s="5" t="s">
        <v>97</v>
      </c>
      <c r="S10" s="5" t="s">
        <v>115</v>
      </c>
      <c r="T10" s="5" t="s">
        <v>127</v>
      </c>
      <c r="U10" s="5" t="s">
        <v>168</v>
      </c>
      <c r="V10" s="5" t="s">
        <v>242</v>
      </c>
      <c r="W10" s="5" t="s">
        <v>184</v>
      </c>
      <c r="Y10" s="5" t="s">
        <v>227</v>
      </c>
      <c r="AB10" s="17" t="s">
        <v>42</v>
      </c>
      <c r="AD10" s="17" t="s">
        <v>40</v>
      </c>
      <c r="AE10" s="3" t="s">
        <v>262</v>
      </c>
      <c r="AF10" s="17" t="s">
        <v>41</v>
      </c>
      <c r="AG10" s="3" t="s">
        <v>262</v>
      </c>
      <c r="AH10" s="50" t="s">
        <v>42</v>
      </c>
      <c r="AI10" s="6" t="s">
        <v>31</v>
      </c>
      <c r="AM10" s="3" t="s">
        <v>266</v>
      </c>
    </row>
    <row r="11" spans="1:40" ht="15" customHeight="1" x14ac:dyDescent="0.25">
      <c r="A11" s="32"/>
      <c r="B11" s="9"/>
      <c r="C11" s="5">
        <v>9</v>
      </c>
      <c r="D11" s="17" t="s">
        <v>32</v>
      </c>
      <c r="E11" s="3" t="s">
        <v>224</v>
      </c>
      <c r="F11" s="92"/>
      <c r="G11" s="16"/>
      <c r="H11" s="2"/>
      <c r="I11" s="2"/>
      <c r="J11" s="2"/>
      <c r="K11" s="2"/>
      <c r="L11" s="37"/>
      <c r="O11" s="5" t="s">
        <v>58</v>
      </c>
      <c r="P11" s="5" t="s">
        <v>77</v>
      </c>
      <c r="Q11" s="3"/>
      <c r="R11" s="5" t="s">
        <v>98</v>
      </c>
      <c r="S11" s="5" t="s">
        <v>116</v>
      </c>
      <c r="T11" s="5" t="s">
        <v>128</v>
      </c>
      <c r="V11" s="5" t="s">
        <v>243</v>
      </c>
      <c r="W11" s="5" t="s">
        <v>185</v>
      </c>
      <c r="Y11" s="5" t="s">
        <v>201</v>
      </c>
      <c r="AB11" s="17" t="s">
        <v>43</v>
      </c>
      <c r="AD11" s="17" t="s">
        <v>41</v>
      </c>
      <c r="AF11" s="17" t="s">
        <v>42</v>
      </c>
      <c r="AH11" s="51" t="s">
        <v>263</v>
      </c>
      <c r="AI11" s="6" t="s">
        <v>36</v>
      </c>
    </row>
    <row r="12" spans="1:40" ht="15" customHeight="1" x14ac:dyDescent="0.25">
      <c r="A12" s="32"/>
      <c r="B12" s="9"/>
      <c r="C12" s="5">
        <v>10</v>
      </c>
      <c r="D12" s="17" t="s">
        <v>34</v>
      </c>
      <c r="E12" s="63" t="s">
        <v>226</v>
      </c>
      <c r="F12" s="93"/>
      <c r="G12" s="16"/>
      <c r="H12" s="2"/>
      <c r="I12" s="2"/>
      <c r="J12" s="2"/>
      <c r="K12" s="2"/>
      <c r="L12" s="37"/>
      <c r="O12" s="5" t="s">
        <v>59</v>
      </c>
      <c r="P12" s="5" t="s">
        <v>78</v>
      </c>
      <c r="Q12" s="3"/>
      <c r="R12" s="5" t="s">
        <v>99</v>
      </c>
      <c r="S12" s="5" t="s">
        <v>117</v>
      </c>
      <c r="T12" s="5" t="s">
        <v>129</v>
      </c>
      <c r="V12" s="5" t="s">
        <v>244</v>
      </c>
      <c r="W12" s="5" t="s">
        <v>186</v>
      </c>
      <c r="Y12" s="5" t="s">
        <v>229</v>
      </c>
      <c r="AD12" s="17" t="s">
        <v>42</v>
      </c>
      <c r="AI12" s="6" t="s">
        <v>37</v>
      </c>
    </row>
    <row r="13" spans="1:40" ht="15" customHeight="1" x14ac:dyDescent="0.25">
      <c r="A13" s="32"/>
      <c r="B13" s="9"/>
      <c r="C13" s="6"/>
      <c r="D13" s="17" t="s">
        <v>35</v>
      </c>
      <c r="E13" s="3" t="s">
        <v>362</v>
      </c>
      <c r="F13" s="92"/>
      <c r="G13" s="16"/>
      <c r="H13" s="2"/>
      <c r="I13" s="2"/>
      <c r="J13" s="2"/>
      <c r="K13" s="2"/>
      <c r="L13" s="37"/>
      <c r="O13" s="5" t="s">
        <v>60</v>
      </c>
      <c r="P13" s="5" t="s">
        <v>79</v>
      </c>
      <c r="Q13" s="3"/>
      <c r="R13" s="5" t="s">
        <v>82</v>
      </c>
      <c r="S13" s="5" t="s">
        <v>118</v>
      </c>
      <c r="T13" s="5" t="s">
        <v>130</v>
      </c>
      <c r="V13" s="5" t="s">
        <v>245</v>
      </c>
      <c r="W13" s="5" t="s">
        <v>187</v>
      </c>
      <c r="Y13" s="5" t="s">
        <v>202</v>
      </c>
      <c r="AI13" s="6" t="s">
        <v>38</v>
      </c>
    </row>
    <row r="14" spans="1:40" ht="15" customHeight="1" x14ac:dyDescent="0.25">
      <c r="A14" s="32"/>
      <c r="B14" s="9"/>
      <c r="C14" s="6"/>
      <c r="D14" s="17" t="s">
        <v>31</v>
      </c>
      <c r="E14" s="3" t="s">
        <v>298</v>
      </c>
      <c r="F14" s="92"/>
      <c r="G14" s="16"/>
      <c r="H14" s="2"/>
      <c r="I14" s="2"/>
      <c r="J14" s="2"/>
      <c r="K14" s="2"/>
      <c r="L14" s="37"/>
      <c r="O14" s="5" t="s">
        <v>61</v>
      </c>
      <c r="P14" s="5" t="s">
        <v>80</v>
      </c>
      <c r="Q14" s="3"/>
      <c r="R14" s="5" t="s">
        <v>100</v>
      </c>
      <c r="S14" s="3"/>
      <c r="T14" s="5" t="s">
        <v>131</v>
      </c>
      <c r="V14" s="5" t="s">
        <v>176</v>
      </c>
      <c r="W14" s="5" t="s">
        <v>188</v>
      </c>
      <c r="Y14" s="5" t="s">
        <v>230</v>
      </c>
      <c r="AI14" s="6" t="s">
        <v>39</v>
      </c>
    </row>
    <row r="15" spans="1:40" ht="15" customHeight="1" x14ac:dyDescent="0.25">
      <c r="A15" s="32"/>
      <c r="B15" s="9"/>
      <c r="C15" s="6"/>
      <c r="D15" s="17" t="s">
        <v>36</v>
      </c>
      <c r="E15" s="3" t="s">
        <v>215</v>
      </c>
      <c r="F15" s="92"/>
      <c r="G15" s="16"/>
      <c r="H15" s="2"/>
      <c r="I15" s="2"/>
      <c r="J15" s="2"/>
      <c r="K15" s="2"/>
      <c r="L15" s="37"/>
      <c r="O15" s="5" t="s">
        <v>62</v>
      </c>
      <c r="P15" s="5" t="s">
        <v>81</v>
      </c>
      <c r="Q15" s="3"/>
      <c r="R15" s="5" t="s">
        <v>101</v>
      </c>
      <c r="S15" s="3"/>
      <c r="T15" s="5" t="s">
        <v>132</v>
      </c>
      <c r="W15" s="5" t="s">
        <v>247</v>
      </c>
      <c r="Y15" s="5" t="s">
        <v>203</v>
      </c>
      <c r="AI15" s="6" t="s">
        <v>40</v>
      </c>
    </row>
    <row r="16" spans="1:40" ht="15" customHeight="1" x14ac:dyDescent="0.25">
      <c r="A16" s="32"/>
      <c r="B16" s="9"/>
      <c r="C16" s="6"/>
      <c r="D16" s="17" t="s">
        <v>37</v>
      </c>
      <c r="E16" s="3" t="s">
        <v>299</v>
      </c>
      <c r="F16" s="92"/>
      <c r="G16" s="16"/>
      <c r="H16" s="2"/>
      <c r="I16" s="2"/>
      <c r="J16" s="2"/>
      <c r="K16" s="2"/>
      <c r="L16" s="37"/>
      <c r="O16" s="5" t="s">
        <v>63</v>
      </c>
      <c r="P16" s="5" t="s">
        <v>82</v>
      </c>
      <c r="Q16" s="3"/>
      <c r="R16" s="5" t="s">
        <v>102</v>
      </c>
      <c r="S16" s="3"/>
      <c r="T16" s="5" t="s">
        <v>133</v>
      </c>
      <c r="AI16" s="6" t="s">
        <v>42</v>
      </c>
    </row>
    <row r="17" spans="1:35" ht="15" customHeight="1" x14ac:dyDescent="0.25">
      <c r="A17" s="32"/>
      <c r="B17" s="9"/>
      <c r="C17" s="6"/>
      <c r="D17" s="17" t="s">
        <v>38</v>
      </c>
      <c r="E17" s="3" t="s">
        <v>300</v>
      </c>
      <c r="F17" s="92"/>
      <c r="G17" s="16"/>
      <c r="H17" s="2"/>
      <c r="I17" s="2"/>
      <c r="J17" s="2"/>
      <c r="K17" s="2"/>
      <c r="L17" s="37"/>
      <c r="O17" s="5" t="s">
        <v>65</v>
      </c>
      <c r="P17" s="5" t="s">
        <v>83</v>
      </c>
      <c r="Q17" s="3"/>
      <c r="R17" s="5" t="s">
        <v>53</v>
      </c>
      <c r="S17" s="3"/>
      <c r="T17" s="5" t="s">
        <v>134</v>
      </c>
      <c r="AI17" s="6" t="s">
        <v>43</v>
      </c>
    </row>
    <row r="18" spans="1:35" ht="15" customHeight="1" x14ac:dyDescent="0.25">
      <c r="A18" s="32"/>
      <c r="B18" s="9"/>
      <c r="C18" s="6"/>
      <c r="D18" s="17" t="s">
        <v>39</v>
      </c>
      <c r="E18" s="3" t="s">
        <v>217</v>
      </c>
      <c r="F18" s="92"/>
      <c r="G18" s="16"/>
      <c r="H18" s="2"/>
      <c r="I18" s="2"/>
      <c r="J18" s="2"/>
      <c r="K18" s="2"/>
      <c r="L18" s="37"/>
      <c r="O18" s="5" t="s">
        <v>66</v>
      </c>
      <c r="P18" s="5" t="s">
        <v>84</v>
      </c>
      <c r="Q18" s="3"/>
      <c r="R18" s="5" t="s">
        <v>55</v>
      </c>
      <c r="S18" s="3"/>
      <c r="T18" s="5" t="s">
        <v>135</v>
      </c>
      <c r="AI18" s="3" t="s">
        <v>267</v>
      </c>
    </row>
    <row r="19" spans="1:35" ht="15" customHeight="1" x14ac:dyDescent="0.25">
      <c r="A19" s="32"/>
      <c r="B19" s="9"/>
      <c r="C19" s="6"/>
      <c r="D19" s="17" t="s">
        <v>40</v>
      </c>
      <c r="E19" s="17" t="s">
        <v>213</v>
      </c>
      <c r="F19" s="17"/>
      <c r="G19" s="16"/>
      <c r="H19" s="2"/>
      <c r="I19" s="2"/>
      <c r="J19" s="2"/>
      <c r="K19" s="2"/>
      <c r="L19" s="37"/>
      <c r="O19" s="20" t="s">
        <v>67</v>
      </c>
      <c r="P19" s="20" t="s">
        <v>85</v>
      </c>
      <c r="Q19" s="22"/>
      <c r="R19" s="20" t="s">
        <v>103</v>
      </c>
      <c r="S19" s="3"/>
      <c r="T19" s="20" t="s">
        <v>136</v>
      </c>
    </row>
    <row r="20" spans="1:35" ht="15" customHeight="1" x14ac:dyDescent="0.25">
      <c r="A20" s="32"/>
      <c r="B20" s="9"/>
      <c r="C20" s="6"/>
      <c r="D20" s="17" t="s">
        <v>41</v>
      </c>
      <c r="E20" s="17" t="s">
        <v>301</v>
      </c>
      <c r="F20" s="17"/>
      <c r="G20" s="16"/>
      <c r="H20" s="2"/>
      <c r="I20" s="2"/>
      <c r="J20" s="2"/>
      <c r="K20" s="2"/>
      <c r="L20" s="37"/>
      <c r="O20" s="3"/>
      <c r="P20" s="5" t="s">
        <v>86</v>
      </c>
      <c r="Q20" s="3"/>
      <c r="R20" s="5" t="s">
        <v>104</v>
      </c>
      <c r="S20" s="3"/>
      <c r="T20" s="5" t="s">
        <v>137</v>
      </c>
    </row>
    <row r="21" spans="1:35" ht="15" customHeight="1" x14ac:dyDescent="0.25">
      <c r="A21" s="32"/>
      <c r="B21" s="9"/>
      <c r="C21" s="6"/>
      <c r="D21" s="17" t="s">
        <v>42</v>
      </c>
      <c r="E21" s="16"/>
      <c r="F21" s="16"/>
      <c r="G21" s="16"/>
      <c r="H21" s="2"/>
      <c r="I21" s="2"/>
      <c r="J21" s="2"/>
      <c r="K21" s="2"/>
      <c r="L21" s="37"/>
      <c r="O21" s="3"/>
      <c r="P21" s="3"/>
      <c r="Q21" s="3"/>
      <c r="R21" s="5" t="s">
        <v>105</v>
      </c>
      <c r="S21" s="3"/>
      <c r="T21" s="5" t="s">
        <v>138</v>
      </c>
    </row>
    <row r="22" spans="1:35" ht="15" customHeight="1" x14ac:dyDescent="0.25">
      <c r="A22" s="32"/>
      <c r="B22" s="9"/>
      <c r="C22" s="6"/>
      <c r="D22" s="17" t="s">
        <v>43</v>
      </c>
      <c r="E22" s="16"/>
      <c r="F22" s="16"/>
      <c r="G22" s="16"/>
      <c r="H22" s="2"/>
      <c r="I22" s="2"/>
      <c r="J22" s="2"/>
      <c r="K22" s="2"/>
      <c r="L22" s="37"/>
      <c r="O22" s="3"/>
      <c r="P22" s="3"/>
      <c r="Q22" s="3"/>
      <c r="R22" s="5" t="s">
        <v>106</v>
      </c>
      <c r="S22" s="3"/>
      <c r="T22" s="5" t="s">
        <v>240</v>
      </c>
    </row>
    <row r="23" spans="1:35" ht="15" customHeight="1" x14ac:dyDescent="0.25">
      <c r="A23" s="32"/>
      <c r="B23" s="9"/>
      <c r="C23" s="6"/>
      <c r="D23" s="17" t="s">
        <v>44</v>
      </c>
      <c r="E23" s="16"/>
      <c r="F23" s="16"/>
      <c r="G23" s="16"/>
      <c r="H23" s="2"/>
      <c r="I23" s="2"/>
      <c r="J23" s="2"/>
      <c r="K23" s="2"/>
      <c r="L23" s="37"/>
      <c r="O23" s="3"/>
      <c r="P23" s="3"/>
      <c r="Q23" s="3"/>
      <c r="R23" s="5" t="s">
        <v>67</v>
      </c>
      <c r="S23" s="3"/>
      <c r="T23" s="5" t="s">
        <v>139</v>
      </c>
    </row>
    <row r="24" spans="1:35" ht="15" customHeight="1" x14ac:dyDescent="0.25">
      <c r="A24" s="32"/>
      <c r="B24" s="9"/>
      <c r="C24" s="6"/>
      <c r="D24" s="8" t="s">
        <v>45</v>
      </c>
      <c r="E24" s="16"/>
      <c r="F24" s="16"/>
      <c r="G24" s="16"/>
      <c r="H24" s="2"/>
      <c r="I24" s="2"/>
      <c r="J24" s="2"/>
      <c r="K24" s="2"/>
      <c r="L24" s="37"/>
      <c r="O24" s="3"/>
      <c r="P24" s="3"/>
      <c r="Q24" s="3"/>
      <c r="R24" s="3"/>
      <c r="S24" s="3"/>
      <c r="T24" s="5" t="s">
        <v>140</v>
      </c>
    </row>
    <row r="25" spans="1:35" x14ac:dyDescent="0.25">
      <c r="A25" s="33"/>
      <c r="B25" s="9"/>
      <c r="C25" s="6"/>
      <c r="D25" s="5" t="s">
        <v>46</v>
      </c>
      <c r="E25" s="16"/>
      <c r="F25" s="16"/>
      <c r="G25" s="3"/>
      <c r="H25" s="5"/>
      <c r="I25" s="5"/>
      <c r="J25" s="5"/>
      <c r="K25" s="5"/>
      <c r="L25" s="14"/>
      <c r="O25" s="3"/>
      <c r="P25" s="3"/>
      <c r="Q25" s="3"/>
      <c r="R25" s="3"/>
      <c r="S25" s="3"/>
      <c r="T25" s="5" t="s">
        <v>141</v>
      </c>
    </row>
    <row r="26" spans="1:35" x14ac:dyDescent="0.25">
      <c r="A26" s="33"/>
      <c r="B26" s="9"/>
      <c r="C26" s="6"/>
      <c r="D26" s="5" t="s">
        <v>48</v>
      </c>
      <c r="E26" s="16"/>
      <c r="F26" s="16"/>
      <c r="G26" s="3"/>
      <c r="H26" s="5"/>
      <c r="I26" s="5"/>
      <c r="J26" s="5"/>
      <c r="K26" s="5"/>
      <c r="L26" s="14"/>
      <c r="O26" s="3"/>
      <c r="P26" s="3"/>
      <c r="Q26" s="3"/>
      <c r="R26" s="3"/>
      <c r="S26" s="3"/>
      <c r="T26" s="5" t="s">
        <v>239</v>
      </c>
    </row>
    <row r="27" spans="1:35" x14ac:dyDescent="0.25">
      <c r="A27" s="33"/>
      <c r="B27" s="9"/>
      <c r="C27" s="6"/>
      <c r="D27" s="5" t="s">
        <v>212</v>
      </c>
      <c r="E27" s="16"/>
      <c r="F27" s="16"/>
      <c r="G27" s="3"/>
      <c r="H27" s="5"/>
      <c r="I27" s="5"/>
      <c r="J27" s="5"/>
      <c r="K27" s="5"/>
      <c r="L27" s="14"/>
      <c r="O27" s="3"/>
      <c r="P27" s="3"/>
      <c r="Q27" s="3"/>
      <c r="R27" s="3"/>
      <c r="S27" s="3"/>
      <c r="T27" s="5" t="s">
        <v>238</v>
      </c>
    </row>
    <row r="28" spans="1:35" x14ac:dyDescent="0.25">
      <c r="A28" s="33"/>
      <c r="B28" s="9"/>
      <c r="C28" s="6"/>
      <c r="D28" s="5" t="s">
        <v>51</v>
      </c>
      <c r="E28" s="16"/>
      <c r="F28" s="16"/>
      <c r="G28" s="3"/>
      <c r="H28" s="5"/>
      <c r="I28" s="5"/>
      <c r="J28" s="5"/>
      <c r="K28" s="5"/>
      <c r="L28" s="14"/>
      <c r="O28" s="3"/>
      <c r="P28" s="3"/>
      <c r="Q28" s="3"/>
      <c r="R28" s="3"/>
      <c r="S28" s="3"/>
      <c r="T28" s="5" t="s">
        <v>142</v>
      </c>
    </row>
    <row r="29" spans="1:35" x14ac:dyDescent="0.25">
      <c r="A29" s="33"/>
      <c r="B29" s="9"/>
      <c r="C29" s="6"/>
      <c r="D29" s="5" t="s">
        <v>53</v>
      </c>
      <c r="E29" s="16"/>
      <c r="F29" s="16"/>
      <c r="G29" s="3"/>
      <c r="H29" s="5"/>
      <c r="I29" s="5"/>
      <c r="J29" s="5"/>
      <c r="K29" s="5"/>
      <c r="L29" s="14"/>
      <c r="O29" s="3"/>
      <c r="P29" s="3"/>
      <c r="Q29" s="3"/>
      <c r="R29" s="3"/>
      <c r="S29" s="3"/>
      <c r="T29" s="5" t="s">
        <v>143</v>
      </c>
    </row>
    <row r="30" spans="1:35" x14ac:dyDescent="0.25">
      <c r="A30" s="33"/>
      <c r="B30" s="9"/>
      <c r="C30" s="6"/>
      <c r="D30" s="5" t="s">
        <v>55</v>
      </c>
      <c r="E30" s="16"/>
      <c r="F30" s="16"/>
      <c r="G30" s="3"/>
      <c r="H30" s="5"/>
      <c r="I30" s="5"/>
      <c r="J30" s="5"/>
      <c r="K30" s="5"/>
      <c r="L30" s="14"/>
      <c r="O30" s="3"/>
      <c r="P30" s="3"/>
      <c r="Q30" s="3"/>
      <c r="R30" s="3"/>
      <c r="S30" s="3"/>
      <c r="T30" s="5" t="s">
        <v>144</v>
      </c>
    </row>
    <row r="31" spans="1:35" x14ac:dyDescent="0.25">
      <c r="A31" s="33"/>
      <c r="B31" s="9"/>
      <c r="C31" s="6"/>
      <c r="D31" s="5" t="s">
        <v>56</v>
      </c>
      <c r="E31" s="16"/>
      <c r="F31" s="16"/>
      <c r="G31" s="3"/>
      <c r="H31" s="5"/>
      <c r="I31" s="5"/>
      <c r="J31" s="5"/>
      <c r="K31" s="5"/>
      <c r="L31" s="14"/>
      <c r="O31" s="3"/>
      <c r="P31" s="3"/>
      <c r="Q31" s="3"/>
      <c r="R31" s="3"/>
      <c r="S31" s="3"/>
      <c r="T31" s="5" t="s">
        <v>145</v>
      </c>
    </row>
    <row r="32" spans="1:35" x14ac:dyDescent="0.25">
      <c r="A32" s="33"/>
      <c r="B32" s="9"/>
      <c r="C32" s="6"/>
      <c r="D32" s="5" t="s">
        <v>57</v>
      </c>
      <c r="E32" s="16"/>
      <c r="F32" s="16"/>
      <c r="G32" s="3"/>
      <c r="H32" s="5"/>
      <c r="I32" s="5"/>
      <c r="J32" s="5"/>
      <c r="K32" s="5"/>
      <c r="L32" s="14"/>
      <c r="O32" s="3"/>
      <c r="P32" s="3"/>
      <c r="Q32" s="3"/>
      <c r="R32" s="3"/>
      <c r="S32" s="3"/>
      <c r="T32" s="5" t="s">
        <v>146</v>
      </c>
    </row>
    <row r="33" spans="1:20" x14ac:dyDescent="0.25">
      <c r="A33" s="33"/>
      <c r="B33" s="9"/>
      <c r="C33" s="6"/>
      <c r="D33" s="5" t="s">
        <v>58</v>
      </c>
      <c r="E33" s="3"/>
      <c r="F33" s="3"/>
      <c r="G33" s="3"/>
      <c r="H33" s="5"/>
      <c r="I33" s="5"/>
      <c r="J33" s="5"/>
      <c r="K33" s="5"/>
      <c r="L33" s="14"/>
      <c r="O33" s="3"/>
      <c r="P33" s="3"/>
      <c r="Q33" s="3"/>
      <c r="R33" s="3"/>
      <c r="S33" s="3"/>
      <c r="T33" s="5" t="s">
        <v>147</v>
      </c>
    </row>
    <row r="34" spans="1:20" x14ac:dyDescent="0.25">
      <c r="A34" s="33"/>
      <c r="B34" s="9"/>
      <c r="C34" s="6"/>
      <c r="D34" s="5" t="s">
        <v>59</v>
      </c>
      <c r="E34" s="3"/>
      <c r="F34" s="3"/>
      <c r="G34" s="3"/>
      <c r="H34" s="5"/>
      <c r="I34" s="5"/>
      <c r="J34" s="5"/>
      <c r="K34" s="5"/>
      <c r="L34" s="14"/>
      <c r="O34" s="3"/>
      <c r="P34" s="3"/>
      <c r="Q34" s="3"/>
      <c r="R34" s="3"/>
      <c r="S34" s="3"/>
      <c r="T34" s="5" t="s">
        <v>148</v>
      </c>
    </row>
    <row r="35" spans="1:20" x14ac:dyDescent="0.25">
      <c r="A35" s="33"/>
      <c r="B35" s="9"/>
      <c r="C35" s="6"/>
      <c r="D35" s="5" t="s">
        <v>60</v>
      </c>
      <c r="E35" s="3"/>
      <c r="F35" s="3"/>
      <c r="G35" s="3"/>
      <c r="H35" s="5"/>
      <c r="I35" s="5"/>
      <c r="J35" s="5"/>
      <c r="K35" s="5"/>
      <c r="L35" s="14"/>
      <c r="O35" s="3"/>
      <c r="P35" s="3"/>
      <c r="Q35" s="3"/>
      <c r="R35" s="3"/>
      <c r="S35" s="3"/>
      <c r="T35" s="5" t="s">
        <v>149</v>
      </c>
    </row>
    <row r="36" spans="1:20" x14ac:dyDescent="0.25">
      <c r="A36" s="33"/>
      <c r="B36" s="9"/>
      <c r="C36" s="5"/>
      <c r="D36" s="5" t="s">
        <v>61</v>
      </c>
      <c r="E36" s="3"/>
      <c r="F36" s="3"/>
      <c r="G36" s="3"/>
      <c r="H36" s="5"/>
      <c r="I36" s="5"/>
      <c r="J36" s="5"/>
      <c r="K36" s="5"/>
      <c r="L36" s="14"/>
      <c r="O36" s="3"/>
      <c r="P36" s="3"/>
      <c r="Q36" s="3"/>
      <c r="R36" s="3"/>
      <c r="S36" s="3"/>
      <c r="T36" s="5" t="s">
        <v>237</v>
      </c>
    </row>
    <row r="37" spans="1:20" x14ac:dyDescent="0.25">
      <c r="A37" s="33"/>
      <c r="B37" s="9"/>
      <c r="C37" s="5"/>
      <c r="D37" s="5" t="s">
        <v>62</v>
      </c>
      <c r="E37" s="3"/>
      <c r="F37" s="3"/>
      <c r="G37" s="3"/>
      <c r="H37" s="5"/>
      <c r="I37" s="5"/>
      <c r="J37" s="5"/>
      <c r="K37" s="5"/>
      <c r="L37" s="14"/>
      <c r="O37" s="3"/>
      <c r="P37" s="3"/>
      <c r="Q37" s="3"/>
      <c r="R37" s="3"/>
      <c r="S37" s="3"/>
      <c r="T37" s="5" t="s">
        <v>150</v>
      </c>
    </row>
    <row r="38" spans="1:20" x14ac:dyDescent="0.25">
      <c r="A38" s="33"/>
      <c r="B38" s="9"/>
      <c r="C38" s="5"/>
      <c r="D38" s="5" t="s">
        <v>63</v>
      </c>
      <c r="E38" s="3"/>
      <c r="F38" s="3"/>
      <c r="G38" s="3"/>
      <c r="H38" s="5"/>
      <c r="I38" s="5"/>
      <c r="J38" s="5"/>
      <c r="K38" s="5"/>
      <c r="L38" s="14"/>
      <c r="O38" s="3"/>
      <c r="P38" s="3"/>
      <c r="Q38" s="3"/>
      <c r="R38" s="3"/>
      <c r="S38" s="3"/>
      <c r="T38" s="5" t="s">
        <v>236</v>
      </c>
    </row>
    <row r="39" spans="1:20" x14ac:dyDescent="0.25">
      <c r="A39" s="33"/>
      <c r="B39" s="9"/>
      <c r="C39" s="5"/>
      <c r="D39" s="5" t="s">
        <v>65</v>
      </c>
      <c r="E39" s="3"/>
      <c r="F39" s="3"/>
      <c r="G39" s="3"/>
      <c r="H39" s="5"/>
      <c r="I39" s="5"/>
      <c r="J39" s="5"/>
      <c r="K39" s="5"/>
      <c r="L39" s="14"/>
      <c r="O39" s="3"/>
      <c r="P39" s="3"/>
      <c r="Q39" s="3"/>
      <c r="R39" s="3"/>
      <c r="S39" s="3"/>
      <c r="T39" s="5" t="s">
        <v>235</v>
      </c>
    </row>
    <row r="40" spans="1:20" x14ac:dyDescent="0.25">
      <c r="A40" s="33"/>
      <c r="B40" s="9"/>
      <c r="C40" s="5"/>
      <c r="D40" s="5" t="s">
        <v>66</v>
      </c>
      <c r="E40" s="3"/>
      <c r="F40" s="3"/>
      <c r="G40" s="3"/>
      <c r="H40" s="5"/>
      <c r="I40" s="5"/>
      <c r="J40" s="5"/>
      <c r="K40" s="5"/>
      <c r="L40" s="14"/>
      <c r="O40" s="3"/>
      <c r="P40" s="3"/>
      <c r="Q40" s="3"/>
      <c r="R40" s="3"/>
      <c r="S40" s="3"/>
      <c r="T40" s="5" t="s">
        <v>234</v>
      </c>
    </row>
    <row r="41" spans="1:20" x14ac:dyDescent="0.25">
      <c r="A41" s="33"/>
      <c r="B41" s="9"/>
      <c r="C41" s="5"/>
      <c r="D41" s="5" t="s">
        <v>67</v>
      </c>
      <c r="E41" s="3"/>
      <c r="F41" s="3"/>
      <c r="G41" s="3"/>
      <c r="H41" s="5"/>
      <c r="I41" s="5"/>
      <c r="J41" s="5"/>
      <c r="K41" s="5"/>
      <c r="L41" s="14"/>
      <c r="O41" s="3"/>
      <c r="P41" s="3"/>
      <c r="Q41" s="3"/>
      <c r="R41" s="3"/>
      <c r="S41" s="3"/>
      <c r="T41" s="5" t="s">
        <v>151</v>
      </c>
    </row>
    <row r="42" spans="1:20" x14ac:dyDescent="0.25">
      <c r="A42" s="33"/>
      <c r="B42" s="9"/>
      <c r="C42" s="5"/>
      <c r="D42" s="8" t="s">
        <v>68</v>
      </c>
      <c r="E42" s="3"/>
      <c r="F42" s="3"/>
      <c r="G42" s="3"/>
      <c r="H42" s="5"/>
      <c r="I42" s="5"/>
      <c r="J42" s="5"/>
      <c r="K42" s="5"/>
      <c r="L42" s="14"/>
      <c r="O42" s="3"/>
      <c r="P42" s="3"/>
      <c r="Q42" s="3"/>
      <c r="R42" s="3"/>
      <c r="S42" s="3"/>
      <c r="T42" s="5" t="s">
        <v>152</v>
      </c>
    </row>
    <row r="43" spans="1:20" x14ac:dyDescent="0.25">
      <c r="A43" s="33"/>
      <c r="B43" s="9"/>
      <c r="C43" s="5"/>
      <c r="D43" s="5" t="s">
        <v>69</v>
      </c>
      <c r="E43" s="3"/>
      <c r="F43" s="3"/>
      <c r="G43" s="3"/>
      <c r="H43" s="5"/>
      <c r="I43" s="5"/>
      <c r="J43" s="5"/>
      <c r="K43" s="5"/>
      <c r="L43" s="14"/>
      <c r="O43" s="3"/>
      <c r="P43" s="3"/>
      <c r="Q43" s="3"/>
      <c r="R43" s="3"/>
      <c r="S43" s="3"/>
      <c r="T43" s="5" t="s">
        <v>153</v>
      </c>
    </row>
    <row r="44" spans="1:20" x14ac:dyDescent="0.25">
      <c r="A44" s="33"/>
      <c r="B44" s="9"/>
      <c r="C44" s="5"/>
      <c r="D44" s="5" t="s">
        <v>70</v>
      </c>
      <c r="E44" s="3"/>
      <c r="F44" s="3"/>
      <c r="G44" s="3"/>
      <c r="H44" s="5"/>
      <c r="I44" s="5"/>
      <c r="J44" s="5"/>
      <c r="K44" s="5"/>
      <c r="L44" s="14"/>
      <c r="O44" s="3"/>
      <c r="P44" s="3"/>
      <c r="Q44" s="3"/>
      <c r="R44" s="3"/>
      <c r="S44" s="3"/>
      <c r="T44" s="5" t="s">
        <v>154</v>
      </c>
    </row>
    <row r="45" spans="1:20" x14ac:dyDescent="0.25">
      <c r="A45" s="33"/>
      <c r="B45" s="9"/>
      <c r="C45" s="5"/>
      <c r="D45" s="5" t="s">
        <v>71</v>
      </c>
      <c r="E45" s="3"/>
      <c r="F45" s="3"/>
      <c r="G45" s="3"/>
      <c r="H45" s="5"/>
      <c r="I45" s="5"/>
      <c r="J45" s="5"/>
      <c r="K45" s="5"/>
      <c r="L45" s="14"/>
      <c r="O45" s="3"/>
      <c r="P45" s="3"/>
      <c r="Q45" s="3"/>
      <c r="R45" s="3"/>
      <c r="S45" s="3"/>
      <c r="T45" s="5" t="s">
        <v>155</v>
      </c>
    </row>
    <row r="46" spans="1:20" x14ac:dyDescent="0.25">
      <c r="A46" s="33"/>
      <c r="B46" s="9"/>
      <c r="C46" s="5"/>
      <c r="D46" s="5" t="s">
        <v>72</v>
      </c>
      <c r="E46" s="3"/>
      <c r="F46" s="3"/>
      <c r="G46" s="3"/>
      <c r="H46" s="5"/>
      <c r="I46" s="5"/>
      <c r="J46" s="5"/>
      <c r="K46" s="5"/>
      <c r="L46" s="14"/>
      <c r="O46" s="3"/>
      <c r="P46" s="3"/>
      <c r="Q46" s="3"/>
      <c r="R46" s="3"/>
      <c r="S46" s="3"/>
      <c r="T46" s="5" t="s">
        <v>156</v>
      </c>
    </row>
    <row r="47" spans="1:20" x14ac:dyDescent="0.25">
      <c r="A47" s="33"/>
      <c r="B47" s="9"/>
      <c r="C47" s="5"/>
      <c r="D47" s="5" t="s">
        <v>73</v>
      </c>
      <c r="E47" s="3"/>
      <c r="F47" s="3"/>
      <c r="G47" s="3"/>
      <c r="H47" s="5"/>
      <c r="I47" s="5"/>
      <c r="J47" s="5"/>
      <c r="K47" s="5"/>
      <c r="L47" s="14"/>
      <c r="O47" s="3"/>
      <c r="P47" s="3"/>
      <c r="Q47" s="3"/>
      <c r="R47" s="3"/>
      <c r="S47" s="3"/>
      <c r="T47" s="5" t="s">
        <v>157</v>
      </c>
    </row>
    <row r="48" spans="1:20" x14ac:dyDescent="0.25">
      <c r="A48" s="33"/>
      <c r="B48" s="9"/>
      <c r="C48" s="5"/>
      <c r="D48" s="5" t="s">
        <v>74</v>
      </c>
      <c r="E48" s="3"/>
      <c r="F48" s="3"/>
      <c r="G48" s="3"/>
      <c r="H48" s="5"/>
      <c r="I48" s="5"/>
      <c r="J48" s="5"/>
      <c r="K48" s="5"/>
      <c r="L48" s="14"/>
      <c r="O48" s="3"/>
      <c r="P48" s="3"/>
      <c r="Q48" s="3"/>
      <c r="R48" s="3"/>
      <c r="S48" s="3"/>
      <c r="T48" s="5" t="s">
        <v>233</v>
      </c>
    </row>
    <row r="49" spans="1:24" x14ac:dyDescent="0.25">
      <c r="A49" s="33"/>
      <c r="B49" s="9"/>
      <c r="C49" s="5"/>
      <c r="D49" s="5" t="s">
        <v>75</v>
      </c>
      <c r="E49" s="3"/>
      <c r="F49" s="3"/>
      <c r="G49" s="3"/>
      <c r="H49" s="5"/>
      <c r="I49" s="5"/>
      <c r="J49" s="5"/>
      <c r="K49" s="5"/>
      <c r="L49" s="14"/>
      <c r="O49" s="3"/>
      <c r="P49" s="3"/>
      <c r="Q49" s="3"/>
      <c r="R49" s="3"/>
      <c r="S49" s="3"/>
      <c r="T49" s="5" t="s">
        <v>158</v>
      </c>
    </row>
    <row r="50" spans="1:24" x14ac:dyDescent="0.25">
      <c r="A50" s="33"/>
      <c r="B50" s="9"/>
      <c r="C50" s="5"/>
      <c r="D50" s="5" t="s">
        <v>76</v>
      </c>
      <c r="E50" s="3"/>
      <c r="F50" s="3"/>
      <c r="G50" s="3"/>
      <c r="H50" s="5"/>
      <c r="I50" s="5"/>
      <c r="J50" s="5"/>
      <c r="K50" s="5"/>
      <c r="L50" s="14"/>
      <c r="O50" s="3"/>
      <c r="P50" s="3"/>
      <c r="Q50" s="3"/>
      <c r="R50" s="3"/>
      <c r="S50" s="3"/>
      <c r="T50" s="5" t="s">
        <v>231</v>
      </c>
    </row>
    <row r="51" spans="1:24" x14ac:dyDescent="0.25">
      <c r="A51" s="33"/>
      <c r="B51" s="9"/>
      <c r="C51" s="5"/>
      <c r="D51" s="5" t="s">
        <v>77</v>
      </c>
      <c r="E51" s="3"/>
      <c r="F51" s="3"/>
      <c r="G51" s="3"/>
      <c r="H51" s="5"/>
      <c r="I51" s="5"/>
      <c r="J51" s="5"/>
      <c r="K51" s="5"/>
      <c r="L51" s="14"/>
      <c r="O51" s="3"/>
      <c r="P51" s="3"/>
      <c r="Q51" s="3"/>
      <c r="R51" s="3"/>
      <c r="S51" s="3"/>
      <c r="T51" s="5" t="s">
        <v>232</v>
      </c>
    </row>
    <row r="52" spans="1:24" x14ac:dyDescent="0.25">
      <c r="A52" s="33"/>
      <c r="B52" s="5"/>
      <c r="C52" s="5"/>
      <c r="D52" s="5" t="s">
        <v>78</v>
      </c>
      <c r="E52" s="3"/>
      <c r="F52" s="3"/>
      <c r="G52" s="3"/>
      <c r="H52" s="5"/>
      <c r="I52" s="5"/>
      <c r="J52" s="5"/>
      <c r="K52" s="5"/>
      <c r="L52" s="14"/>
      <c r="O52" s="3"/>
      <c r="P52" s="3"/>
      <c r="Q52" s="3"/>
      <c r="R52" s="3"/>
      <c r="S52" s="3"/>
      <c r="T52" s="5" t="s">
        <v>159</v>
      </c>
    </row>
    <row r="53" spans="1:24" x14ac:dyDescent="0.25">
      <c r="A53" s="33"/>
      <c r="B53" s="5"/>
      <c r="C53" s="5"/>
      <c r="D53" s="5" t="s">
        <v>79</v>
      </c>
      <c r="E53" s="3"/>
      <c r="F53" s="3"/>
      <c r="G53" s="3"/>
      <c r="H53" s="5"/>
      <c r="I53" s="5"/>
      <c r="J53" s="5"/>
      <c r="K53" s="5"/>
      <c r="L53" s="14"/>
    </row>
    <row r="54" spans="1:24" x14ac:dyDescent="0.25">
      <c r="A54" s="33"/>
      <c r="B54" s="5"/>
      <c r="C54" s="5"/>
      <c r="D54" s="5" t="s">
        <v>80</v>
      </c>
      <c r="E54" s="3"/>
      <c r="F54" s="3"/>
      <c r="G54" s="3"/>
      <c r="H54" s="5"/>
      <c r="I54" s="5"/>
      <c r="J54" s="5"/>
      <c r="K54" s="5"/>
      <c r="L54" s="14"/>
      <c r="O54" s="56" t="s">
        <v>268</v>
      </c>
      <c r="P54" s="57" t="s">
        <v>269</v>
      </c>
      <c r="Q54" s="56" t="s">
        <v>270</v>
      </c>
      <c r="R54" s="56" t="s">
        <v>271</v>
      </c>
      <c r="S54" s="56" t="s">
        <v>272</v>
      </c>
      <c r="T54" s="56" t="s">
        <v>273</v>
      </c>
      <c r="U54" s="56" t="s">
        <v>274</v>
      </c>
      <c r="V54" s="56" t="s">
        <v>275</v>
      </c>
      <c r="W54" s="56" t="s">
        <v>276</v>
      </c>
      <c r="X54" s="56" t="s">
        <v>277</v>
      </c>
    </row>
    <row r="55" spans="1:24" x14ac:dyDescent="0.25">
      <c r="A55" s="33"/>
      <c r="B55" s="5"/>
      <c r="C55" s="5"/>
      <c r="D55" s="5" t="s">
        <v>81</v>
      </c>
      <c r="E55" s="3"/>
      <c r="F55" s="3"/>
      <c r="G55" s="3"/>
      <c r="H55" s="5"/>
      <c r="I55" s="5"/>
      <c r="J55" s="5"/>
      <c r="K55" s="5"/>
      <c r="L55" s="14"/>
      <c r="O55" s="53" t="s">
        <v>12</v>
      </c>
      <c r="P55" s="53" t="s">
        <v>279</v>
      </c>
      <c r="Q55" s="5" t="s">
        <v>46</v>
      </c>
      <c r="R55" s="5" t="s">
        <v>120</v>
      </c>
      <c r="S55" s="5" t="s">
        <v>170</v>
      </c>
      <c r="T55" s="5" t="s">
        <v>178</v>
      </c>
      <c r="U55" s="5" t="s">
        <v>196</v>
      </c>
      <c r="V55" s="53" t="s">
        <v>284</v>
      </c>
      <c r="W55" s="3" t="s">
        <v>287</v>
      </c>
      <c r="X55" s="53" t="s">
        <v>289</v>
      </c>
    </row>
    <row r="56" spans="1:24" x14ac:dyDescent="0.25">
      <c r="A56" s="33"/>
      <c r="B56" s="5"/>
      <c r="C56" s="5"/>
      <c r="D56" s="5" t="s">
        <v>82</v>
      </c>
      <c r="E56" s="3"/>
      <c r="F56" s="3"/>
      <c r="G56" s="3"/>
      <c r="H56" s="5"/>
      <c r="I56" s="5"/>
      <c r="J56" s="5"/>
      <c r="K56" s="5"/>
      <c r="L56" s="14"/>
      <c r="O56" s="58" t="s">
        <v>15</v>
      </c>
      <c r="P56" s="58" t="s">
        <v>280</v>
      </c>
      <c r="Q56" s="5" t="s">
        <v>48</v>
      </c>
      <c r="R56" s="5" t="s">
        <v>121</v>
      </c>
      <c r="S56" s="5" t="s">
        <v>241</v>
      </c>
      <c r="T56" s="5" t="s">
        <v>179</v>
      </c>
      <c r="U56" s="5" t="s">
        <v>197</v>
      </c>
      <c r="V56" s="58" t="s">
        <v>285</v>
      </c>
      <c r="W56" s="3" t="s">
        <v>288</v>
      </c>
      <c r="X56" s="58" t="s">
        <v>225</v>
      </c>
    </row>
    <row r="57" spans="1:24" x14ac:dyDescent="0.25">
      <c r="A57" s="33"/>
      <c r="B57" s="5"/>
      <c r="C57" s="5"/>
      <c r="D57" s="5" t="s">
        <v>83</v>
      </c>
      <c r="E57" s="3"/>
      <c r="F57" s="3"/>
      <c r="G57" s="3"/>
      <c r="H57" s="5"/>
      <c r="I57" s="5"/>
      <c r="J57" s="5"/>
      <c r="K57" s="5"/>
      <c r="L57" s="14"/>
      <c r="O57" s="53" t="s">
        <v>17</v>
      </c>
      <c r="P57" s="53" t="s">
        <v>281</v>
      </c>
      <c r="Q57" s="5" t="s">
        <v>212</v>
      </c>
      <c r="R57" s="5" t="s">
        <v>122</v>
      </c>
      <c r="S57" s="5" t="s">
        <v>171</v>
      </c>
      <c r="T57" s="5" t="s">
        <v>180</v>
      </c>
      <c r="U57" s="5" t="s">
        <v>198</v>
      </c>
      <c r="V57" s="53" t="s">
        <v>286</v>
      </c>
      <c r="W57" s="3"/>
      <c r="X57" s="53" t="s">
        <v>290</v>
      </c>
    </row>
    <row r="58" spans="1:24" x14ac:dyDescent="0.25">
      <c r="A58" s="33"/>
      <c r="B58" s="5"/>
      <c r="C58" s="5"/>
      <c r="D58" s="5" t="s">
        <v>84</v>
      </c>
      <c r="E58" s="3"/>
      <c r="F58" s="3"/>
      <c r="G58" s="3"/>
      <c r="H58" s="5"/>
      <c r="I58" s="5"/>
      <c r="J58" s="5"/>
      <c r="K58" s="5"/>
      <c r="L58" s="14"/>
      <c r="O58" s="58" t="s">
        <v>20</v>
      </c>
      <c r="P58" s="58"/>
      <c r="Q58" s="5" t="s">
        <v>51</v>
      </c>
      <c r="R58" s="5" t="s">
        <v>123</v>
      </c>
      <c r="S58" s="5" t="s">
        <v>172</v>
      </c>
      <c r="T58" s="5" t="s">
        <v>181</v>
      </c>
      <c r="U58" s="5" t="s">
        <v>199</v>
      </c>
      <c r="V58" s="58"/>
      <c r="W58" s="3"/>
      <c r="X58" s="58" t="s">
        <v>291</v>
      </c>
    </row>
    <row r="59" spans="1:24" x14ac:dyDescent="0.25">
      <c r="A59" s="33"/>
      <c r="B59" s="5"/>
      <c r="C59" s="5"/>
      <c r="D59" s="5" t="s">
        <v>85</v>
      </c>
      <c r="E59" s="3"/>
      <c r="F59" s="3"/>
      <c r="G59" s="3"/>
      <c r="H59" s="5"/>
      <c r="I59" s="5"/>
      <c r="J59" s="5"/>
      <c r="K59" s="5"/>
      <c r="L59" s="14"/>
      <c r="O59" s="53" t="s">
        <v>23</v>
      </c>
      <c r="P59" s="53"/>
      <c r="Q59" s="5" t="s">
        <v>53</v>
      </c>
      <c r="R59" s="5" t="s">
        <v>124</v>
      </c>
      <c r="S59" s="5" t="s">
        <v>173</v>
      </c>
      <c r="T59" s="5" t="s">
        <v>182</v>
      </c>
      <c r="U59" s="5" t="s">
        <v>248</v>
      </c>
      <c r="V59" s="55"/>
      <c r="X59" s="53"/>
    </row>
    <row r="60" spans="1:24" x14ac:dyDescent="0.25">
      <c r="A60" s="33"/>
      <c r="B60" s="5"/>
      <c r="C60" s="5"/>
      <c r="D60" s="5" t="s">
        <v>86</v>
      </c>
      <c r="E60" s="3"/>
      <c r="F60" s="3"/>
      <c r="G60" s="3"/>
      <c r="H60" s="5"/>
      <c r="I60" s="5"/>
      <c r="J60" s="5"/>
      <c r="K60" s="5"/>
      <c r="L60" s="14"/>
      <c r="O60" s="58" t="s">
        <v>26</v>
      </c>
      <c r="P60" s="58"/>
      <c r="Q60" s="5" t="s">
        <v>55</v>
      </c>
      <c r="R60" s="5" t="s">
        <v>125</v>
      </c>
      <c r="S60" s="5" t="s">
        <v>174</v>
      </c>
      <c r="T60" s="5" t="s">
        <v>183</v>
      </c>
      <c r="U60" s="5" t="s">
        <v>200</v>
      </c>
      <c r="V60" s="58"/>
      <c r="X60" s="58"/>
    </row>
    <row r="61" spans="1:24" x14ac:dyDescent="0.25">
      <c r="A61" s="33"/>
      <c r="B61" s="5"/>
      <c r="C61" s="5"/>
      <c r="D61" s="8" t="s">
        <v>87</v>
      </c>
      <c r="E61" s="3"/>
      <c r="F61" s="3"/>
      <c r="G61" s="3"/>
      <c r="H61" s="5"/>
      <c r="I61" s="5"/>
      <c r="J61" s="5"/>
      <c r="K61" s="5"/>
      <c r="L61" s="14"/>
      <c r="O61" s="5" t="s">
        <v>27</v>
      </c>
      <c r="P61" s="5"/>
      <c r="Q61" s="5" t="s">
        <v>56</v>
      </c>
      <c r="R61" s="5" t="s">
        <v>126</v>
      </c>
      <c r="S61" s="5" t="s">
        <v>175</v>
      </c>
      <c r="T61" s="5" t="s">
        <v>246</v>
      </c>
      <c r="U61" s="5" t="s">
        <v>228</v>
      </c>
      <c r="X61" s="5"/>
    </row>
    <row r="62" spans="1:24" x14ac:dyDescent="0.25">
      <c r="A62" s="33"/>
      <c r="B62" s="5"/>
      <c r="C62" s="5"/>
      <c r="D62" s="5" t="s">
        <v>88</v>
      </c>
      <c r="E62" s="3"/>
      <c r="F62" s="3"/>
      <c r="G62" s="3"/>
      <c r="H62" s="5"/>
      <c r="I62" s="5"/>
      <c r="J62" s="5"/>
      <c r="K62" s="5"/>
      <c r="L62" s="14"/>
      <c r="O62" s="59" t="s">
        <v>29</v>
      </c>
      <c r="P62" s="59"/>
      <c r="Q62" s="5" t="s">
        <v>57</v>
      </c>
      <c r="R62" s="5" t="s">
        <v>127</v>
      </c>
      <c r="S62" s="5" t="s">
        <v>242</v>
      </c>
      <c r="T62" s="5" t="s">
        <v>184</v>
      </c>
      <c r="U62" s="5" t="s">
        <v>227</v>
      </c>
      <c r="X62" s="59"/>
    </row>
    <row r="63" spans="1:24" x14ac:dyDescent="0.25">
      <c r="A63" s="34"/>
      <c r="B63" s="3"/>
      <c r="C63" s="5"/>
      <c r="D63" s="6" t="s">
        <v>53</v>
      </c>
      <c r="E63" s="3"/>
      <c r="F63" s="3"/>
      <c r="G63" s="3"/>
      <c r="H63" s="3"/>
      <c r="I63" s="3"/>
      <c r="J63" s="3"/>
      <c r="K63" s="3"/>
      <c r="L63" s="14"/>
      <c r="O63" s="53" t="s">
        <v>32</v>
      </c>
      <c r="P63" s="53"/>
      <c r="Q63" s="5" t="s">
        <v>58</v>
      </c>
      <c r="R63" s="5" t="s">
        <v>128</v>
      </c>
      <c r="S63" s="5" t="s">
        <v>243</v>
      </c>
      <c r="T63" s="5" t="s">
        <v>185</v>
      </c>
      <c r="U63" s="5" t="s">
        <v>201</v>
      </c>
      <c r="X63" s="53"/>
    </row>
    <row r="64" spans="1:24" ht="15" customHeight="1" x14ac:dyDescent="0.25">
      <c r="A64" s="35"/>
      <c r="B64" s="6"/>
      <c r="C64" s="6"/>
      <c r="D64" s="6" t="s">
        <v>89</v>
      </c>
      <c r="E64" s="10"/>
      <c r="F64" s="10"/>
      <c r="G64" s="10"/>
      <c r="H64" s="11"/>
      <c r="I64" s="11"/>
      <c r="J64" s="11"/>
      <c r="K64" s="12"/>
      <c r="L64" s="38"/>
      <c r="O64" s="58" t="s">
        <v>34</v>
      </c>
      <c r="P64" s="58"/>
      <c r="Q64" s="5" t="s">
        <v>59</v>
      </c>
      <c r="R64" s="5" t="s">
        <v>129</v>
      </c>
      <c r="S64" s="5" t="s">
        <v>244</v>
      </c>
      <c r="T64" s="5" t="s">
        <v>186</v>
      </c>
      <c r="U64" s="5" t="s">
        <v>229</v>
      </c>
      <c r="X64" s="58"/>
    </row>
    <row r="65" spans="1:24" x14ac:dyDescent="0.25">
      <c r="A65" s="35"/>
      <c r="B65" s="6"/>
      <c r="C65" s="6"/>
      <c r="D65" s="5" t="s">
        <v>90</v>
      </c>
      <c r="E65" s="10"/>
      <c r="F65" s="10"/>
      <c r="G65" s="10"/>
      <c r="H65" s="11"/>
      <c r="I65" s="11"/>
      <c r="J65" s="11"/>
      <c r="K65" s="2"/>
      <c r="L65" s="37"/>
      <c r="O65" s="53" t="s">
        <v>35</v>
      </c>
      <c r="P65" s="53"/>
      <c r="Q65" s="5" t="s">
        <v>60</v>
      </c>
      <c r="R65" s="5" t="s">
        <v>130</v>
      </c>
      <c r="S65" s="5" t="s">
        <v>245</v>
      </c>
      <c r="T65" s="5" t="s">
        <v>187</v>
      </c>
      <c r="U65" s="5" t="s">
        <v>202</v>
      </c>
      <c r="X65" s="53"/>
    </row>
    <row r="66" spans="1:24" x14ac:dyDescent="0.25">
      <c r="A66" s="33"/>
      <c r="B66" s="5"/>
      <c r="C66" s="5"/>
      <c r="D66" s="8" t="s">
        <v>91</v>
      </c>
      <c r="E66" s="3"/>
      <c r="F66" s="3"/>
      <c r="G66" s="3"/>
      <c r="H66" s="5"/>
      <c r="I66" s="5"/>
      <c r="J66" s="5"/>
      <c r="K66" s="5"/>
      <c r="L66" s="14"/>
      <c r="O66" s="58" t="s">
        <v>31</v>
      </c>
      <c r="P66" s="58"/>
      <c r="Q66" s="5" t="s">
        <v>61</v>
      </c>
      <c r="R66" s="5" t="s">
        <v>131</v>
      </c>
      <c r="S66" s="5" t="s">
        <v>176</v>
      </c>
      <c r="T66" s="5" t="s">
        <v>188</v>
      </c>
      <c r="U66" s="5" t="s">
        <v>230</v>
      </c>
      <c r="X66" s="58"/>
    </row>
    <row r="67" spans="1:24" x14ac:dyDescent="0.25">
      <c r="A67" s="33"/>
      <c r="B67" s="5"/>
      <c r="C67" s="5"/>
      <c r="D67" s="5" t="s">
        <v>46</v>
      </c>
      <c r="E67" s="3"/>
      <c r="F67" s="3"/>
      <c r="G67" s="3"/>
      <c r="H67" s="5"/>
      <c r="I67" s="5"/>
      <c r="J67" s="5"/>
      <c r="K67" s="5"/>
      <c r="L67" s="14"/>
      <c r="O67" s="53" t="s">
        <v>36</v>
      </c>
      <c r="P67" s="53"/>
      <c r="Q67" s="5" t="s">
        <v>62</v>
      </c>
      <c r="R67" s="5" t="s">
        <v>132</v>
      </c>
      <c r="S67" t="s">
        <v>283</v>
      </c>
      <c r="T67" s="5" t="s">
        <v>247</v>
      </c>
      <c r="U67" s="5" t="s">
        <v>203</v>
      </c>
      <c r="X67" s="53"/>
    </row>
    <row r="68" spans="1:24" x14ac:dyDescent="0.25">
      <c r="A68" s="33"/>
      <c r="B68" s="5"/>
      <c r="C68" s="5"/>
      <c r="D68" s="5" t="s">
        <v>48</v>
      </c>
      <c r="E68" s="3"/>
      <c r="F68" s="3"/>
      <c r="G68" s="3"/>
      <c r="H68" s="5"/>
      <c r="I68" s="5"/>
      <c r="J68" s="5"/>
      <c r="K68" s="5"/>
      <c r="L68" s="14"/>
      <c r="O68" s="58" t="s">
        <v>37</v>
      </c>
      <c r="P68" s="58"/>
      <c r="Q68" s="5" t="s">
        <v>63</v>
      </c>
      <c r="R68" s="5" t="s">
        <v>133</v>
      </c>
      <c r="S68" t="s">
        <v>282</v>
      </c>
      <c r="T68" s="5" t="s">
        <v>190</v>
      </c>
      <c r="U68" s="5" t="s">
        <v>205</v>
      </c>
      <c r="X68" s="58"/>
    </row>
    <row r="69" spans="1:24" x14ac:dyDescent="0.25">
      <c r="A69" s="33"/>
      <c r="B69" s="5"/>
      <c r="C69" s="5"/>
      <c r="D69" s="5" t="s">
        <v>92</v>
      </c>
      <c r="E69" s="3"/>
      <c r="F69" s="3"/>
      <c r="G69" s="3"/>
      <c r="H69" s="5"/>
      <c r="I69" s="5"/>
      <c r="J69" s="5"/>
      <c r="K69" s="5"/>
      <c r="L69" s="14"/>
      <c r="O69" s="53" t="s">
        <v>38</v>
      </c>
      <c r="P69" s="53"/>
      <c r="Q69" s="5" t="s">
        <v>65</v>
      </c>
      <c r="R69" s="5" t="s">
        <v>134</v>
      </c>
      <c r="T69" s="5" t="s">
        <v>191</v>
      </c>
      <c r="X69" s="53"/>
    </row>
    <row r="70" spans="1:24" x14ac:dyDescent="0.25">
      <c r="A70" s="33"/>
      <c r="B70" s="5"/>
      <c r="C70" s="5"/>
      <c r="D70" s="5" t="s">
        <v>93</v>
      </c>
      <c r="E70" s="3"/>
      <c r="F70" s="3"/>
      <c r="G70" s="3"/>
      <c r="H70" s="5"/>
      <c r="I70" s="5"/>
      <c r="J70" s="5"/>
      <c r="K70" s="5"/>
      <c r="L70" s="14"/>
      <c r="O70" s="58" t="s">
        <v>39</v>
      </c>
      <c r="P70" s="58"/>
      <c r="Q70" s="5" t="s">
        <v>66</v>
      </c>
      <c r="R70" s="5" t="s">
        <v>135</v>
      </c>
      <c r="T70" s="5" t="s">
        <v>192</v>
      </c>
      <c r="X70" s="58"/>
    </row>
    <row r="71" spans="1:24" x14ac:dyDescent="0.25">
      <c r="A71" s="33"/>
      <c r="B71" s="5"/>
      <c r="C71" s="5"/>
      <c r="D71" s="5" t="s">
        <v>94</v>
      </c>
      <c r="E71" s="3"/>
      <c r="F71" s="3"/>
      <c r="G71" s="3"/>
      <c r="H71" s="5"/>
      <c r="I71" s="5"/>
      <c r="J71" s="5"/>
      <c r="K71" s="5"/>
      <c r="L71" s="14"/>
      <c r="O71" s="53" t="s">
        <v>40</v>
      </c>
      <c r="P71" s="53"/>
      <c r="Q71" s="5" t="s">
        <v>67</v>
      </c>
      <c r="R71" s="5" t="s">
        <v>136</v>
      </c>
      <c r="T71" s="5" t="s">
        <v>193</v>
      </c>
      <c r="X71" s="53"/>
    </row>
    <row r="72" spans="1:24" x14ac:dyDescent="0.25">
      <c r="A72" s="33"/>
      <c r="B72" s="5"/>
      <c r="C72" s="5"/>
      <c r="D72" s="5" t="s">
        <v>95</v>
      </c>
      <c r="E72" s="3"/>
      <c r="F72" s="3"/>
      <c r="G72" s="3"/>
      <c r="H72" s="5"/>
      <c r="I72" s="5"/>
      <c r="J72" s="5"/>
      <c r="K72" s="5"/>
      <c r="L72" s="14"/>
      <c r="O72" s="58" t="s">
        <v>41</v>
      </c>
      <c r="P72" s="58"/>
      <c r="Q72" s="5" t="s">
        <v>69</v>
      </c>
      <c r="R72" s="5" t="s">
        <v>137</v>
      </c>
      <c r="T72" s="5" t="s">
        <v>194</v>
      </c>
      <c r="X72" s="58"/>
    </row>
    <row r="73" spans="1:24" x14ac:dyDescent="0.25">
      <c r="A73" s="33"/>
      <c r="B73" s="5"/>
      <c r="C73" s="5"/>
      <c r="D73" s="5" t="s">
        <v>96</v>
      </c>
      <c r="E73" s="3"/>
      <c r="F73" s="3"/>
      <c r="G73" s="3"/>
      <c r="H73" s="5"/>
      <c r="I73" s="5"/>
      <c r="J73" s="5"/>
      <c r="K73" s="5"/>
      <c r="L73" s="14"/>
      <c r="O73" s="53" t="s">
        <v>42</v>
      </c>
      <c r="P73" s="53"/>
      <c r="Q73" s="5" t="s">
        <v>70</v>
      </c>
      <c r="R73" s="5" t="s">
        <v>138</v>
      </c>
      <c r="T73" s="5" t="s">
        <v>205</v>
      </c>
      <c r="X73" s="53"/>
    </row>
    <row r="74" spans="1:24" x14ac:dyDescent="0.25">
      <c r="A74" s="33"/>
      <c r="B74" s="5"/>
      <c r="C74" s="5"/>
      <c r="D74" s="5" t="s">
        <v>97</v>
      </c>
      <c r="E74" s="3"/>
      <c r="F74" s="3"/>
      <c r="G74" s="3"/>
      <c r="H74" s="5"/>
      <c r="I74" s="5"/>
      <c r="J74" s="5"/>
      <c r="K74" s="5"/>
      <c r="L74" s="14"/>
      <c r="O74" s="58" t="s">
        <v>43</v>
      </c>
      <c r="P74" s="58"/>
      <c r="Q74" s="5" t="s">
        <v>71</v>
      </c>
      <c r="R74" s="5" t="s">
        <v>240</v>
      </c>
      <c r="X74" s="58"/>
    </row>
    <row r="75" spans="1:24" x14ac:dyDescent="0.25">
      <c r="A75" s="33"/>
      <c r="B75" s="5"/>
      <c r="C75" s="5"/>
      <c r="D75" s="5" t="s">
        <v>98</v>
      </c>
      <c r="E75" s="3"/>
      <c r="F75" s="3"/>
      <c r="G75" s="3"/>
      <c r="H75" s="5"/>
      <c r="I75" s="5"/>
      <c r="J75" s="5"/>
      <c r="K75" s="5"/>
      <c r="L75" s="14"/>
      <c r="O75" s="3" t="s">
        <v>278</v>
      </c>
      <c r="P75" s="3"/>
      <c r="Q75" s="5" t="s">
        <v>72</v>
      </c>
      <c r="R75" s="5" t="s">
        <v>139</v>
      </c>
      <c r="X75" s="3"/>
    </row>
    <row r="76" spans="1:24" x14ac:dyDescent="0.25">
      <c r="A76" s="33"/>
      <c r="B76" s="5"/>
      <c r="C76" s="5"/>
      <c r="D76" s="5" t="s">
        <v>99</v>
      </c>
      <c r="E76" s="3"/>
      <c r="F76" s="3"/>
      <c r="G76" s="3"/>
      <c r="H76" s="5"/>
      <c r="I76" s="5"/>
      <c r="J76" s="5"/>
      <c r="K76" s="5"/>
      <c r="L76" s="14"/>
      <c r="Q76" s="5" t="s">
        <v>73</v>
      </c>
      <c r="R76" s="5" t="s">
        <v>140</v>
      </c>
    </row>
    <row r="77" spans="1:24" x14ac:dyDescent="0.25">
      <c r="A77" s="33"/>
      <c r="B77" s="5"/>
      <c r="C77" s="5"/>
      <c r="D77" s="5" t="s">
        <v>82</v>
      </c>
      <c r="E77" s="3"/>
      <c r="F77" s="3"/>
      <c r="G77" s="3"/>
      <c r="H77" s="5"/>
      <c r="I77" s="5"/>
      <c r="J77" s="5"/>
      <c r="K77" s="5"/>
      <c r="L77" s="14"/>
      <c r="Q77" s="5" t="s">
        <v>74</v>
      </c>
      <c r="R77" s="5" t="s">
        <v>141</v>
      </c>
    </row>
    <row r="78" spans="1:24" x14ac:dyDescent="0.25">
      <c r="A78" s="33"/>
      <c r="B78" s="5"/>
      <c r="C78" s="5"/>
      <c r="D78" s="5" t="s">
        <v>100</v>
      </c>
      <c r="E78" s="3"/>
      <c r="F78" s="3"/>
      <c r="G78" s="3"/>
      <c r="H78" s="5"/>
      <c r="I78" s="5"/>
      <c r="J78" s="5"/>
      <c r="K78" s="5"/>
      <c r="L78" s="14"/>
      <c r="Q78" s="5" t="s">
        <v>75</v>
      </c>
      <c r="R78" s="5" t="s">
        <v>239</v>
      </c>
    </row>
    <row r="79" spans="1:24" x14ac:dyDescent="0.25">
      <c r="A79" s="33"/>
      <c r="B79" s="5"/>
      <c r="C79" s="5"/>
      <c r="D79" s="5" t="s">
        <v>101</v>
      </c>
      <c r="E79" s="3"/>
      <c r="F79" s="3"/>
      <c r="G79" s="3"/>
      <c r="H79" s="5"/>
      <c r="I79" s="5"/>
      <c r="J79" s="5"/>
      <c r="K79" s="5"/>
      <c r="L79" s="14"/>
      <c r="Q79" s="5" t="s">
        <v>76</v>
      </c>
      <c r="R79" s="5" t="s">
        <v>238</v>
      </c>
    </row>
    <row r="80" spans="1:24" x14ac:dyDescent="0.25">
      <c r="A80" s="33"/>
      <c r="B80" s="5"/>
      <c r="C80" s="5"/>
      <c r="D80" s="5" t="s">
        <v>102</v>
      </c>
      <c r="E80" s="3"/>
      <c r="F80" s="3"/>
      <c r="G80" s="3"/>
      <c r="H80" s="5"/>
      <c r="I80" s="5"/>
      <c r="J80" s="5"/>
      <c r="K80" s="5"/>
      <c r="L80" s="14"/>
      <c r="Q80" s="5" t="s">
        <v>77</v>
      </c>
      <c r="R80" s="5" t="s">
        <v>142</v>
      </c>
    </row>
    <row r="81" spans="1:18" x14ac:dyDescent="0.25">
      <c r="A81" s="33"/>
      <c r="B81" s="5"/>
      <c r="C81" s="5"/>
      <c r="D81" s="5" t="s">
        <v>53</v>
      </c>
      <c r="E81" s="3"/>
      <c r="F81" s="3"/>
      <c r="G81" s="3"/>
      <c r="H81" s="5"/>
      <c r="I81" s="5"/>
      <c r="J81" s="5"/>
      <c r="K81" s="5"/>
      <c r="L81" s="14"/>
      <c r="Q81" s="5" t="s">
        <v>78</v>
      </c>
      <c r="R81" s="5" t="s">
        <v>143</v>
      </c>
    </row>
    <row r="82" spans="1:18" x14ac:dyDescent="0.25">
      <c r="A82" s="33"/>
      <c r="B82" s="5"/>
      <c r="C82" s="5"/>
      <c r="D82" s="5" t="s">
        <v>55</v>
      </c>
      <c r="E82" s="3"/>
      <c r="F82" s="3"/>
      <c r="G82" s="3"/>
      <c r="H82" s="5"/>
      <c r="I82" s="5"/>
      <c r="J82" s="5"/>
      <c r="K82" s="5"/>
      <c r="L82" s="14"/>
      <c r="Q82" s="5" t="s">
        <v>79</v>
      </c>
      <c r="R82" s="5" t="s">
        <v>144</v>
      </c>
    </row>
    <row r="83" spans="1:18" x14ac:dyDescent="0.25">
      <c r="A83" s="33"/>
      <c r="B83" s="5"/>
      <c r="C83" s="5"/>
      <c r="D83" s="5" t="s">
        <v>103</v>
      </c>
      <c r="E83" s="3"/>
      <c r="F83" s="3"/>
      <c r="G83" s="3"/>
      <c r="H83" s="5"/>
      <c r="I83" s="5"/>
      <c r="J83" s="5"/>
      <c r="K83" s="5"/>
      <c r="L83" s="14"/>
      <c r="Q83" s="5" t="s">
        <v>80</v>
      </c>
      <c r="R83" s="5" t="s">
        <v>145</v>
      </c>
    </row>
    <row r="84" spans="1:18" x14ac:dyDescent="0.25">
      <c r="A84" s="33"/>
      <c r="B84" s="5"/>
      <c r="C84" s="5"/>
      <c r="D84" s="5" t="s">
        <v>104</v>
      </c>
      <c r="E84" s="3"/>
      <c r="F84" s="3"/>
      <c r="G84" s="3"/>
      <c r="H84" s="5"/>
      <c r="I84" s="5"/>
      <c r="J84" s="5"/>
      <c r="K84" s="5"/>
      <c r="L84" s="14"/>
      <c r="Q84" s="5" t="s">
        <v>81</v>
      </c>
      <c r="R84" s="5" t="s">
        <v>146</v>
      </c>
    </row>
    <row r="85" spans="1:18" x14ac:dyDescent="0.25">
      <c r="A85" s="33"/>
      <c r="B85" s="5"/>
      <c r="C85" s="5"/>
      <c r="D85" s="5" t="s">
        <v>105</v>
      </c>
      <c r="E85" s="3"/>
      <c r="F85" s="3"/>
      <c r="G85" s="3"/>
      <c r="H85" s="5"/>
      <c r="I85" s="5"/>
      <c r="J85" s="5"/>
      <c r="K85" s="5"/>
      <c r="L85" s="14"/>
      <c r="Q85" s="5" t="s">
        <v>82</v>
      </c>
      <c r="R85" s="5" t="s">
        <v>147</v>
      </c>
    </row>
    <row r="86" spans="1:18" x14ac:dyDescent="0.25">
      <c r="A86" s="33"/>
      <c r="B86" s="5"/>
      <c r="C86" s="5"/>
      <c r="D86" s="5" t="s">
        <v>106</v>
      </c>
      <c r="E86" s="3"/>
      <c r="F86" s="3"/>
      <c r="G86" s="3"/>
      <c r="H86" s="5"/>
      <c r="I86" s="5"/>
      <c r="J86" s="5"/>
      <c r="K86" s="5"/>
      <c r="L86" s="14"/>
      <c r="Q86" s="5" t="s">
        <v>83</v>
      </c>
      <c r="R86" s="5" t="s">
        <v>148</v>
      </c>
    </row>
    <row r="87" spans="1:18" x14ac:dyDescent="0.25">
      <c r="A87" s="33"/>
      <c r="B87" s="5"/>
      <c r="C87" s="5"/>
      <c r="D87" s="5" t="s">
        <v>67</v>
      </c>
      <c r="E87" s="3"/>
      <c r="F87" s="3"/>
      <c r="G87" s="3"/>
      <c r="H87" s="5"/>
      <c r="I87" s="5"/>
      <c r="J87" s="5"/>
      <c r="K87" s="5"/>
      <c r="L87" s="14"/>
      <c r="Q87" s="5" t="s">
        <v>84</v>
      </c>
      <c r="R87" s="5" t="s">
        <v>149</v>
      </c>
    </row>
    <row r="88" spans="1:18" x14ac:dyDescent="0.25">
      <c r="A88" s="33"/>
      <c r="B88" s="5"/>
      <c r="C88" s="5"/>
      <c r="D88" s="8" t="s">
        <v>107</v>
      </c>
      <c r="E88" s="3"/>
      <c r="F88" s="3"/>
      <c r="G88" s="3"/>
      <c r="H88" s="5"/>
      <c r="I88" s="5"/>
      <c r="J88" s="5"/>
      <c r="K88" s="5"/>
      <c r="L88" s="14"/>
      <c r="Q88" s="5" t="s">
        <v>85</v>
      </c>
      <c r="R88" s="5" t="s">
        <v>237</v>
      </c>
    </row>
    <row r="89" spans="1:18" x14ac:dyDescent="0.25">
      <c r="A89" s="33"/>
      <c r="B89" s="5"/>
      <c r="C89" s="5"/>
      <c r="D89" s="5" t="s">
        <v>108</v>
      </c>
      <c r="E89" s="3"/>
      <c r="F89" s="3"/>
      <c r="G89" s="3"/>
      <c r="H89" s="5"/>
      <c r="I89" s="5"/>
      <c r="J89" s="5"/>
      <c r="K89" s="5"/>
      <c r="L89" s="14"/>
      <c r="Q89" s="5" t="s">
        <v>86</v>
      </c>
      <c r="R89" s="5" t="s">
        <v>150</v>
      </c>
    </row>
    <row r="90" spans="1:18" x14ac:dyDescent="0.25">
      <c r="A90" s="33"/>
      <c r="B90" s="5"/>
      <c r="C90" s="5"/>
      <c r="D90" s="5" t="s">
        <v>109</v>
      </c>
      <c r="E90" s="3"/>
      <c r="F90" s="3"/>
      <c r="G90" s="3"/>
      <c r="H90" s="5"/>
      <c r="I90" s="5"/>
      <c r="J90" s="5"/>
      <c r="K90" s="5"/>
      <c r="L90" s="14"/>
      <c r="Q90" s="5" t="s">
        <v>88</v>
      </c>
      <c r="R90" s="5" t="s">
        <v>236</v>
      </c>
    </row>
    <row r="91" spans="1:18" x14ac:dyDescent="0.25">
      <c r="A91" s="33"/>
      <c r="B91" s="5"/>
      <c r="C91" s="5"/>
      <c r="D91" s="5" t="s">
        <v>110</v>
      </c>
      <c r="E91" s="3"/>
      <c r="F91" s="3"/>
      <c r="G91" s="3"/>
      <c r="H91" s="5"/>
      <c r="I91" s="5"/>
      <c r="J91" s="5"/>
      <c r="K91" s="5"/>
      <c r="L91" s="14"/>
      <c r="Q91" s="6" t="s">
        <v>53</v>
      </c>
      <c r="R91" s="5" t="s">
        <v>235</v>
      </c>
    </row>
    <row r="92" spans="1:18" x14ac:dyDescent="0.25">
      <c r="A92" s="33"/>
      <c r="B92" s="5"/>
      <c r="C92" s="5"/>
      <c r="D92" s="5" t="s">
        <v>111</v>
      </c>
      <c r="E92" s="3"/>
      <c r="F92" s="3"/>
      <c r="G92" s="3"/>
      <c r="H92" s="5"/>
      <c r="I92" s="5"/>
      <c r="J92" s="5"/>
      <c r="K92" s="5"/>
      <c r="L92" s="14"/>
      <c r="Q92" s="6" t="s">
        <v>89</v>
      </c>
      <c r="R92" s="5" t="s">
        <v>234</v>
      </c>
    </row>
    <row r="93" spans="1:18" x14ac:dyDescent="0.25">
      <c r="A93" s="33"/>
      <c r="B93" s="5"/>
      <c r="C93" s="5"/>
      <c r="D93" s="5" t="s">
        <v>112</v>
      </c>
      <c r="E93" s="3"/>
      <c r="F93" s="3"/>
      <c r="G93" s="3"/>
      <c r="H93" s="5"/>
      <c r="I93" s="5"/>
      <c r="J93" s="5"/>
      <c r="K93" s="5"/>
      <c r="L93" s="14"/>
      <c r="Q93" s="20" t="s">
        <v>90</v>
      </c>
      <c r="R93" s="5" t="s">
        <v>151</v>
      </c>
    </row>
    <row r="94" spans="1:18" x14ac:dyDescent="0.25">
      <c r="A94" s="33"/>
      <c r="B94" s="5"/>
      <c r="C94" s="5"/>
      <c r="D94" s="5" t="s">
        <v>113</v>
      </c>
      <c r="E94" s="3"/>
      <c r="F94" s="3"/>
      <c r="G94" s="3"/>
      <c r="H94" s="5"/>
      <c r="I94" s="5"/>
      <c r="J94" s="5"/>
      <c r="K94" s="5"/>
      <c r="L94" s="14"/>
      <c r="Q94" s="5" t="s">
        <v>46</v>
      </c>
      <c r="R94" s="5" t="s">
        <v>152</v>
      </c>
    </row>
    <row r="95" spans="1:18" x14ac:dyDescent="0.25">
      <c r="A95" s="33"/>
      <c r="B95" s="5"/>
      <c r="C95" s="5"/>
      <c r="D95" s="5" t="s">
        <v>114</v>
      </c>
      <c r="E95" s="3"/>
      <c r="F95" s="3"/>
      <c r="G95" s="3"/>
      <c r="H95" s="5"/>
      <c r="I95" s="5"/>
      <c r="J95" s="5"/>
      <c r="K95" s="5"/>
      <c r="L95" s="14"/>
      <c r="Q95" s="5" t="s">
        <v>48</v>
      </c>
      <c r="R95" s="5" t="s">
        <v>153</v>
      </c>
    </row>
    <row r="96" spans="1:18" x14ac:dyDescent="0.25">
      <c r="A96" s="33"/>
      <c r="B96" s="5"/>
      <c r="C96" s="5"/>
      <c r="D96" s="5" t="s">
        <v>115</v>
      </c>
      <c r="E96" s="3"/>
      <c r="F96" s="3"/>
      <c r="G96" s="3"/>
      <c r="H96" s="5"/>
      <c r="I96" s="5"/>
      <c r="J96" s="5"/>
      <c r="K96" s="5"/>
      <c r="L96" s="14"/>
      <c r="Q96" s="5" t="s">
        <v>92</v>
      </c>
      <c r="R96" s="5" t="s">
        <v>154</v>
      </c>
    </row>
    <row r="97" spans="1:18" x14ac:dyDescent="0.25">
      <c r="A97" s="33"/>
      <c r="B97" s="5"/>
      <c r="C97" s="5"/>
      <c r="D97" s="5" t="s">
        <v>116</v>
      </c>
      <c r="E97" s="3"/>
      <c r="F97" s="3"/>
      <c r="G97" s="3"/>
      <c r="H97" s="5"/>
      <c r="I97" s="5"/>
      <c r="J97" s="5"/>
      <c r="K97" s="5"/>
      <c r="L97" s="14"/>
      <c r="Q97" s="5" t="s">
        <v>93</v>
      </c>
      <c r="R97" s="5" t="s">
        <v>155</v>
      </c>
    </row>
    <row r="98" spans="1:18" x14ac:dyDescent="0.25">
      <c r="A98" s="33"/>
      <c r="B98" s="5"/>
      <c r="C98" s="5"/>
      <c r="D98" s="5" t="s">
        <v>117</v>
      </c>
      <c r="E98" s="3"/>
      <c r="F98" s="3"/>
      <c r="G98" s="3"/>
      <c r="H98" s="5"/>
      <c r="I98" s="5"/>
      <c r="J98" s="5"/>
      <c r="K98" s="5"/>
      <c r="L98" s="14"/>
      <c r="Q98" s="5" t="s">
        <v>94</v>
      </c>
      <c r="R98" s="5" t="s">
        <v>156</v>
      </c>
    </row>
    <row r="99" spans="1:18" x14ac:dyDescent="0.25">
      <c r="A99" s="33"/>
      <c r="B99" s="5"/>
      <c r="C99" s="5"/>
      <c r="D99" s="5" t="s">
        <v>118</v>
      </c>
      <c r="E99" s="3"/>
      <c r="F99" s="3"/>
      <c r="G99" s="3"/>
      <c r="H99" s="5"/>
      <c r="I99" s="5"/>
      <c r="J99" s="5"/>
      <c r="K99" s="5"/>
      <c r="L99" s="14"/>
      <c r="Q99" s="5" t="s">
        <v>95</v>
      </c>
      <c r="R99" s="5" t="s">
        <v>157</v>
      </c>
    </row>
    <row r="100" spans="1:18" x14ac:dyDescent="0.25">
      <c r="A100" s="33"/>
      <c r="B100" s="5"/>
      <c r="C100" s="5"/>
      <c r="D100" s="8" t="s">
        <v>119</v>
      </c>
      <c r="E100" s="3"/>
      <c r="F100" s="3"/>
      <c r="G100" s="3"/>
      <c r="H100" s="5"/>
      <c r="I100" s="5"/>
      <c r="J100" s="5"/>
      <c r="K100" s="5"/>
      <c r="L100" s="14"/>
      <c r="Q100" s="5" t="s">
        <v>96</v>
      </c>
      <c r="R100" s="5" t="s">
        <v>233</v>
      </c>
    </row>
    <row r="101" spans="1:18" x14ac:dyDescent="0.25">
      <c r="A101" s="33"/>
      <c r="B101" s="5"/>
      <c r="C101" s="5"/>
      <c r="D101" s="5" t="s">
        <v>120</v>
      </c>
      <c r="E101" s="3"/>
      <c r="F101" s="3"/>
      <c r="G101" s="3"/>
      <c r="H101" s="5"/>
      <c r="I101" s="5"/>
      <c r="J101" s="5"/>
      <c r="K101" s="5"/>
      <c r="L101" s="14"/>
      <c r="Q101" s="5" t="s">
        <v>97</v>
      </c>
      <c r="R101" s="5" t="s">
        <v>158</v>
      </c>
    </row>
    <row r="102" spans="1:18" x14ac:dyDescent="0.25">
      <c r="A102" s="33"/>
      <c r="B102" s="5"/>
      <c r="C102" s="5"/>
      <c r="D102" s="5" t="s">
        <v>121</v>
      </c>
      <c r="E102" s="3"/>
      <c r="F102" s="3"/>
      <c r="G102" s="3"/>
      <c r="H102" s="5"/>
      <c r="I102" s="5"/>
      <c r="J102" s="5"/>
      <c r="K102" s="5"/>
      <c r="L102" s="14"/>
      <c r="Q102" s="5" t="s">
        <v>98</v>
      </c>
      <c r="R102" s="5" t="s">
        <v>231</v>
      </c>
    </row>
    <row r="103" spans="1:18" x14ac:dyDescent="0.25">
      <c r="A103" s="33"/>
      <c r="B103" s="5"/>
      <c r="C103" s="5"/>
      <c r="D103" s="5" t="s">
        <v>122</v>
      </c>
      <c r="E103" s="3"/>
      <c r="F103" s="3"/>
      <c r="G103" s="3"/>
      <c r="H103" s="5"/>
      <c r="I103" s="5"/>
      <c r="J103" s="5"/>
      <c r="K103" s="5"/>
      <c r="L103" s="14"/>
      <c r="Q103" s="5" t="s">
        <v>99</v>
      </c>
      <c r="R103" s="5" t="s">
        <v>232</v>
      </c>
    </row>
    <row r="104" spans="1:18" x14ac:dyDescent="0.25">
      <c r="A104" s="33"/>
      <c r="B104" s="5"/>
      <c r="C104" s="5"/>
      <c r="D104" s="5" t="s">
        <v>123</v>
      </c>
      <c r="E104" s="3"/>
      <c r="F104" s="3"/>
      <c r="G104" s="3"/>
      <c r="H104" s="5"/>
      <c r="I104" s="5"/>
      <c r="J104" s="5"/>
      <c r="K104" s="5"/>
      <c r="L104" s="14"/>
      <c r="Q104" s="5" t="s">
        <v>82</v>
      </c>
      <c r="R104" s="5" t="s">
        <v>159</v>
      </c>
    </row>
    <row r="105" spans="1:18" x14ac:dyDescent="0.25">
      <c r="A105" s="33"/>
      <c r="B105" s="5"/>
      <c r="C105" s="5"/>
      <c r="D105" s="5" t="s">
        <v>124</v>
      </c>
      <c r="E105" s="3"/>
      <c r="F105" s="3"/>
      <c r="G105" s="3"/>
      <c r="H105" s="5"/>
      <c r="I105" s="5"/>
      <c r="J105" s="5"/>
      <c r="K105" s="5"/>
      <c r="L105" s="14"/>
      <c r="Q105" s="5" t="s">
        <v>100</v>
      </c>
      <c r="R105" s="5" t="s">
        <v>161</v>
      </c>
    </row>
    <row r="106" spans="1:18" x14ac:dyDescent="0.25">
      <c r="A106" s="33"/>
      <c r="B106" s="5"/>
      <c r="C106" s="5"/>
      <c r="D106" s="5" t="s">
        <v>125</v>
      </c>
      <c r="E106" s="3"/>
      <c r="F106" s="3"/>
      <c r="G106" s="3"/>
      <c r="H106" s="5"/>
      <c r="I106" s="5"/>
      <c r="J106" s="5"/>
      <c r="K106" s="5"/>
      <c r="L106" s="14"/>
      <c r="Q106" s="5" t="s">
        <v>101</v>
      </c>
      <c r="R106" s="5" t="s">
        <v>162</v>
      </c>
    </row>
    <row r="107" spans="1:18" x14ac:dyDescent="0.25">
      <c r="A107" s="33"/>
      <c r="B107" s="5"/>
      <c r="C107" s="5"/>
      <c r="D107" s="5" t="s">
        <v>126</v>
      </c>
      <c r="E107" s="3"/>
      <c r="F107" s="3"/>
      <c r="G107" s="3"/>
      <c r="H107" s="5"/>
      <c r="I107" s="5"/>
      <c r="J107" s="5"/>
      <c r="K107" s="5"/>
      <c r="L107" s="14"/>
      <c r="Q107" s="5" t="s">
        <v>102</v>
      </c>
      <c r="R107" s="5" t="s">
        <v>163</v>
      </c>
    </row>
    <row r="108" spans="1:18" x14ac:dyDescent="0.25">
      <c r="A108" s="33"/>
      <c r="B108" s="5"/>
      <c r="C108" s="5"/>
      <c r="D108" s="5" t="s">
        <v>127</v>
      </c>
      <c r="E108" s="3"/>
      <c r="F108" s="3"/>
      <c r="G108" s="3"/>
      <c r="H108" s="5"/>
      <c r="I108" s="5"/>
      <c r="J108" s="5"/>
      <c r="K108" s="5"/>
      <c r="L108" s="14"/>
      <c r="Q108" s="5" t="s">
        <v>53</v>
      </c>
      <c r="R108" s="5" t="s">
        <v>164</v>
      </c>
    </row>
    <row r="109" spans="1:18" x14ac:dyDescent="0.25">
      <c r="A109" s="33"/>
      <c r="B109" s="5"/>
      <c r="C109" s="5"/>
      <c r="D109" s="5" t="s">
        <v>128</v>
      </c>
      <c r="E109" s="3"/>
      <c r="F109" s="3"/>
      <c r="G109" s="3"/>
      <c r="H109" s="5"/>
      <c r="I109" s="5"/>
      <c r="J109" s="5"/>
      <c r="K109" s="5"/>
      <c r="L109" s="14"/>
      <c r="Q109" s="5" t="s">
        <v>55</v>
      </c>
      <c r="R109" s="5" t="s">
        <v>165</v>
      </c>
    </row>
    <row r="110" spans="1:18" x14ac:dyDescent="0.25">
      <c r="A110" s="33"/>
      <c r="B110" s="5"/>
      <c r="C110" s="5"/>
      <c r="D110" s="5" t="s">
        <v>129</v>
      </c>
      <c r="E110" s="3"/>
      <c r="F110" s="3"/>
      <c r="G110" s="3"/>
      <c r="H110" s="5"/>
      <c r="I110" s="5"/>
      <c r="J110" s="5"/>
      <c r="K110" s="5"/>
      <c r="L110" s="14"/>
      <c r="Q110" s="5" t="s">
        <v>103</v>
      </c>
      <c r="R110" s="5" t="s">
        <v>166</v>
      </c>
    </row>
    <row r="111" spans="1:18" x14ac:dyDescent="0.25">
      <c r="A111" s="33"/>
      <c r="B111" s="5"/>
      <c r="C111" s="5"/>
      <c r="D111" s="5" t="s">
        <v>130</v>
      </c>
      <c r="E111" s="3"/>
      <c r="F111" s="3"/>
      <c r="G111" s="3"/>
      <c r="H111" s="5"/>
      <c r="I111" s="5"/>
      <c r="J111" s="5"/>
      <c r="K111" s="5"/>
      <c r="L111" s="14"/>
      <c r="Q111" s="5" t="s">
        <v>104</v>
      </c>
      <c r="R111" s="5" t="s">
        <v>167</v>
      </c>
    </row>
    <row r="112" spans="1:18" x14ac:dyDescent="0.25">
      <c r="A112" s="33"/>
      <c r="B112" s="5"/>
      <c r="C112" s="5"/>
      <c r="D112" s="5" t="s">
        <v>131</v>
      </c>
      <c r="E112" s="3"/>
      <c r="F112" s="3"/>
      <c r="G112" s="3"/>
      <c r="H112" s="5"/>
      <c r="I112" s="5"/>
      <c r="J112" s="5"/>
      <c r="K112" s="5"/>
      <c r="L112" s="14"/>
      <c r="Q112" s="5" t="s">
        <v>105</v>
      </c>
      <c r="R112" s="5" t="s">
        <v>168</v>
      </c>
    </row>
    <row r="113" spans="1:18" x14ac:dyDescent="0.25">
      <c r="A113" s="33"/>
      <c r="B113" s="5"/>
      <c r="C113" s="5"/>
      <c r="D113" s="5" t="s">
        <v>132</v>
      </c>
      <c r="E113" s="3"/>
      <c r="F113" s="3"/>
      <c r="G113" s="3"/>
      <c r="H113" s="5"/>
      <c r="I113" s="5"/>
      <c r="J113" s="5"/>
      <c r="K113" s="5"/>
      <c r="L113" s="14"/>
      <c r="Q113" s="5" t="s">
        <v>106</v>
      </c>
      <c r="R113" s="5" t="s">
        <v>207</v>
      </c>
    </row>
    <row r="114" spans="1:18" x14ac:dyDescent="0.25">
      <c r="A114" s="33"/>
      <c r="B114" s="5"/>
      <c r="C114" s="5"/>
      <c r="D114" s="5" t="s">
        <v>133</v>
      </c>
      <c r="E114" s="3"/>
      <c r="F114" s="3"/>
      <c r="G114" s="3"/>
      <c r="H114" s="5"/>
      <c r="I114" s="5"/>
      <c r="J114" s="5"/>
      <c r="K114" s="5"/>
      <c r="L114" s="14"/>
      <c r="Q114" s="20" t="s">
        <v>67</v>
      </c>
      <c r="R114" s="5" t="s">
        <v>208</v>
      </c>
    </row>
    <row r="115" spans="1:18" x14ac:dyDescent="0.25">
      <c r="A115" s="33"/>
      <c r="B115" s="5"/>
      <c r="C115" s="5"/>
      <c r="D115" s="5" t="s">
        <v>134</v>
      </c>
      <c r="E115" s="3"/>
      <c r="F115" s="3"/>
      <c r="G115" s="3"/>
      <c r="H115" s="5"/>
      <c r="I115" s="5"/>
      <c r="J115" s="5"/>
      <c r="K115" s="5"/>
      <c r="L115" s="14"/>
      <c r="Q115" s="5" t="s">
        <v>108</v>
      </c>
      <c r="R115" s="5" t="s">
        <v>209</v>
      </c>
    </row>
    <row r="116" spans="1:18" x14ac:dyDescent="0.25">
      <c r="A116" s="33"/>
      <c r="B116" s="5"/>
      <c r="C116" s="5"/>
      <c r="D116" s="5" t="s">
        <v>135</v>
      </c>
      <c r="E116" s="3"/>
      <c r="F116" s="3"/>
      <c r="G116" s="3"/>
      <c r="H116" s="5"/>
      <c r="I116" s="5"/>
      <c r="J116" s="5"/>
      <c r="K116" s="5"/>
      <c r="L116" s="14"/>
      <c r="Q116" s="5" t="s">
        <v>109</v>
      </c>
      <c r="R116" s="5" t="s">
        <v>210</v>
      </c>
    </row>
    <row r="117" spans="1:18" x14ac:dyDescent="0.25">
      <c r="A117" s="33"/>
      <c r="B117" s="5"/>
      <c r="C117" s="5"/>
      <c r="D117" s="5" t="s">
        <v>136</v>
      </c>
      <c r="E117" s="3"/>
      <c r="F117" s="3"/>
      <c r="G117" s="3"/>
      <c r="H117" s="5"/>
      <c r="I117" s="5"/>
      <c r="J117" s="5"/>
      <c r="K117" s="5"/>
      <c r="L117" s="14"/>
      <c r="Q117" s="5" t="s">
        <v>110</v>
      </c>
      <c r="R117" s="5" t="s">
        <v>211</v>
      </c>
    </row>
    <row r="118" spans="1:18" x14ac:dyDescent="0.25">
      <c r="A118" s="33"/>
      <c r="B118" s="5"/>
      <c r="C118" s="5"/>
      <c r="D118" s="5" t="s">
        <v>137</v>
      </c>
      <c r="E118" s="3"/>
      <c r="F118" s="3"/>
      <c r="G118" s="3"/>
      <c r="H118" s="5"/>
      <c r="I118" s="5"/>
      <c r="J118" s="5"/>
      <c r="K118" s="5"/>
      <c r="L118" s="14"/>
      <c r="Q118" s="5" t="s">
        <v>111</v>
      </c>
    </row>
    <row r="119" spans="1:18" x14ac:dyDescent="0.25">
      <c r="A119" s="33"/>
      <c r="B119" s="5"/>
      <c r="C119" s="5"/>
      <c r="D119" s="5" t="s">
        <v>138</v>
      </c>
      <c r="E119" s="3"/>
      <c r="F119" s="3"/>
      <c r="G119" s="3"/>
      <c r="H119" s="5"/>
      <c r="I119" s="5"/>
      <c r="J119" s="5"/>
      <c r="K119" s="5"/>
      <c r="L119" s="14"/>
      <c r="Q119" s="5" t="s">
        <v>112</v>
      </c>
    </row>
    <row r="120" spans="1:18" x14ac:dyDescent="0.25">
      <c r="A120" s="33"/>
      <c r="B120" s="5"/>
      <c r="C120" s="5"/>
      <c r="D120" s="5" t="s">
        <v>240</v>
      </c>
      <c r="E120" s="3"/>
      <c r="F120" s="3"/>
      <c r="G120" s="3"/>
      <c r="H120" s="5"/>
      <c r="I120" s="5"/>
      <c r="J120" s="5"/>
      <c r="K120" s="5"/>
      <c r="L120" s="14"/>
      <c r="Q120" s="5" t="s">
        <v>113</v>
      </c>
    </row>
    <row r="121" spans="1:18" x14ac:dyDescent="0.25">
      <c r="A121" s="33"/>
      <c r="B121" s="5"/>
      <c r="C121" s="5"/>
      <c r="D121" s="5" t="s">
        <v>139</v>
      </c>
      <c r="E121" s="3"/>
      <c r="F121" s="3"/>
      <c r="G121" s="3"/>
      <c r="H121" s="5"/>
      <c r="I121" s="5"/>
      <c r="J121" s="5"/>
      <c r="K121" s="5"/>
      <c r="L121" s="14"/>
      <c r="Q121" s="5" t="s">
        <v>114</v>
      </c>
    </row>
    <row r="122" spans="1:18" x14ac:dyDescent="0.25">
      <c r="A122" s="33"/>
      <c r="B122" s="5"/>
      <c r="C122" s="5"/>
      <c r="D122" s="5" t="s">
        <v>140</v>
      </c>
      <c r="E122" s="3"/>
      <c r="F122" s="3"/>
      <c r="G122" s="3"/>
      <c r="H122" s="5"/>
      <c r="I122" s="5"/>
      <c r="J122" s="5"/>
      <c r="K122" s="5"/>
      <c r="L122" s="14"/>
      <c r="Q122" s="5" t="s">
        <v>115</v>
      </c>
    </row>
    <row r="123" spans="1:18" x14ac:dyDescent="0.25">
      <c r="A123" s="33"/>
      <c r="B123" s="5"/>
      <c r="C123" s="5"/>
      <c r="D123" s="5" t="s">
        <v>141</v>
      </c>
      <c r="E123" s="3"/>
      <c r="F123" s="3"/>
      <c r="G123" s="3"/>
      <c r="H123" s="5"/>
      <c r="I123" s="5"/>
      <c r="J123" s="5"/>
      <c r="K123" s="5"/>
      <c r="L123" s="14"/>
      <c r="Q123" s="5" t="s">
        <v>116</v>
      </c>
    </row>
    <row r="124" spans="1:18" x14ac:dyDescent="0.25">
      <c r="A124" s="33"/>
      <c r="B124" s="5"/>
      <c r="C124" s="5"/>
      <c r="D124" s="5" t="s">
        <v>239</v>
      </c>
      <c r="E124" s="3"/>
      <c r="F124" s="3"/>
      <c r="G124" s="3"/>
      <c r="H124" s="5"/>
      <c r="I124" s="5"/>
      <c r="J124" s="5"/>
      <c r="K124" s="5"/>
      <c r="L124" s="14"/>
      <c r="Q124" s="5" t="s">
        <v>117</v>
      </c>
    </row>
    <row r="125" spans="1:18" x14ac:dyDescent="0.25">
      <c r="A125" s="33"/>
      <c r="B125" s="5"/>
      <c r="C125" s="5"/>
      <c r="D125" s="5" t="s">
        <v>238</v>
      </c>
      <c r="E125" s="3"/>
      <c r="F125" s="3"/>
      <c r="G125" s="3"/>
      <c r="H125" s="5"/>
      <c r="I125" s="5"/>
      <c r="J125" s="5"/>
      <c r="K125" s="5"/>
      <c r="L125" s="14"/>
      <c r="Q125" s="20" t="s">
        <v>118</v>
      </c>
    </row>
    <row r="126" spans="1:18" x14ac:dyDescent="0.25">
      <c r="A126" s="33"/>
      <c r="B126" s="5"/>
      <c r="C126" s="5"/>
      <c r="D126" s="5" t="s">
        <v>142</v>
      </c>
      <c r="E126" s="3"/>
      <c r="F126" s="3"/>
      <c r="G126" s="3"/>
      <c r="H126" s="5"/>
      <c r="I126" s="5"/>
      <c r="J126" s="5"/>
      <c r="K126" s="5"/>
      <c r="L126" s="14"/>
    </row>
    <row r="127" spans="1:18" x14ac:dyDescent="0.25">
      <c r="A127" s="33"/>
      <c r="B127" s="5"/>
      <c r="C127" s="5"/>
      <c r="D127" s="5" t="s">
        <v>143</v>
      </c>
      <c r="E127" s="3"/>
      <c r="F127" s="3"/>
      <c r="G127" s="3"/>
      <c r="H127" s="5"/>
      <c r="I127" s="5"/>
      <c r="J127" s="5"/>
      <c r="K127" s="5"/>
      <c r="L127" s="14"/>
    </row>
    <row r="128" spans="1:18" x14ac:dyDescent="0.25">
      <c r="A128" s="33"/>
      <c r="B128" s="5"/>
      <c r="C128" s="5"/>
      <c r="D128" s="5" t="s">
        <v>144</v>
      </c>
      <c r="E128" s="3"/>
      <c r="F128" s="3"/>
      <c r="G128" s="3"/>
      <c r="H128" s="5"/>
      <c r="I128" s="5"/>
      <c r="J128" s="5"/>
      <c r="K128" s="5"/>
      <c r="L128" s="14"/>
    </row>
    <row r="129" spans="1:12" x14ac:dyDescent="0.25">
      <c r="A129" s="33"/>
      <c r="B129" s="5"/>
      <c r="C129" s="5"/>
      <c r="D129" s="5" t="s">
        <v>145</v>
      </c>
      <c r="E129" s="3"/>
      <c r="F129" s="3"/>
      <c r="G129" s="3"/>
      <c r="H129" s="5"/>
      <c r="I129" s="5"/>
      <c r="J129" s="5"/>
      <c r="K129" s="5"/>
      <c r="L129" s="14"/>
    </row>
    <row r="130" spans="1:12" x14ac:dyDescent="0.25">
      <c r="A130" s="33"/>
      <c r="B130" s="5"/>
      <c r="C130" s="5"/>
      <c r="D130" s="5" t="s">
        <v>146</v>
      </c>
      <c r="E130" s="3"/>
      <c r="F130" s="3"/>
      <c r="G130" s="3"/>
      <c r="H130" s="5"/>
      <c r="I130" s="5"/>
      <c r="J130" s="5"/>
      <c r="K130" s="5"/>
      <c r="L130" s="14"/>
    </row>
    <row r="131" spans="1:12" x14ac:dyDescent="0.25">
      <c r="A131" s="33"/>
      <c r="B131" s="5"/>
      <c r="C131" s="5"/>
      <c r="D131" s="5" t="s">
        <v>147</v>
      </c>
      <c r="E131" s="3"/>
      <c r="F131" s="3"/>
      <c r="G131" s="3"/>
      <c r="H131" s="5"/>
      <c r="I131" s="5"/>
      <c r="J131" s="5"/>
      <c r="K131" s="5"/>
      <c r="L131" s="14"/>
    </row>
    <row r="132" spans="1:12" x14ac:dyDescent="0.25">
      <c r="A132" s="33"/>
      <c r="B132" s="5"/>
      <c r="C132" s="5"/>
      <c r="D132" s="5" t="s">
        <v>148</v>
      </c>
      <c r="E132" s="3"/>
      <c r="F132" s="3"/>
      <c r="G132" s="3"/>
      <c r="H132" s="5"/>
      <c r="I132" s="5"/>
      <c r="J132" s="5"/>
      <c r="K132" s="5"/>
      <c r="L132" s="14"/>
    </row>
    <row r="133" spans="1:12" x14ac:dyDescent="0.25">
      <c r="A133" s="33"/>
      <c r="B133" s="5"/>
      <c r="C133" s="5"/>
      <c r="D133" s="5" t="s">
        <v>149</v>
      </c>
      <c r="E133" s="3"/>
      <c r="F133" s="3"/>
      <c r="G133" s="3"/>
      <c r="H133" s="5"/>
      <c r="I133" s="5"/>
      <c r="J133" s="5"/>
      <c r="K133" s="5"/>
      <c r="L133" s="14"/>
    </row>
    <row r="134" spans="1:12" x14ac:dyDescent="0.25">
      <c r="A134" s="33"/>
      <c r="B134" s="5"/>
      <c r="C134" s="5"/>
      <c r="D134" s="5" t="s">
        <v>237</v>
      </c>
      <c r="E134" s="3"/>
      <c r="F134" s="3"/>
      <c r="G134" s="3"/>
      <c r="H134" s="5"/>
      <c r="I134" s="5"/>
      <c r="J134" s="5"/>
      <c r="K134" s="5"/>
      <c r="L134" s="14"/>
    </row>
    <row r="135" spans="1:12" x14ac:dyDescent="0.25">
      <c r="A135" s="33"/>
      <c r="B135" s="5"/>
      <c r="C135" s="5"/>
      <c r="D135" s="5" t="s">
        <v>150</v>
      </c>
      <c r="E135" s="3"/>
      <c r="F135" s="3"/>
      <c r="G135" s="3"/>
      <c r="H135" s="5"/>
      <c r="I135" s="5"/>
      <c r="J135" s="5"/>
      <c r="K135" s="5"/>
      <c r="L135" s="14"/>
    </row>
    <row r="136" spans="1:12" x14ac:dyDescent="0.25">
      <c r="A136" s="33"/>
      <c r="B136" s="5"/>
      <c r="C136" s="5"/>
      <c r="D136" s="5" t="s">
        <v>236</v>
      </c>
      <c r="E136" s="3"/>
      <c r="F136" s="3"/>
      <c r="G136" s="3"/>
      <c r="H136" s="5"/>
      <c r="I136" s="5"/>
      <c r="J136" s="5"/>
      <c r="K136" s="5"/>
      <c r="L136" s="14"/>
    </row>
    <row r="137" spans="1:12" x14ac:dyDescent="0.25">
      <c r="A137" s="33"/>
      <c r="B137" s="5"/>
      <c r="C137" s="5"/>
      <c r="D137" s="5" t="s">
        <v>235</v>
      </c>
      <c r="E137" s="3"/>
      <c r="F137" s="3"/>
      <c r="G137" s="3"/>
      <c r="H137" s="5"/>
      <c r="I137" s="5"/>
      <c r="J137" s="5"/>
      <c r="K137" s="5"/>
      <c r="L137" s="14"/>
    </row>
    <row r="138" spans="1:12" x14ac:dyDescent="0.25">
      <c r="A138" s="33"/>
      <c r="B138" s="5"/>
      <c r="C138" s="5"/>
      <c r="D138" s="5" t="s">
        <v>234</v>
      </c>
      <c r="E138" s="3"/>
      <c r="F138" s="3"/>
      <c r="G138" s="3"/>
      <c r="H138" s="5"/>
      <c r="I138" s="5"/>
      <c r="J138" s="5"/>
      <c r="K138" s="5"/>
      <c r="L138" s="14"/>
    </row>
    <row r="139" spans="1:12" x14ac:dyDescent="0.25">
      <c r="A139" s="33"/>
      <c r="B139" s="5"/>
      <c r="C139" s="5"/>
      <c r="D139" s="5" t="s">
        <v>151</v>
      </c>
      <c r="E139" s="3"/>
      <c r="F139" s="3"/>
      <c r="G139" s="3"/>
      <c r="H139" s="5"/>
      <c r="I139" s="5"/>
      <c r="J139" s="5"/>
      <c r="K139" s="5"/>
      <c r="L139" s="14"/>
    </row>
    <row r="140" spans="1:12" x14ac:dyDescent="0.25">
      <c r="A140" s="33"/>
      <c r="B140" s="5"/>
      <c r="C140" s="5"/>
      <c r="D140" s="5" t="s">
        <v>152</v>
      </c>
      <c r="E140" s="3"/>
      <c r="F140" s="3"/>
      <c r="G140" s="3"/>
      <c r="H140" s="5"/>
      <c r="I140" s="5"/>
      <c r="J140" s="5"/>
      <c r="K140" s="5"/>
      <c r="L140" s="14"/>
    </row>
    <row r="141" spans="1:12" x14ac:dyDescent="0.25">
      <c r="A141" s="33"/>
      <c r="B141" s="5"/>
      <c r="C141" s="5"/>
      <c r="D141" s="5" t="s">
        <v>153</v>
      </c>
      <c r="E141" s="3"/>
      <c r="F141" s="3"/>
      <c r="G141" s="3"/>
      <c r="H141" s="5"/>
      <c r="I141" s="5"/>
      <c r="J141" s="5"/>
      <c r="K141" s="5"/>
      <c r="L141" s="14"/>
    </row>
    <row r="142" spans="1:12" x14ac:dyDescent="0.25">
      <c r="A142" s="33"/>
      <c r="B142" s="5"/>
      <c r="C142" s="5"/>
      <c r="D142" s="5" t="s">
        <v>154</v>
      </c>
      <c r="E142" s="3"/>
      <c r="F142" s="3"/>
      <c r="G142" s="3"/>
      <c r="H142" s="5"/>
      <c r="I142" s="5"/>
      <c r="J142" s="5"/>
      <c r="K142" s="5"/>
      <c r="L142" s="14"/>
    </row>
    <row r="143" spans="1:12" x14ac:dyDescent="0.25">
      <c r="A143" s="33"/>
      <c r="B143" s="5"/>
      <c r="C143" s="5"/>
      <c r="D143" s="5" t="s">
        <v>155</v>
      </c>
      <c r="E143" s="3"/>
      <c r="F143" s="3"/>
      <c r="G143" s="3"/>
      <c r="H143" s="5"/>
      <c r="I143" s="5"/>
      <c r="J143" s="5"/>
      <c r="K143" s="5"/>
      <c r="L143" s="14"/>
    </row>
    <row r="144" spans="1:12" x14ac:dyDescent="0.25">
      <c r="A144" s="33"/>
      <c r="B144" s="5"/>
      <c r="C144" s="5"/>
      <c r="D144" s="5" t="s">
        <v>156</v>
      </c>
      <c r="E144" s="3"/>
      <c r="F144" s="3"/>
      <c r="G144" s="3"/>
      <c r="H144" s="5"/>
      <c r="I144" s="5"/>
      <c r="J144" s="5"/>
      <c r="K144" s="5"/>
      <c r="L144" s="14"/>
    </row>
    <row r="145" spans="1:12" x14ac:dyDescent="0.25">
      <c r="A145" s="33"/>
      <c r="B145" s="5"/>
      <c r="C145" s="5"/>
      <c r="D145" s="5" t="s">
        <v>157</v>
      </c>
      <c r="E145" s="3"/>
      <c r="F145" s="3"/>
      <c r="G145" s="3"/>
      <c r="H145" s="5"/>
      <c r="I145" s="5"/>
      <c r="J145" s="5"/>
      <c r="K145" s="5"/>
      <c r="L145" s="14"/>
    </row>
    <row r="146" spans="1:12" x14ac:dyDescent="0.25">
      <c r="A146" s="33"/>
      <c r="B146" s="5"/>
      <c r="C146" s="5"/>
      <c r="D146" s="5" t="s">
        <v>233</v>
      </c>
      <c r="E146" s="3"/>
      <c r="F146" s="3"/>
      <c r="G146" s="3"/>
      <c r="H146" s="5"/>
      <c r="I146" s="5"/>
      <c r="J146" s="5"/>
      <c r="K146" s="5"/>
      <c r="L146" s="14"/>
    </row>
    <row r="147" spans="1:12" x14ac:dyDescent="0.25">
      <c r="A147" s="33"/>
      <c r="B147" s="5"/>
      <c r="C147" s="5"/>
      <c r="D147" s="5" t="s">
        <v>158</v>
      </c>
      <c r="E147" s="3"/>
      <c r="F147" s="3"/>
      <c r="G147" s="3"/>
      <c r="H147" s="5"/>
      <c r="I147" s="5"/>
      <c r="J147" s="5"/>
      <c r="K147" s="5"/>
      <c r="L147" s="14"/>
    </row>
    <row r="148" spans="1:12" x14ac:dyDescent="0.25">
      <c r="A148" s="33"/>
      <c r="B148" s="5"/>
      <c r="C148" s="5"/>
      <c r="D148" s="5" t="s">
        <v>231</v>
      </c>
      <c r="E148" s="3"/>
      <c r="F148" s="3"/>
      <c r="G148" s="3"/>
      <c r="H148" s="5"/>
      <c r="I148" s="5"/>
      <c r="J148" s="5"/>
      <c r="K148" s="5"/>
      <c r="L148" s="14"/>
    </row>
    <row r="149" spans="1:12" x14ac:dyDescent="0.25">
      <c r="A149" s="33"/>
      <c r="B149" s="5"/>
      <c r="C149" s="5"/>
      <c r="D149" s="5" t="s">
        <v>232</v>
      </c>
      <c r="E149" s="3"/>
      <c r="F149" s="3"/>
      <c r="G149" s="3"/>
      <c r="H149" s="5"/>
      <c r="I149" s="5"/>
      <c r="J149" s="5"/>
      <c r="K149" s="5"/>
      <c r="L149" s="14"/>
    </row>
    <row r="150" spans="1:12" x14ac:dyDescent="0.25">
      <c r="A150" s="33"/>
      <c r="B150" s="5"/>
      <c r="C150" s="5"/>
      <c r="D150" s="5" t="s">
        <v>159</v>
      </c>
      <c r="E150" s="3"/>
      <c r="F150" s="3"/>
      <c r="G150" s="3"/>
      <c r="H150" s="5"/>
      <c r="I150" s="5"/>
      <c r="J150" s="5"/>
      <c r="K150" s="5"/>
      <c r="L150" s="14"/>
    </row>
    <row r="151" spans="1:12" x14ac:dyDescent="0.25">
      <c r="A151" s="33"/>
      <c r="B151" s="5"/>
      <c r="C151" s="5"/>
      <c r="D151" s="8" t="s">
        <v>160</v>
      </c>
      <c r="E151" s="3"/>
      <c r="F151" s="3"/>
      <c r="G151" s="3"/>
      <c r="H151" s="5"/>
      <c r="I151" s="5"/>
      <c r="J151" s="5"/>
      <c r="K151" s="5"/>
      <c r="L151" s="14"/>
    </row>
    <row r="152" spans="1:12" x14ac:dyDescent="0.25">
      <c r="A152" s="33"/>
      <c r="B152" s="5"/>
      <c r="C152" s="5"/>
      <c r="D152" s="5" t="s">
        <v>161</v>
      </c>
      <c r="E152" s="3"/>
      <c r="F152" s="3"/>
      <c r="G152" s="3"/>
      <c r="H152" s="5"/>
      <c r="I152" s="5"/>
      <c r="J152" s="5"/>
      <c r="K152" s="5"/>
      <c r="L152" s="14"/>
    </row>
    <row r="153" spans="1:12" x14ac:dyDescent="0.25">
      <c r="A153" s="33"/>
      <c r="B153" s="5"/>
      <c r="C153" s="5"/>
      <c r="D153" s="5" t="s">
        <v>162</v>
      </c>
      <c r="E153" s="3"/>
      <c r="F153" s="3"/>
      <c r="G153" s="3"/>
      <c r="H153" s="5"/>
      <c r="I153" s="5"/>
      <c r="J153" s="5"/>
      <c r="K153" s="5"/>
      <c r="L153" s="14"/>
    </row>
    <row r="154" spans="1:12" x14ac:dyDescent="0.25">
      <c r="A154" s="33"/>
      <c r="B154" s="5"/>
      <c r="C154" s="5"/>
      <c r="D154" s="5" t="s">
        <v>163</v>
      </c>
      <c r="E154" s="3"/>
      <c r="F154" s="3"/>
      <c r="G154" s="3"/>
      <c r="H154" s="5"/>
      <c r="I154" s="5"/>
      <c r="J154" s="5"/>
      <c r="K154" s="5"/>
      <c r="L154" s="14"/>
    </row>
    <row r="155" spans="1:12" x14ac:dyDescent="0.25">
      <c r="A155" s="33"/>
      <c r="B155" s="5"/>
      <c r="C155" s="5"/>
      <c r="D155" s="5" t="s">
        <v>164</v>
      </c>
      <c r="E155" s="3"/>
      <c r="F155" s="3"/>
      <c r="G155" s="3"/>
      <c r="H155" s="5"/>
      <c r="I155" s="5"/>
      <c r="J155" s="5"/>
      <c r="K155" s="5"/>
      <c r="L155" s="14"/>
    </row>
    <row r="156" spans="1:12" x14ac:dyDescent="0.25">
      <c r="A156" s="33"/>
      <c r="B156" s="5"/>
      <c r="C156" s="5"/>
      <c r="D156" s="5" t="s">
        <v>165</v>
      </c>
      <c r="E156" s="3"/>
      <c r="F156" s="3"/>
      <c r="G156" s="3"/>
      <c r="H156" s="5"/>
      <c r="I156" s="5"/>
      <c r="J156" s="5"/>
      <c r="K156" s="5"/>
      <c r="L156" s="14"/>
    </row>
    <row r="157" spans="1:12" x14ac:dyDescent="0.25">
      <c r="A157" s="33"/>
      <c r="B157" s="5"/>
      <c r="C157" s="5"/>
      <c r="D157" s="5" t="s">
        <v>166</v>
      </c>
      <c r="E157" s="3"/>
      <c r="F157" s="3"/>
      <c r="G157" s="3"/>
      <c r="H157" s="5"/>
      <c r="I157" s="5"/>
      <c r="J157" s="5"/>
      <c r="K157" s="5"/>
      <c r="L157" s="14"/>
    </row>
    <row r="158" spans="1:12" x14ac:dyDescent="0.25">
      <c r="A158" s="33"/>
      <c r="B158" s="5"/>
      <c r="C158" s="5"/>
      <c r="D158" s="5" t="s">
        <v>167</v>
      </c>
      <c r="E158" s="3"/>
      <c r="F158" s="3"/>
      <c r="G158" s="3"/>
      <c r="H158" s="5"/>
      <c r="I158" s="5"/>
      <c r="J158" s="5"/>
      <c r="K158" s="5"/>
      <c r="L158" s="14"/>
    </row>
    <row r="159" spans="1:12" x14ac:dyDescent="0.25">
      <c r="A159" s="33"/>
      <c r="B159" s="5"/>
      <c r="C159" s="5"/>
      <c r="D159" s="5" t="s">
        <v>168</v>
      </c>
      <c r="E159" s="3"/>
      <c r="F159" s="3"/>
      <c r="G159" s="3"/>
      <c r="H159" s="5"/>
      <c r="I159" s="5"/>
      <c r="J159" s="5"/>
      <c r="K159" s="5"/>
      <c r="L159" s="14"/>
    </row>
    <row r="160" spans="1:12" x14ac:dyDescent="0.25">
      <c r="A160" s="33"/>
      <c r="B160" s="5"/>
      <c r="C160" s="5"/>
      <c r="D160" s="8" t="s">
        <v>169</v>
      </c>
      <c r="E160" s="3"/>
      <c r="F160" s="3"/>
      <c r="G160" s="3"/>
      <c r="H160" s="5"/>
      <c r="I160" s="5"/>
      <c r="J160" s="5"/>
      <c r="K160" s="5"/>
      <c r="L160" s="14"/>
    </row>
    <row r="161" spans="1:12" x14ac:dyDescent="0.25">
      <c r="A161" s="33"/>
      <c r="B161" s="5"/>
      <c r="C161" s="5"/>
      <c r="D161" s="5" t="s">
        <v>170</v>
      </c>
      <c r="E161" s="3"/>
      <c r="F161" s="3"/>
      <c r="G161" s="3"/>
      <c r="H161" s="5"/>
      <c r="I161" s="5"/>
      <c r="J161" s="5"/>
      <c r="K161" s="5"/>
      <c r="L161" s="14"/>
    </row>
    <row r="162" spans="1:12" x14ac:dyDescent="0.25">
      <c r="A162" s="33"/>
      <c r="B162" s="5"/>
      <c r="C162" s="5"/>
      <c r="D162" s="5" t="s">
        <v>241</v>
      </c>
      <c r="E162" s="3"/>
      <c r="F162" s="3"/>
      <c r="G162" s="3"/>
      <c r="H162" s="5"/>
      <c r="I162" s="5"/>
      <c r="J162" s="5"/>
      <c r="K162" s="5"/>
      <c r="L162" s="14"/>
    </row>
    <row r="163" spans="1:12" x14ac:dyDescent="0.25">
      <c r="A163" s="33"/>
      <c r="B163" s="5"/>
      <c r="C163" s="5"/>
      <c r="D163" s="5" t="s">
        <v>171</v>
      </c>
      <c r="E163" s="3"/>
      <c r="F163" s="3"/>
      <c r="G163" s="3"/>
      <c r="H163" s="5"/>
      <c r="I163" s="5"/>
      <c r="J163" s="5"/>
      <c r="K163" s="5"/>
      <c r="L163" s="14"/>
    </row>
    <row r="164" spans="1:12" x14ac:dyDescent="0.25">
      <c r="A164" s="33"/>
      <c r="B164" s="5"/>
      <c r="C164" s="5"/>
      <c r="D164" s="5" t="s">
        <v>172</v>
      </c>
      <c r="E164" s="3"/>
      <c r="F164" s="3"/>
      <c r="G164" s="3"/>
      <c r="H164" s="5"/>
      <c r="I164" s="5"/>
      <c r="J164" s="5"/>
      <c r="K164" s="5"/>
      <c r="L164" s="14"/>
    </row>
    <row r="165" spans="1:12" x14ac:dyDescent="0.25">
      <c r="A165" s="33"/>
      <c r="B165" s="5"/>
      <c r="C165" s="5"/>
      <c r="D165" s="5" t="s">
        <v>173</v>
      </c>
      <c r="E165" s="3"/>
      <c r="F165" s="3"/>
      <c r="G165" s="3"/>
      <c r="H165" s="5"/>
      <c r="I165" s="5"/>
      <c r="J165" s="5"/>
      <c r="K165" s="5"/>
      <c r="L165" s="14"/>
    </row>
    <row r="166" spans="1:12" x14ac:dyDescent="0.25">
      <c r="A166" s="33"/>
      <c r="B166" s="5"/>
      <c r="C166" s="5"/>
      <c r="D166" s="5" t="s">
        <v>174</v>
      </c>
      <c r="E166" s="3"/>
      <c r="F166" s="3"/>
      <c r="G166" s="3"/>
      <c r="H166" s="5"/>
      <c r="I166" s="5"/>
      <c r="J166" s="5"/>
      <c r="K166" s="5"/>
      <c r="L166" s="14"/>
    </row>
    <row r="167" spans="1:12" x14ac:dyDescent="0.25">
      <c r="A167" s="33"/>
      <c r="B167" s="5"/>
      <c r="C167" s="5"/>
      <c r="D167" s="5" t="s">
        <v>175</v>
      </c>
      <c r="E167" s="3"/>
      <c r="F167" s="3"/>
      <c r="G167" s="3"/>
      <c r="H167" s="5"/>
      <c r="I167" s="5"/>
      <c r="J167" s="5"/>
      <c r="K167" s="5"/>
      <c r="L167" s="14"/>
    </row>
    <row r="168" spans="1:12" x14ac:dyDescent="0.25">
      <c r="A168" s="33"/>
      <c r="B168" s="5"/>
      <c r="C168" s="5"/>
      <c r="D168" s="5" t="s">
        <v>242</v>
      </c>
      <c r="E168" s="3"/>
      <c r="F168" s="3"/>
      <c r="G168" s="3"/>
      <c r="H168" s="5"/>
      <c r="I168" s="5"/>
      <c r="J168" s="5"/>
      <c r="K168" s="5"/>
      <c r="L168" s="14"/>
    </row>
    <row r="169" spans="1:12" x14ac:dyDescent="0.25">
      <c r="A169" s="33"/>
      <c r="B169" s="5"/>
      <c r="C169" s="5"/>
      <c r="D169" s="5" t="s">
        <v>243</v>
      </c>
      <c r="E169" s="3"/>
      <c r="F169" s="3"/>
      <c r="G169" s="3"/>
      <c r="H169" s="5"/>
      <c r="I169" s="5"/>
      <c r="J169" s="5"/>
      <c r="K169" s="5"/>
      <c r="L169" s="14"/>
    </row>
    <row r="170" spans="1:12" x14ac:dyDescent="0.25">
      <c r="A170" s="33"/>
      <c r="B170" s="5"/>
      <c r="C170" s="5"/>
      <c r="D170" s="5" t="s">
        <v>244</v>
      </c>
      <c r="E170" s="3"/>
      <c r="F170" s="3"/>
      <c r="G170" s="3"/>
      <c r="H170" s="5"/>
      <c r="I170" s="5"/>
      <c r="J170" s="5"/>
      <c r="K170" s="5"/>
      <c r="L170" s="14"/>
    </row>
    <row r="171" spans="1:12" x14ac:dyDescent="0.25">
      <c r="A171" s="33"/>
      <c r="B171" s="5"/>
      <c r="C171" s="5"/>
      <c r="D171" s="5" t="s">
        <v>245</v>
      </c>
      <c r="E171" s="3"/>
      <c r="F171" s="3"/>
      <c r="G171" s="3"/>
      <c r="H171" s="5"/>
      <c r="I171" s="5"/>
      <c r="J171" s="5"/>
      <c r="K171" s="5"/>
      <c r="L171" s="14"/>
    </row>
    <row r="172" spans="1:12" x14ac:dyDescent="0.25">
      <c r="A172" s="33"/>
      <c r="B172" s="5"/>
      <c r="C172" s="5"/>
      <c r="D172" s="5" t="s">
        <v>176</v>
      </c>
      <c r="E172" s="3"/>
      <c r="F172" s="3"/>
      <c r="G172" s="3"/>
      <c r="H172" s="5"/>
      <c r="I172" s="5"/>
      <c r="J172" s="5"/>
      <c r="K172" s="5"/>
      <c r="L172" s="14"/>
    </row>
    <row r="173" spans="1:12" x14ac:dyDescent="0.25">
      <c r="A173" s="33"/>
      <c r="B173" s="5"/>
      <c r="C173" s="5"/>
      <c r="D173" s="8" t="s">
        <v>177</v>
      </c>
      <c r="E173" s="3"/>
      <c r="F173" s="3"/>
      <c r="G173" s="3"/>
      <c r="H173" s="5"/>
      <c r="I173" s="5"/>
      <c r="J173" s="5"/>
      <c r="K173" s="5"/>
      <c r="L173" s="14"/>
    </row>
    <row r="174" spans="1:12" x14ac:dyDescent="0.25">
      <c r="A174" s="33"/>
      <c r="B174" s="5"/>
      <c r="C174" s="5"/>
      <c r="D174" s="5" t="s">
        <v>178</v>
      </c>
      <c r="E174" s="3"/>
      <c r="F174" s="3"/>
      <c r="G174" s="3"/>
      <c r="H174" s="5"/>
      <c r="I174" s="5"/>
      <c r="J174" s="5"/>
      <c r="K174" s="5"/>
      <c r="L174" s="14"/>
    </row>
    <row r="175" spans="1:12" x14ac:dyDescent="0.25">
      <c r="A175" s="33"/>
      <c r="B175" s="5"/>
      <c r="C175" s="5"/>
      <c r="D175" s="5" t="s">
        <v>179</v>
      </c>
      <c r="E175" s="3"/>
      <c r="F175" s="3"/>
      <c r="G175" s="3"/>
      <c r="H175" s="5"/>
      <c r="I175" s="5"/>
      <c r="J175" s="5"/>
      <c r="K175" s="5"/>
      <c r="L175" s="14"/>
    </row>
    <row r="176" spans="1:12" x14ac:dyDescent="0.25">
      <c r="A176" s="33"/>
      <c r="B176" s="5"/>
      <c r="C176" s="5"/>
      <c r="D176" s="5" t="s">
        <v>180</v>
      </c>
      <c r="E176" s="3"/>
      <c r="F176" s="3"/>
      <c r="G176" s="3"/>
      <c r="H176" s="5"/>
      <c r="I176" s="5"/>
      <c r="J176" s="5"/>
      <c r="K176" s="5"/>
      <c r="L176" s="14"/>
    </row>
    <row r="177" spans="1:12" x14ac:dyDescent="0.25">
      <c r="A177" s="33"/>
      <c r="B177" s="5"/>
      <c r="C177" s="5"/>
      <c r="D177" s="5" t="s">
        <v>181</v>
      </c>
      <c r="E177" s="3"/>
      <c r="F177" s="3"/>
      <c r="G177" s="3"/>
      <c r="H177" s="5"/>
      <c r="I177" s="5"/>
      <c r="J177" s="5"/>
      <c r="K177" s="5"/>
      <c r="L177" s="14"/>
    </row>
    <row r="178" spans="1:12" x14ac:dyDescent="0.25">
      <c r="A178" s="33"/>
      <c r="B178" s="5"/>
      <c r="C178" s="5"/>
      <c r="D178" s="5" t="s">
        <v>182</v>
      </c>
      <c r="E178" s="3"/>
      <c r="F178" s="3"/>
      <c r="G178" s="3"/>
      <c r="H178" s="5"/>
      <c r="I178" s="5"/>
      <c r="J178" s="5"/>
      <c r="K178" s="5"/>
      <c r="L178" s="14"/>
    </row>
    <row r="179" spans="1:12" x14ac:dyDescent="0.25">
      <c r="A179" s="33"/>
      <c r="B179" s="5"/>
      <c r="C179" s="5"/>
      <c r="D179" s="5" t="s">
        <v>183</v>
      </c>
      <c r="E179" s="3"/>
      <c r="F179" s="3"/>
      <c r="G179" s="3"/>
      <c r="H179" s="5"/>
      <c r="I179" s="5"/>
      <c r="J179" s="5"/>
      <c r="K179" s="5"/>
      <c r="L179" s="14"/>
    </row>
    <row r="180" spans="1:12" x14ac:dyDescent="0.25">
      <c r="A180" s="33"/>
      <c r="B180" s="5"/>
      <c r="C180" s="5"/>
      <c r="D180" s="5" t="s">
        <v>246</v>
      </c>
      <c r="E180" s="3"/>
      <c r="F180" s="3"/>
      <c r="G180" s="3"/>
      <c r="H180" s="5"/>
      <c r="I180" s="5"/>
      <c r="J180" s="5"/>
      <c r="K180" s="5"/>
      <c r="L180" s="14"/>
    </row>
    <row r="181" spans="1:12" x14ac:dyDescent="0.25">
      <c r="A181" s="33"/>
      <c r="B181" s="5"/>
      <c r="C181" s="5"/>
      <c r="D181" s="5" t="s">
        <v>184</v>
      </c>
      <c r="E181" s="3"/>
      <c r="F181" s="3"/>
      <c r="G181" s="3"/>
      <c r="H181" s="5"/>
      <c r="I181" s="5"/>
      <c r="J181" s="5"/>
      <c r="K181" s="5"/>
      <c r="L181" s="14"/>
    </row>
    <row r="182" spans="1:12" x14ac:dyDescent="0.25">
      <c r="A182" s="33"/>
      <c r="B182" s="5"/>
      <c r="C182" s="5"/>
      <c r="D182" s="5" t="s">
        <v>185</v>
      </c>
      <c r="E182" s="3"/>
      <c r="F182" s="3"/>
      <c r="G182" s="3"/>
      <c r="H182" s="5"/>
      <c r="I182" s="5"/>
      <c r="J182" s="5"/>
      <c r="K182" s="5"/>
      <c r="L182" s="14"/>
    </row>
    <row r="183" spans="1:12" x14ac:dyDescent="0.25">
      <c r="A183" s="33"/>
      <c r="B183" s="5"/>
      <c r="C183" s="5"/>
      <c r="D183" s="5" t="s">
        <v>186</v>
      </c>
      <c r="E183" s="3"/>
      <c r="F183" s="3"/>
      <c r="G183" s="3"/>
      <c r="H183" s="5"/>
      <c r="I183" s="5"/>
      <c r="J183" s="5"/>
      <c r="K183" s="5"/>
      <c r="L183" s="14"/>
    </row>
    <row r="184" spans="1:12" x14ac:dyDescent="0.25">
      <c r="A184" s="33"/>
      <c r="B184" s="5"/>
      <c r="C184" s="5"/>
      <c r="D184" s="5" t="s">
        <v>187</v>
      </c>
      <c r="E184" s="3"/>
      <c r="F184" s="3"/>
      <c r="G184" s="3"/>
      <c r="H184" s="5"/>
      <c r="I184" s="5"/>
      <c r="J184" s="5"/>
      <c r="K184" s="5"/>
      <c r="L184" s="14"/>
    </row>
    <row r="185" spans="1:12" x14ac:dyDescent="0.25">
      <c r="A185" s="33"/>
      <c r="B185" s="5"/>
      <c r="C185" s="5"/>
      <c r="D185" s="5" t="s">
        <v>188</v>
      </c>
      <c r="E185" s="3"/>
      <c r="F185" s="3"/>
      <c r="G185" s="3"/>
      <c r="H185" s="5"/>
      <c r="I185" s="5"/>
      <c r="J185" s="5"/>
      <c r="K185" s="5"/>
      <c r="L185" s="14"/>
    </row>
    <row r="186" spans="1:12" x14ac:dyDescent="0.25">
      <c r="A186" s="33"/>
      <c r="B186" s="5"/>
      <c r="C186" s="5"/>
      <c r="D186" s="5" t="s">
        <v>247</v>
      </c>
      <c r="E186" s="3"/>
      <c r="F186" s="3"/>
      <c r="G186" s="3"/>
      <c r="H186" s="5"/>
      <c r="I186" s="5"/>
      <c r="J186" s="5"/>
      <c r="K186" s="5"/>
      <c r="L186" s="14"/>
    </row>
    <row r="187" spans="1:12" x14ac:dyDescent="0.25">
      <c r="A187" s="33"/>
      <c r="B187" s="5"/>
      <c r="C187" s="5"/>
      <c r="D187" s="13" t="s">
        <v>189</v>
      </c>
      <c r="E187" s="3"/>
      <c r="F187" s="3"/>
      <c r="G187" s="3"/>
      <c r="H187" s="5"/>
      <c r="I187" s="5"/>
      <c r="J187" s="5"/>
      <c r="K187" s="5"/>
      <c r="L187" s="14"/>
    </row>
    <row r="188" spans="1:12" x14ac:dyDescent="0.25">
      <c r="A188" s="33"/>
      <c r="B188" s="5"/>
      <c r="C188" s="5"/>
      <c r="D188" s="5" t="s">
        <v>190</v>
      </c>
      <c r="E188" s="3"/>
      <c r="F188" s="3"/>
      <c r="G188" s="3"/>
      <c r="H188" s="5"/>
      <c r="I188" s="5"/>
      <c r="J188" s="5"/>
      <c r="K188" s="5"/>
      <c r="L188" s="14"/>
    </row>
    <row r="189" spans="1:12" x14ac:dyDescent="0.25">
      <c r="A189" s="33"/>
      <c r="B189" s="5"/>
      <c r="C189" s="5"/>
      <c r="D189" s="5" t="s">
        <v>191</v>
      </c>
      <c r="E189" s="3"/>
      <c r="F189" s="3"/>
      <c r="G189" s="3"/>
      <c r="H189" s="5"/>
      <c r="I189" s="5"/>
      <c r="J189" s="5"/>
      <c r="K189" s="5"/>
      <c r="L189" s="14"/>
    </row>
    <row r="190" spans="1:12" x14ac:dyDescent="0.25">
      <c r="A190" s="33"/>
      <c r="B190" s="5"/>
      <c r="C190" s="5"/>
      <c r="D190" s="5" t="s">
        <v>192</v>
      </c>
      <c r="E190" s="3"/>
      <c r="F190" s="3"/>
      <c r="G190" s="3"/>
      <c r="H190" s="5"/>
      <c r="I190" s="5"/>
      <c r="J190" s="5"/>
      <c r="K190" s="5"/>
      <c r="L190" s="14"/>
    </row>
    <row r="191" spans="1:12" x14ac:dyDescent="0.25">
      <c r="A191" s="33"/>
      <c r="B191" s="5"/>
      <c r="C191" s="5"/>
      <c r="D191" s="5" t="s">
        <v>193</v>
      </c>
      <c r="E191" s="3"/>
      <c r="F191" s="3"/>
      <c r="G191" s="3"/>
      <c r="H191" s="5"/>
      <c r="I191" s="5"/>
      <c r="J191" s="5"/>
      <c r="K191" s="5"/>
      <c r="L191" s="14"/>
    </row>
    <row r="192" spans="1:12" x14ac:dyDescent="0.25">
      <c r="A192" s="33"/>
      <c r="B192" s="5"/>
      <c r="C192" s="5"/>
      <c r="D192" s="5" t="s">
        <v>194</v>
      </c>
      <c r="E192" s="3"/>
      <c r="F192" s="3"/>
      <c r="G192" s="3"/>
      <c r="H192" s="5"/>
      <c r="I192" s="5"/>
      <c r="J192" s="5"/>
      <c r="K192" s="5"/>
      <c r="L192" s="14"/>
    </row>
    <row r="193" spans="1:12" x14ac:dyDescent="0.25">
      <c r="A193" s="33"/>
      <c r="B193" s="5"/>
      <c r="C193" s="5"/>
      <c r="D193" s="8" t="s">
        <v>195</v>
      </c>
      <c r="E193" s="3"/>
      <c r="F193" s="3"/>
      <c r="G193" s="3"/>
      <c r="H193" s="5"/>
      <c r="I193" s="5"/>
      <c r="J193" s="5"/>
      <c r="K193" s="5"/>
      <c r="L193" s="14"/>
    </row>
    <row r="194" spans="1:12" x14ac:dyDescent="0.25">
      <c r="A194" s="33"/>
      <c r="B194" s="5"/>
      <c r="C194" s="5"/>
      <c r="D194" s="5" t="s">
        <v>196</v>
      </c>
      <c r="E194" s="3"/>
      <c r="F194" s="3"/>
      <c r="G194" s="3"/>
      <c r="H194" s="5"/>
      <c r="I194" s="5"/>
      <c r="J194" s="5"/>
      <c r="K194" s="5"/>
      <c r="L194" s="14"/>
    </row>
    <row r="195" spans="1:12" x14ac:dyDescent="0.25">
      <c r="A195" s="33"/>
      <c r="B195" s="5"/>
      <c r="C195" s="5"/>
      <c r="D195" s="5" t="s">
        <v>197</v>
      </c>
      <c r="E195" s="3"/>
      <c r="F195" s="3"/>
      <c r="G195" s="3"/>
      <c r="H195" s="5"/>
      <c r="I195" s="5"/>
      <c r="J195" s="5"/>
      <c r="K195" s="5"/>
      <c r="L195" s="14"/>
    </row>
    <row r="196" spans="1:12" x14ac:dyDescent="0.25">
      <c r="A196" s="33"/>
      <c r="B196" s="5"/>
      <c r="C196" s="5"/>
      <c r="D196" s="5" t="s">
        <v>198</v>
      </c>
      <c r="E196" s="3"/>
      <c r="F196" s="3"/>
      <c r="G196" s="3"/>
      <c r="H196" s="5"/>
      <c r="I196" s="5"/>
      <c r="J196" s="5"/>
      <c r="K196" s="5"/>
      <c r="L196" s="14"/>
    </row>
    <row r="197" spans="1:12" x14ac:dyDescent="0.25">
      <c r="A197" s="33"/>
      <c r="B197" s="5"/>
      <c r="C197" s="5"/>
      <c r="D197" s="5" t="s">
        <v>199</v>
      </c>
      <c r="E197" s="3"/>
      <c r="F197" s="3"/>
      <c r="G197" s="3"/>
      <c r="H197" s="5"/>
      <c r="I197" s="5"/>
      <c r="J197" s="5"/>
      <c r="K197" s="5"/>
      <c r="L197" s="14"/>
    </row>
    <row r="198" spans="1:12" x14ac:dyDescent="0.25">
      <c r="A198" s="33"/>
      <c r="B198" s="5"/>
      <c r="C198" s="5"/>
      <c r="D198" s="5" t="s">
        <v>248</v>
      </c>
      <c r="E198" s="3"/>
      <c r="F198" s="3"/>
      <c r="G198" s="3"/>
      <c r="H198" s="5"/>
      <c r="I198" s="5"/>
      <c r="J198" s="5"/>
      <c r="K198" s="5"/>
      <c r="L198" s="14"/>
    </row>
    <row r="199" spans="1:12" x14ac:dyDescent="0.25">
      <c r="A199" s="33"/>
      <c r="B199" s="5"/>
      <c r="C199" s="5"/>
      <c r="D199" s="5" t="s">
        <v>200</v>
      </c>
      <c r="E199" s="3"/>
      <c r="F199" s="3"/>
      <c r="G199" s="3"/>
      <c r="H199" s="5"/>
      <c r="I199" s="5"/>
      <c r="J199" s="5"/>
      <c r="K199" s="5"/>
      <c r="L199" s="14"/>
    </row>
    <row r="200" spans="1:12" x14ac:dyDescent="0.25">
      <c r="A200" s="33"/>
      <c r="B200" s="5"/>
      <c r="C200" s="5"/>
      <c r="D200" s="5" t="s">
        <v>228</v>
      </c>
      <c r="E200" s="3"/>
      <c r="F200" s="3"/>
      <c r="G200" s="3"/>
      <c r="H200" s="5"/>
      <c r="I200" s="5"/>
      <c r="J200" s="5"/>
      <c r="K200" s="5"/>
      <c r="L200" s="14"/>
    </row>
    <row r="201" spans="1:12" x14ac:dyDescent="0.25">
      <c r="A201" s="33"/>
      <c r="B201" s="5"/>
      <c r="C201" s="5"/>
      <c r="D201" s="5" t="s">
        <v>227</v>
      </c>
      <c r="E201" s="3"/>
      <c r="F201" s="3"/>
      <c r="G201" s="3"/>
      <c r="H201" s="5"/>
      <c r="I201" s="5"/>
      <c r="J201" s="5"/>
      <c r="K201" s="5"/>
      <c r="L201" s="14"/>
    </row>
    <row r="202" spans="1:12" x14ac:dyDescent="0.25">
      <c r="A202" s="33"/>
      <c r="B202" s="5"/>
      <c r="C202" s="5"/>
      <c r="D202" s="5" t="s">
        <v>201</v>
      </c>
      <c r="E202" s="3"/>
      <c r="F202" s="3"/>
      <c r="G202" s="3"/>
      <c r="H202" s="5"/>
      <c r="I202" s="5"/>
      <c r="J202" s="5"/>
      <c r="K202" s="5"/>
      <c r="L202" s="14"/>
    </row>
    <row r="203" spans="1:12" x14ac:dyDescent="0.25">
      <c r="A203" s="33"/>
      <c r="B203" s="5"/>
      <c r="C203" s="5"/>
      <c r="D203" s="5" t="s">
        <v>229</v>
      </c>
      <c r="E203" s="3"/>
      <c r="F203" s="3"/>
      <c r="G203" s="3"/>
      <c r="H203" s="5"/>
      <c r="I203" s="5"/>
      <c r="J203" s="5"/>
      <c r="K203" s="5"/>
      <c r="L203" s="14"/>
    </row>
    <row r="204" spans="1:12" x14ac:dyDescent="0.25">
      <c r="A204" s="33"/>
      <c r="B204" s="5"/>
      <c r="C204" s="5"/>
      <c r="D204" s="5" t="s">
        <v>202</v>
      </c>
      <c r="E204" s="3"/>
      <c r="F204" s="3"/>
      <c r="G204" s="3"/>
      <c r="H204" s="5"/>
      <c r="I204" s="5"/>
      <c r="J204" s="5"/>
      <c r="K204" s="5"/>
      <c r="L204" s="14"/>
    </row>
    <row r="205" spans="1:12" x14ac:dyDescent="0.25">
      <c r="A205" s="33"/>
      <c r="B205" s="5"/>
      <c r="C205" s="5"/>
      <c r="D205" s="5" t="s">
        <v>230</v>
      </c>
      <c r="E205" s="3"/>
      <c r="F205" s="3"/>
      <c r="G205" s="3"/>
      <c r="H205" s="5"/>
      <c r="I205" s="5"/>
      <c r="J205" s="5"/>
      <c r="K205" s="5"/>
      <c r="L205" s="14"/>
    </row>
    <row r="206" spans="1:12" x14ac:dyDescent="0.25">
      <c r="A206" s="33"/>
      <c r="B206" s="5"/>
      <c r="C206" s="5"/>
      <c r="D206" s="5" t="s">
        <v>203</v>
      </c>
      <c r="E206" s="3"/>
      <c r="F206" s="3"/>
      <c r="G206" s="3"/>
      <c r="H206" s="5"/>
      <c r="I206" s="5"/>
      <c r="J206" s="5"/>
      <c r="K206" s="5"/>
      <c r="L206" s="14"/>
    </row>
    <row r="207" spans="1:12" x14ac:dyDescent="0.25">
      <c r="A207" s="33"/>
      <c r="B207" s="5"/>
      <c r="C207" s="5"/>
      <c r="D207" s="8" t="s">
        <v>204</v>
      </c>
      <c r="E207" s="3"/>
      <c r="F207" s="3"/>
      <c r="G207" s="3"/>
      <c r="H207" s="5"/>
      <c r="I207" s="5"/>
      <c r="J207" s="5"/>
      <c r="K207" s="5"/>
      <c r="L207" s="14"/>
    </row>
    <row r="208" spans="1:12" x14ac:dyDescent="0.25">
      <c r="A208" s="33"/>
      <c r="B208" s="5"/>
      <c r="C208" s="5"/>
      <c r="D208" s="5" t="s">
        <v>205</v>
      </c>
      <c r="E208" s="3"/>
      <c r="F208" s="3"/>
      <c r="G208" s="3"/>
      <c r="H208" s="5"/>
      <c r="I208" s="5"/>
      <c r="J208" s="5"/>
      <c r="K208" s="5"/>
      <c r="L208" s="14"/>
    </row>
    <row r="209" spans="1:12" x14ac:dyDescent="0.25">
      <c r="A209" s="33"/>
      <c r="B209" s="5"/>
      <c r="C209" s="5"/>
      <c r="D209" s="8" t="s">
        <v>206</v>
      </c>
      <c r="E209" s="3"/>
      <c r="F209" s="3"/>
      <c r="G209" s="3"/>
      <c r="H209" s="5"/>
      <c r="I209" s="5"/>
      <c r="J209" s="5"/>
      <c r="K209" s="5"/>
      <c r="L209" s="14"/>
    </row>
    <row r="210" spans="1:12" x14ac:dyDescent="0.25">
      <c r="A210" s="33"/>
      <c r="B210" s="5"/>
      <c r="C210" s="5"/>
      <c r="D210" s="5" t="s">
        <v>207</v>
      </c>
      <c r="E210" s="3"/>
      <c r="F210" s="3"/>
      <c r="G210" s="3"/>
      <c r="H210" s="5"/>
      <c r="I210" s="5"/>
      <c r="J210" s="5"/>
      <c r="K210" s="5"/>
      <c r="L210" s="14"/>
    </row>
    <row r="211" spans="1:12" x14ac:dyDescent="0.25">
      <c r="A211" s="33"/>
      <c r="B211" s="5"/>
      <c r="C211" s="5"/>
      <c r="D211" s="5" t="s">
        <v>208</v>
      </c>
      <c r="E211" s="3"/>
      <c r="F211" s="3"/>
      <c r="G211" s="3"/>
      <c r="H211" s="5"/>
      <c r="I211" s="5"/>
      <c r="J211" s="5"/>
      <c r="K211" s="5"/>
      <c r="L211" s="14"/>
    </row>
    <row r="212" spans="1:12" x14ac:dyDescent="0.25">
      <c r="A212" s="33"/>
      <c r="B212" s="5"/>
      <c r="C212" s="5"/>
      <c r="D212" s="5" t="s">
        <v>209</v>
      </c>
      <c r="E212" s="3"/>
      <c r="F212" s="3"/>
      <c r="G212" s="3"/>
      <c r="H212" s="5"/>
      <c r="I212" s="5"/>
      <c r="J212" s="5"/>
      <c r="K212" s="5"/>
      <c r="L212" s="14"/>
    </row>
    <row r="213" spans="1:12" x14ac:dyDescent="0.25">
      <c r="A213" s="33"/>
      <c r="B213" s="5"/>
      <c r="C213" s="5"/>
      <c r="D213" s="5" t="s">
        <v>210</v>
      </c>
      <c r="E213" s="3"/>
      <c r="F213" s="3"/>
      <c r="G213" s="3"/>
      <c r="H213" s="5"/>
      <c r="I213" s="5"/>
      <c r="J213" s="5"/>
      <c r="K213" s="5"/>
      <c r="L213" s="14"/>
    </row>
    <row r="214" spans="1:12" x14ac:dyDescent="0.25">
      <c r="A214" s="33"/>
      <c r="B214" s="5"/>
      <c r="C214" s="5"/>
      <c r="D214" s="5" t="s">
        <v>211</v>
      </c>
      <c r="E214" s="3"/>
      <c r="F214" s="3"/>
      <c r="G214" s="3"/>
      <c r="H214" s="5"/>
      <c r="I214" s="5"/>
      <c r="J214" s="5"/>
      <c r="K214" s="5"/>
      <c r="L214" s="14"/>
    </row>
    <row r="215" spans="1:12" x14ac:dyDescent="0.25">
      <c r="A215" s="45"/>
      <c r="B215" s="20"/>
      <c r="C215" s="20"/>
      <c r="D215" s="20"/>
      <c r="E215" s="22"/>
      <c r="F215" s="22"/>
      <c r="G215" s="22"/>
      <c r="H215" s="20"/>
      <c r="I215" s="20"/>
      <c r="J215" s="20"/>
      <c r="K215" s="20"/>
      <c r="L215" s="21"/>
    </row>
    <row r="216" spans="1:12" x14ac:dyDescent="0.25">
      <c r="A216" s="45"/>
      <c r="B216" s="20"/>
      <c r="C216" s="20"/>
      <c r="D216" s="20"/>
      <c r="E216" s="22"/>
      <c r="F216" s="22"/>
      <c r="G216" s="22" t="s">
        <v>214</v>
      </c>
      <c r="H216" s="20"/>
      <c r="I216" s="20"/>
      <c r="J216" s="20"/>
      <c r="K216" s="20"/>
      <c r="L216" s="21"/>
    </row>
    <row r="217" spans="1:12" x14ac:dyDescent="0.25">
      <c r="A217"/>
      <c r="B217" s="1" t="s">
        <v>251</v>
      </c>
      <c r="C217" s="60" t="s">
        <v>1</v>
      </c>
      <c r="D217" s="46" t="s">
        <v>216</v>
      </c>
      <c r="E217" t="str" cm="1">
        <f t="array" ref="E217:E233">_xlfn._xlws.SORT(_xlfn.UNIQUE(Failure))</f>
        <v>cleaning</v>
      </c>
      <c r="F217"/>
      <c r="G217" t="str" cm="1">
        <f t="array" ref="G217:G240">_xlfn.UNIQUE(Area)</f>
        <v>Saloon</v>
      </c>
      <c r="H217" t="str" cm="1">
        <f t="array" ref="H217:H414">_xlfn.UNIQUE(_xlfn._xlws.SORT(Description))</f>
        <v xml:space="preserve"> Genoa sheet clutch at helm</v>
      </c>
      <c r="I217"/>
      <c r="J217"/>
      <c r="K217"/>
      <c r="L217"/>
    </row>
    <row r="218" spans="1:12" x14ac:dyDescent="0.25">
      <c r="A218"/>
      <c r="B218" t="s">
        <v>13</v>
      </c>
      <c r="C218" s="47" t="s">
        <v>352</v>
      </c>
      <c r="D218" s="23" t="s">
        <v>46</v>
      </c>
      <c r="E218" t="str">
        <v>cracks</v>
      </c>
      <c r="F218"/>
      <c r="G218" t="str">
        <v>CABIN &amp; STUDY &amp; PASSAGE</v>
      </c>
      <c r="H218" t="str">
        <v xml:space="preserve"> Lewmar genoa tracks</v>
      </c>
      <c r="I218"/>
      <c r="J218"/>
      <c r="K218"/>
      <c r="L218"/>
    </row>
    <row r="219" spans="1:12" x14ac:dyDescent="0.25">
      <c r="A219"/>
      <c r="B219" t="s">
        <v>16</v>
      </c>
      <c r="C219" s="47" t="s">
        <v>352</v>
      </c>
      <c r="D219" s="23" t="s">
        <v>48</v>
      </c>
      <c r="E219" t="str">
        <v>damage</v>
      </c>
      <c r="F219"/>
      <c r="G219" t="str">
        <v>HEADS COMPARTMENTS</v>
      </c>
      <c r="H219" t="str">
        <v>1 x Drawer unit with 2 x drawers</v>
      </c>
      <c r="I219"/>
      <c r="J219"/>
      <c r="K219"/>
      <c r="L219"/>
    </row>
    <row r="220" spans="1:12" x14ac:dyDescent="0.25">
      <c r="A220"/>
      <c r="B220" t="s">
        <v>18</v>
      </c>
      <c r="C220" s="47" t="s">
        <v>352</v>
      </c>
      <c r="D220" s="23" t="s">
        <v>212</v>
      </c>
      <c r="E220" t="str">
        <v>flowcoat</v>
      </c>
      <c r="F220"/>
      <c r="G220" t="str">
        <v xml:space="preserve">DECK FITTINGS </v>
      </c>
      <c r="H220" t="str">
        <v>1 x Full height hanging locker</v>
      </c>
      <c r="I220"/>
      <c r="J220"/>
      <c r="K220"/>
      <c r="L220"/>
    </row>
    <row r="221" spans="1:12" x14ac:dyDescent="0.25">
      <c r="A221"/>
      <c r="B221" t="s">
        <v>21</v>
      </c>
      <c r="C221" s="47" t="s">
        <v>352</v>
      </c>
      <c r="D221" s="23" t="s">
        <v>51</v>
      </c>
      <c r="E221" t="str">
        <v>Incorrect</v>
      </c>
      <c r="F221"/>
      <c r="G221" t="str">
        <v xml:space="preserve">MAST, RIGGING &amp; SAILS </v>
      </c>
      <c r="H221" t="str">
        <v>12v outlet socket at helm station</v>
      </c>
      <c r="I221"/>
      <c r="J221"/>
      <c r="K221"/>
      <c r="L221"/>
    </row>
    <row r="222" spans="1:12" x14ac:dyDescent="0.25">
      <c r="A222"/>
      <c r="B222" t="s">
        <v>24</v>
      </c>
      <c r="C222" s="47" t="s">
        <v>352</v>
      </c>
      <c r="D222" s="23" t="s">
        <v>53</v>
      </c>
      <c r="E222" t="str">
        <v>loose</v>
      </c>
      <c r="F222"/>
      <c r="G222" t="str">
        <v xml:space="preserve">PLUMBING INSTALLATION </v>
      </c>
      <c r="H222" t="str">
        <v>1600w vertical windlass with capstan, 10mm gypsy &amp; hand-held remote</v>
      </c>
      <c r="I222"/>
      <c r="J222"/>
      <c r="K222"/>
      <c r="L222"/>
    </row>
    <row r="223" spans="1:12" x14ac:dyDescent="0.25">
      <c r="A223"/>
      <c r="B223" t="s">
        <v>14</v>
      </c>
      <c r="C223" s="47" t="s">
        <v>352</v>
      </c>
      <c r="D223" s="23" t="s">
        <v>55</v>
      </c>
      <c r="E223" t="str">
        <v>missing part</v>
      </c>
      <c r="F223"/>
      <c r="G223" t="str">
        <v>ENGINE &amp; CONTROLS</v>
      </c>
      <c r="H223" t="str">
        <v>2 x Additional spare 12v wires in mast</v>
      </c>
      <c r="I223"/>
      <c r="J223"/>
      <c r="K223"/>
      <c r="L223"/>
    </row>
    <row r="224" spans="1:12" x14ac:dyDescent="0.25">
      <c r="A224"/>
      <c r="B224" t="s">
        <v>28</v>
      </c>
      <c r="C224" s="47" t="s">
        <v>352</v>
      </c>
      <c r="D224" s="23" t="s">
        <v>56</v>
      </c>
      <c r="E224" t="str">
        <v>operational</v>
      </c>
      <c r="F224"/>
      <c r="G224" t="str">
        <v>RUDDER &amp; STEERING SYSTEM</v>
      </c>
      <c r="H224" t="str">
        <v>2 x Exhaust water locks/mufflers</v>
      </c>
      <c r="I224"/>
      <c r="J224"/>
      <c r="K224"/>
      <c r="L224"/>
    </row>
    <row r="225" spans="2:8" customFormat="1" x14ac:dyDescent="0.25">
      <c r="B225" t="s">
        <v>30</v>
      </c>
      <c r="C225" s="47" t="s">
        <v>352</v>
      </c>
      <c r="D225" s="23" t="s">
        <v>57</v>
      </c>
      <c r="E225" t="str">
        <v>pinholes</v>
      </c>
      <c r="G225" t="str">
        <v>ELECTRICAL INSTALLATION</v>
      </c>
      <c r="H225" t="str">
        <v>2 x LED reading lamps over bunk</v>
      </c>
    </row>
    <row r="226" spans="2:8" customFormat="1" x14ac:dyDescent="0.25">
      <c r="B226" t="s">
        <v>33</v>
      </c>
      <c r="C226" s="47" t="s">
        <v>352</v>
      </c>
      <c r="D226" s="23" t="s">
        <v>58</v>
      </c>
      <c r="E226" t="str">
        <v>porosity</v>
      </c>
      <c r="G226" t="str">
        <v>NAVIGATION EQUIPMENT</v>
      </c>
      <c r="H226" t="str">
        <v>2 x Loose Ottoman stools (upholstered) to be used as:</v>
      </c>
    </row>
    <row r="227" spans="2:8" customFormat="1" x14ac:dyDescent="0.25">
      <c r="B227" t="s">
        <v>363</v>
      </c>
      <c r="C227" s="47" t="s">
        <v>352</v>
      </c>
      <c r="D227" s="23" t="s">
        <v>59</v>
      </c>
      <c r="E227" t="str">
        <v>proud/Alignment</v>
      </c>
      <c r="G227" t="str">
        <v>RUNNING RIGGING</v>
      </c>
      <c r="H227" t="str">
        <v>3 x Drawers alongside oven</v>
      </c>
    </row>
    <row r="228" spans="2:8" customFormat="1" x14ac:dyDescent="0.25">
      <c r="B228" t="s">
        <v>47</v>
      </c>
      <c r="C228" s="47" t="s">
        <v>352</v>
      </c>
      <c r="D228" s="23" t="s">
        <v>60</v>
      </c>
      <c r="E228" t="str">
        <v>repairs</v>
      </c>
      <c r="G228" t="str">
        <v>Fwd cockpit</v>
      </c>
      <c r="H228" t="str">
        <v>Access to aft cockpit through sliding door</v>
      </c>
    </row>
    <row r="229" spans="2:8" customFormat="1" x14ac:dyDescent="0.25">
      <c r="B229" t="s">
        <v>49</v>
      </c>
      <c r="C229" s="47" t="s">
        <v>352</v>
      </c>
      <c r="D229" s="23" t="s">
        <v>61</v>
      </c>
      <c r="E229" t="str">
        <v xml:space="preserve">scratches </v>
      </c>
      <c r="G229" t="str">
        <v>Foredeck</v>
      </c>
      <c r="H229" t="str">
        <v>Acrylic smoke grey tinted windows</v>
      </c>
    </row>
    <row r="230" spans="2:8" customFormat="1" x14ac:dyDescent="0.25">
      <c r="B230" t="s">
        <v>50</v>
      </c>
      <c r="C230" s="47" t="s">
        <v>352</v>
      </c>
      <c r="D230" s="23" t="s">
        <v>62</v>
      </c>
      <c r="E230" t="str">
        <v>sealer</v>
      </c>
      <c r="G230" t="str">
        <v>Stbd Side Deck</v>
      </c>
      <c r="H230" t="str">
        <v>Additional spare conduit with messenger in mast</v>
      </c>
    </row>
    <row r="231" spans="2:8" customFormat="1" x14ac:dyDescent="0.25">
      <c r="B231" t="s">
        <v>52</v>
      </c>
      <c r="C231" s="47" t="s">
        <v>352</v>
      </c>
      <c r="D231" s="23" t="s">
        <v>63</v>
      </c>
      <c r="E231" t="str">
        <v>spills</v>
      </c>
      <c r="G231" t="str">
        <v>Stbd Crew Quarters</v>
      </c>
      <c r="H231" t="str">
        <v>Aft area</v>
      </c>
    </row>
    <row r="232" spans="2:8" customFormat="1" x14ac:dyDescent="0.25">
      <c r="B232" t="s">
        <v>54</v>
      </c>
      <c r="C232" s="47" t="s">
        <v>352</v>
      </c>
      <c r="D232" s="23" t="s">
        <v>65</v>
      </c>
      <c r="E232" t="str">
        <v>track repairs</v>
      </c>
      <c r="G232" t="str">
        <v>Port Side Deck</v>
      </c>
      <c r="H232" t="str">
        <v>Aft Cockpit table</v>
      </c>
    </row>
    <row r="233" spans="2:8" customFormat="1" x14ac:dyDescent="0.25">
      <c r="B233" t="s">
        <v>213</v>
      </c>
      <c r="C233" s="47" t="s">
        <v>352</v>
      </c>
      <c r="D233" s="23" t="s">
        <v>66</v>
      </c>
      <c r="E233" t="str">
        <v>voids</v>
      </c>
      <c r="G233" t="str">
        <v>Port Crew Quarters</v>
      </c>
      <c r="H233" t="str">
        <v>Alternators, standard with engines</v>
      </c>
    </row>
    <row r="234" spans="2:8" customFormat="1" x14ac:dyDescent="0.25">
      <c r="B234" t="s">
        <v>250</v>
      </c>
      <c r="C234" s="47" t="s">
        <v>352</v>
      </c>
      <c r="D234" s="23" t="s">
        <v>67</v>
      </c>
      <c r="G234" t="str">
        <v>Flybridge</v>
      </c>
      <c r="H234" t="str">
        <v>Anchor bow roller fitting</v>
      </c>
    </row>
    <row r="235" spans="2:8" customFormat="1" x14ac:dyDescent="0.25">
      <c r="B235" s="15"/>
      <c r="C235" s="47" t="s">
        <v>352</v>
      </c>
      <c r="D235" s="23" t="s">
        <v>69</v>
      </c>
      <c r="G235" t="str">
        <v>Aft cockpit</v>
      </c>
      <c r="H235" t="str">
        <v>Anchor chain bin</v>
      </c>
    </row>
    <row r="236" spans="2:8" customFormat="1" x14ac:dyDescent="0.25">
      <c r="C236" s="47" t="s">
        <v>352</v>
      </c>
      <c r="D236" s="24" t="s">
        <v>70</v>
      </c>
      <c r="G236" t="str">
        <v>Helm Station</v>
      </c>
      <c r="H236" t="str">
        <v>Anchor chain stopper</v>
      </c>
    </row>
    <row r="237" spans="2:8" customFormat="1" x14ac:dyDescent="0.25">
      <c r="C237" s="47" t="s">
        <v>352</v>
      </c>
      <c r="D237" s="23" t="s">
        <v>71</v>
      </c>
      <c r="G237" t="str">
        <v>Stbd Engine Room</v>
      </c>
      <c r="H237" t="str">
        <v>Anchor/windlass locker</v>
      </c>
    </row>
    <row r="238" spans="2:8" customFormat="1" x14ac:dyDescent="0.25">
      <c r="C238" s="47" t="s">
        <v>352</v>
      </c>
      <c r="D238" s="24" t="s">
        <v>72</v>
      </c>
      <c r="G238" t="str">
        <v>Port Engine Room</v>
      </c>
      <c r="H238" t="str">
        <v xml:space="preserve">Automatic shower drain pumps </v>
      </c>
    </row>
    <row r="239" spans="2:8" customFormat="1" x14ac:dyDescent="0.25">
      <c r="C239" s="47" t="s">
        <v>352</v>
      </c>
      <c r="D239" s="23" t="s">
        <v>73</v>
      </c>
      <c r="G239" t="str">
        <v>Stbd Hull</v>
      </c>
      <c r="H239" t="str">
        <v>Backrest s/s railing</v>
      </c>
    </row>
    <row r="240" spans="2:8" customFormat="1" x14ac:dyDescent="0.25">
      <c r="C240" s="47" t="s">
        <v>352</v>
      </c>
      <c r="D240" s="24" t="s">
        <v>74</v>
      </c>
      <c r="G240" t="str">
        <v>Port hull</v>
      </c>
      <c r="H240" t="str">
        <v>BBQ locker</v>
      </c>
    </row>
    <row r="241" spans="3:8" customFormat="1" x14ac:dyDescent="0.25">
      <c r="C241" s="47" t="s">
        <v>352</v>
      </c>
      <c r="D241" s="23" t="s">
        <v>75</v>
      </c>
      <c r="H241" t="str">
        <v>Bedside cave locker inboard</v>
      </c>
    </row>
    <row r="242" spans="3:8" customFormat="1" x14ac:dyDescent="0.25">
      <c r="C242" s="47" t="s">
        <v>352</v>
      </c>
      <c r="D242" s="24" t="s">
        <v>76</v>
      </c>
      <c r="H242" t="str">
        <v>Bedside table outboard</v>
      </c>
    </row>
    <row r="243" spans="3:8" customFormat="1" x14ac:dyDescent="0.25">
      <c r="C243" s="47" t="s">
        <v>352</v>
      </c>
      <c r="D243" s="23" t="s">
        <v>77</v>
      </c>
      <c r="H243" t="str">
        <v>Bi-colour &amp; stern navigation lights</v>
      </c>
    </row>
    <row r="244" spans="3:8" customFormat="1" x14ac:dyDescent="0.25">
      <c r="C244" s="47" t="s">
        <v>352</v>
      </c>
      <c r="D244" s="24" t="s">
        <v>78</v>
      </c>
      <c r="H244" t="str">
        <v>Bimini</v>
      </c>
    </row>
    <row r="245" spans="3:8" customFormat="1" x14ac:dyDescent="0.25">
      <c r="C245" s="47" t="s">
        <v>352</v>
      </c>
      <c r="D245" s="23" t="s">
        <v>79</v>
      </c>
      <c r="H245" t="str">
        <v>Bows</v>
      </c>
    </row>
    <row r="246" spans="3:8" customFormat="1" x14ac:dyDescent="0.25">
      <c r="C246" s="47" t="s">
        <v>352</v>
      </c>
      <c r="D246" s="24" t="s">
        <v>80</v>
      </c>
      <c r="H246" t="str">
        <v>burner gas hob</v>
      </c>
    </row>
    <row r="247" spans="3:8" customFormat="1" x14ac:dyDescent="0.25">
      <c r="C247" s="47" t="s">
        <v>352</v>
      </c>
      <c r="D247" s="23" t="s">
        <v>81</v>
      </c>
      <c r="H247" t="str">
        <v>Carbon monoxide detector/alarm</v>
      </c>
    </row>
    <row r="248" spans="3:8" customFormat="1" x14ac:dyDescent="0.25">
      <c r="C248" s="47" t="s">
        <v>352</v>
      </c>
      <c r="D248" s="24" t="s">
        <v>82</v>
      </c>
      <c r="H248" t="str">
        <v>Ceiling</v>
      </c>
    </row>
    <row r="249" spans="3:8" customFormat="1" x14ac:dyDescent="0.25">
      <c r="C249" s="47" t="s">
        <v>352</v>
      </c>
      <c r="D249" s="23" t="s">
        <v>83</v>
      </c>
      <c r="H249" t="str">
        <v>Chain plate</v>
      </c>
    </row>
    <row r="250" spans="3:8" customFormat="1" x14ac:dyDescent="0.25">
      <c r="C250" s="47" t="s">
        <v>352</v>
      </c>
      <c r="D250" s="24" t="s">
        <v>84</v>
      </c>
      <c r="H250" t="str">
        <v>Chain-and-wire steering system c/w bulkhead steering unit and brake</v>
      </c>
    </row>
    <row r="251" spans="3:8" customFormat="1" x14ac:dyDescent="0.25">
      <c r="C251" s="47" t="s">
        <v>352</v>
      </c>
      <c r="D251" s="23" t="s">
        <v>85</v>
      </c>
      <c r="H251" t="str">
        <v>Chart table seat</v>
      </c>
    </row>
    <row r="252" spans="3:8" customFormat="1" x14ac:dyDescent="0.25">
      <c r="C252" s="47" t="s">
        <v>352</v>
      </c>
      <c r="D252" s="24" t="s">
        <v>86</v>
      </c>
      <c r="H252" t="str">
        <v>Chart table with storage locker under hinged lid</v>
      </c>
    </row>
    <row r="253" spans="3:8" customFormat="1" x14ac:dyDescent="0.25">
      <c r="C253" s="47" t="s">
        <v>352</v>
      </c>
      <c r="D253" s="23" t="s">
        <v>88</v>
      </c>
      <c r="H253" t="str">
        <v>Clutch and cleat on mast for genoa halyard</v>
      </c>
    </row>
    <row r="254" spans="3:8" customFormat="1" x14ac:dyDescent="0.25">
      <c r="C254" s="47" t="s">
        <v>352</v>
      </c>
      <c r="D254" s="25" t="s">
        <v>53</v>
      </c>
      <c r="H254" t="str">
        <v>Coachroof handrails</v>
      </c>
    </row>
    <row r="255" spans="3:8" customFormat="1" x14ac:dyDescent="0.25">
      <c r="C255" s="47" t="s">
        <v>352</v>
      </c>
      <c r="D255" s="26" t="s">
        <v>89</v>
      </c>
      <c r="H255" t="str">
        <v>Compass at helm position</v>
      </c>
    </row>
    <row r="256" spans="3:8" customFormat="1" x14ac:dyDescent="0.25">
      <c r="C256" s="47" t="s">
        <v>352</v>
      </c>
      <c r="D256" s="24" t="s">
        <v>90</v>
      </c>
      <c r="H256" t="str">
        <v>Concealed overhead rope lighting</v>
      </c>
    </row>
    <row r="257" spans="3:8" customFormat="1" x14ac:dyDescent="0.25">
      <c r="C257" s="47" t="s">
        <v>302</v>
      </c>
      <c r="D257" s="23" t="s">
        <v>46</v>
      </c>
      <c r="H257" t="str">
        <v>Concealed under bunk rope lighting</v>
      </c>
    </row>
    <row r="258" spans="3:8" customFormat="1" x14ac:dyDescent="0.25">
      <c r="C258" s="47" t="s">
        <v>302</v>
      </c>
      <c r="D258" s="24" t="s">
        <v>48</v>
      </c>
      <c r="H258" t="str">
        <v>Cooling water inlet strainers</v>
      </c>
    </row>
    <row r="259" spans="3:8" customFormat="1" x14ac:dyDescent="0.25">
      <c r="C259" s="47" t="s">
        <v>302</v>
      </c>
      <c r="D259" s="23" t="s">
        <v>92</v>
      </c>
      <c r="H259" t="str">
        <v>Cover for drying recess</v>
      </c>
    </row>
    <row r="260" spans="3:8" customFormat="1" x14ac:dyDescent="0.25">
      <c r="C260" s="47" t="s">
        <v>302</v>
      </c>
      <c r="D260" s="24" t="s">
        <v>93</v>
      </c>
      <c r="H260" t="str">
        <v>Deck flange</v>
      </c>
    </row>
    <row r="261" spans="3:8" customFormat="1" x14ac:dyDescent="0.25">
      <c r="C261" s="47" t="s">
        <v>302</v>
      </c>
      <c r="D261" s="23" t="s">
        <v>94</v>
      </c>
      <c r="H261" t="str">
        <v>Decklid</v>
      </c>
    </row>
    <row r="262" spans="3:8" customFormat="1" x14ac:dyDescent="0.25">
      <c r="C262" s="47" t="s">
        <v>302</v>
      </c>
      <c r="D262" s="24" t="s">
        <v>95</v>
      </c>
      <c r="H262" t="str">
        <v>Dedicated trashcan locker</v>
      </c>
    </row>
    <row r="263" spans="3:8" customFormat="1" x14ac:dyDescent="0.25">
      <c r="C263" s="47" t="s">
        <v>302</v>
      </c>
      <c r="D263" s="23" t="s">
        <v>96</v>
      </c>
      <c r="H263" t="str">
        <v>Destroyer-type steering wheel</v>
      </c>
    </row>
    <row r="264" spans="3:8" customFormat="1" x14ac:dyDescent="0.25">
      <c r="C264" s="47" t="s">
        <v>302</v>
      </c>
      <c r="D264" s="24" t="s">
        <v>97</v>
      </c>
      <c r="H264" t="str">
        <v>Digital monitoring with 7" Multi-function Dispaly</v>
      </c>
    </row>
    <row r="265" spans="3:8" customFormat="1" x14ac:dyDescent="0.25">
      <c r="C265" s="47" t="s">
        <v>302</v>
      </c>
      <c r="D265" s="23" t="s">
        <v>98</v>
      </c>
      <c r="H265" t="str">
        <v>Dish and cutlery drying recess with drainage</v>
      </c>
    </row>
    <row r="266" spans="3:8" customFormat="1" x14ac:dyDescent="0.25">
      <c r="C266" s="47" t="s">
        <v>302</v>
      </c>
      <c r="D266" s="24" t="s">
        <v>99</v>
      </c>
      <c r="H266" t="str">
        <v>Door surround</v>
      </c>
    </row>
    <row r="267" spans="3:8" customFormat="1" x14ac:dyDescent="0.25">
      <c r="C267" s="47" t="s">
        <v>302</v>
      </c>
      <c r="D267" s="23" t="s">
        <v>82</v>
      </c>
      <c r="H267" t="str">
        <v xml:space="preserve">Double berth </v>
      </c>
    </row>
    <row r="268" spans="3:8" customFormat="1" x14ac:dyDescent="0.25">
      <c r="C268" s="47" t="s">
        <v>302</v>
      </c>
      <c r="D268" s="24" t="s">
        <v>100</v>
      </c>
      <c r="H268" t="str">
        <v>Double lever throttle / gearshift control</v>
      </c>
    </row>
    <row r="269" spans="3:8" customFormat="1" x14ac:dyDescent="0.25">
      <c r="C269" s="47" t="s">
        <v>302</v>
      </c>
      <c r="D269" s="23" t="s">
        <v>101</v>
      </c>
      <c r="H269" t="str">
        <v>Double towel rail</v>
      </c>
    </row>
    <row r="270" spans="3:8" customFormat="1" x14ac:dyDescent="0.25">
      <c r="C270" s="47" t="s">
        <v>302</v>
      </c>
      <c r="D270" s="24" t="s">
        <v>102</v>
      </c>
      <c r="H270" t="str">
        <v>Drawer under oven</v>
      </c>
    </row>
    <row r="271" spans="3:8" customFormat="1" x14ac:dyDescent="0.25">
      <c r="C271" s="47" t="s">
        <v>302</v>
      </c>
      <c r="D271" s="23" t="s">
        <v>53</v>
      </c>
      <c r="H271" t="str">
        <v>Drinks holders - 2 in fwd cockpit and 1 at helm</v>
      </c>
    </row>
    <row r="272" spans="3:8" customFormat="1" x14ac:dyDescent="0.25">
      <c r="C272" s="47" t="s">
        <v>302</v>
      </c>
      <c r="D272" s="24" t="s">
        <v>55</v>
      </c>
      <c r="H272" t="str">
        <v>Electric bilge pumps (engine room) with float switch and warning light at switch panel</v>
      </c>
    </row>
    <row r="273" spans="3:8" customFormat="1" x14ac:dyDescent="0.25">
      <c r="C273" s="47" t="s">
        <v>302</v>
      </c>
      <c r="D273" s="23" t="s">
        <v>103</v>
      </c>
      <c r="H273" t="str">
        <v>Electric bilge pumps (keel sump) with float switches and alarm at switch panel</v>
      </c>
    </row>
    <row r="274" spans="3:8" customFormat="1" x14ac:dyDescent="0.25">
      <c r="C274" s="47" t="s">
        <v>302</v>
      </c>
      <c r="D274" s="24" t="s">
        <v>104</v>
      </c>
      <c r="H274" t="str">
        <v>Electric sea water flush toilet</v>
      </c>
    </row>
    <row r="275" spans="3:8" customFormat="1" x14ac:dyDescent="0.25">
      <c r="C275" s="47" t="s">
        <v>302</v>
      </c>
      <c r="D275" s="23" t="s">
        <v>105</v>
      </c>
      <c r="H275" t="str">
        <v>Electrical spares kit: fuses, relays, fuse holders</v>
      </c>
    </row>
    <row r="276" spans="3:8" customFormat="1" x14ac:dyDescent="0.25">
      <c r="C276" s="47" t="s">
        <v>302</v>
      </c>
      <c r="D276" s="24" t="s">
        <v>106</v>
      </c>
      <c r="H276" t="str">
        <v>Emergency ladder on port transom</v>
      </c>
    </row>
    <row r="277" spans="3:8" customFormat="1" x14ac:dyDescent="0.25">
      <c r="C277" s="47" t="s">
        <v>302</v>
      </c>
      <c r="D277" s="23" t="s">
        <v>67</v>
      </c>
      <c r="H277" t="str">
        <v>Emergency tiller (s/s)</v>
      </c>
    </row>
    <row r="278" spans="3:8" customFormat="1" x14ac:dyDescent="0.25">
      <c r="C278" s="49" t="s">
        <v>353</v>
      </c>
      <c r="D278" s="23" t="s">
        <v>108</v>
      </c>
      <c r="H278" t="str">
        <v>Engine room ventilation fans</v>
      </c>
    </row>
    <row r="279" spans="3:8" customFormat="1" x14ac:dyDescent="0.25">
      <c r="C279" s="49" t="s">
        <v>353</v>
      </c>
      <c r="D279" s="23" t="s">
        <v>109</v>
      </c>
      <c r="H279" t="str">
        <v>Engine start batteries - 96Ah lead Acid type</v>
      </c>
    </row>
    <row r="280" spans="3:8" customFormat="1" x14ac:dyDescent="0.25">
      <c r="C280" s="49" t="s">
        <v>353</v>
      </c>
      <c r="D280" s="23" t="s">
        <v>110</v>
      </c>
      <c r="H280" t="str">
        <v>Engine starter battery isolator switches</v>
      </c>
    </row>
    <row r="281" spans="3:8" customFormat="1" x14ac:dyDescent="0.25">
      <c r="C281" s="49" t="s">
        <v>353</v>
      </c>
      <c r="D281" s="23" t="s">
        <v>111</v>
      </c>
      <c r="H281" t="str">
        <v>Exhaust cooling water temperature sensors with audible alarms at helm</v>
      </c>
    </row>
    <row r="282" spans="3:8" customFormat="1" x14ac:dyDescent="0.25">
      <c r="C282" s="49" t="s">
        <v>353</v>
      </c>
      <c r="D282" s="23" t="s">
        <v>112</v>
      </c>
      <c r="H282" t="str">
        <v>Exhaust skin fittings (s/s)</v>
      </c>
    </row>
    <row r="283" spans="3:8" customFormat="1" x14ac:dyDescent="0.25">
      <c r="C283" s="49" t="s">
        <v>353</v>
      </c>
      <c r="D283" s="23" t="s">
        <v>113</v>
      </c>
      <c r="H283" t="str">
        <v>Eyebrow</v>
      </c>
    </row>
    <row r="284" spans="3:8" customFormat="1" x14ac:dyDescent="0.25">
      <c r="C284" s="49" t="s">
        <v>353</v>
      </c>
      <c r="D284" s="23" t="s">
        <v>114</v>
      </c>
      <c r="H284" t="str">
        <v>floating step</v>
      </c>
    </row>
    <row r="285" spans="3:8" customFormat="1" x14ac:dyDescent="0.25">
      <c r="C285" s="49" t="s">
        <v>353</v>
      </c>
      <c r="D285" s="23" t="s">
        <v>115</v>
      </c>
      <c r="H285" t="str">
        <v>Floor</v>
      </c>
    </row>
    <row r="286" spans="3:8" customFormat="1" x14ac:dyDescent="0.25">
      <c r="C286" s="49" t="s">
        <v>353</v>
      </c>
      <c r="D286" s="23" t="s">
        <v>116</v>
      </c>
      <c r="H286" t="str">
        <v>Flush Hatch over cabins</v>
      </c>
    </row>
    <row r="287" spans="3:8" customFormat="1" x14ac:dyDescent="0.25">
      <c r="C287" s="49" t="s">
        <v>353</v>
      </c>
      <c r="D287" s="23" t="s">
        <v>117</v>
      </c>
      <c r="H287" t="str">
        <v>Flush Hatch over heads</v>
      </c>
    </row>
    <row r="288" spans="3:8" customFormat="1" x14ac:dyDescent="0.25">
      <c r="C288" s="49" t="s">
        <v>353</v>
      </c>
      <c r="D288" s="23" t="s">
        <v>118</v>
      </c>
      <c r="H288" t="str">
        <v>Flush Hatch over port forepeak (includes mushroom cowl)</v>
      </c>
    </row>
    <row r="289" spans="3:8" customFormat="1" x14ac:dyDescent="0.25">
      <c r="C289" s="47" t="s">
        <v>119</v>
      </c>
      <c r="D289" s="23" t="s">
        <v>120</v>
      </c>
      <c r="H289" t="str">
        <v>Fold down Forward Cockpit table</v>
      </c>
    </row>
    <row r="290" spans="3:8" customFormat="1" x14ac:dyDescent="0.25">
      <c r="C290" s="49" t="s">
        <v>119</v>
      </c>
      <c r="D290" s="24" t="s">
        <v>121</v>
      </c>
      <c r="H290" t="str">
        <v>Fold up vanity mirror</v>
      </c>
    </row>
    <row r="291" spans="3:8" customFormat="1" x14ac:dyDescent="0.25">
      <c r="C291" s="47" t="s">
        <v>119</v>
      </c>
      <c r="D291" s="23" t="s">
        <v>122</v>
      </c>
      <c r="H291" t="str">
        <v>Folding swimming ladder c/w teak steps</v>
      </c>
    </row>
    <row r="292" spans="3:8" customFormat="1" x14ac:dyDescent="0.25">
      <c r="C292" s="49" t="s">
        <v>119</v>
      </c>
      <c r="D292" s="24" t="s">
        <v>123</v>
      </c>
      <c r="H292" t="str">
        <v>Foredeck/forward cockpit lockers</v>
      </c>
    </row>
    <row r="293" spans="3:8" customFormat="1" x14ac:dyDescent="0.25">
      <c r="C293" s="47" t="s">
        <v>119</v>
      </c>
      <c r="D293" s="23" t="s">
        <v>124</v>
      </c>
      <c r="H293" t="str">
        <v>Forward access to foredeck c/w watertight Lewmar door</v>
      </c>
    </row>
    <row r="294" spans="3:8" customFormat="1" x14ac:dyDescent="0.25">
      <c r="C294" s="49" t="s">
        <v>119</v>
      </c>
      <c r="D294" s="24" t="s">
        <v>125</v>
      </c>
      <c r="H294" t="str">
        <v>Forward doorway access to forward cockpit and foredeck</v>
      </c>
    </row>
    <row r="295" spans="3:8" customFormat="1" x14ac:dyDescent="0.25">
      <c r="C295" s="47" t="s">
        <v>119</v>
      </c>
      <c r="D295" s="23" t="s">
        <v>126</v>
      </c>
      <c r="H295" t="str">
        <v>Fresh water pressure pump with accumulator tank</v>
      </c>
    </row>
    <row r="296" spans="3:8" customFormat="1" x14ac:dyDescent="0.25">
      <c r="C296" s="49" t="s">
        <v>119</v>
      </c>
      <c r="D296" s="24" t="s">
        <v>127</v>
      </c>
      <c r="H296" t="str">
        <v>Fuel deck fillers</v>
      </c>
    </row>
    <row r="297" spans="3:8" customFormat="1" x14ac:dyDescent="0.25">
      <c r="C297" s="47" t="s">
        <v>119</v>
      </c>
      <c r="D297" s="23" t="s">
        <v>128</v>
      </c>
      <c r="H297" t="str">
        <v>Fuel filter / water separators</v>
      </c>
    </row>
    <row r="298" spans="3:8" customFormat="1" x14ac:dyDescent="0.25">
      <c r="C298" s="49" t="s">
        <v>119</v>
      </c>
      <c r="D298" s="24" t="s">
        <v>129</v>
      </c>
      <c r="H298" t="str">
        <v>Fuel tank</v>
      </c>
    </row>
    <row r="299" spans="3:8" customFormat="1" x14ac:dyDescent="0.25">
      <c r="C299" s="47" t="s">
        <v>119</v>
      </c>
      <c r="D299" s="23" t="s">
        <v>130</v>
      </c>
      <c r="H299" t="str">
        <v>Furler clutch</v>
      </c>
    </row>
    <row r="300" spans="3:8" customFormat="1" x14ac:dyDescent="0.25">
      <c r="C300" s="49" t="s">
        <v>119</v>
      </c>
      <c r="D300" s="24" t="s">
        <v>131</v>
      </c>
      <c r="H300" t="str">
        <v>Furling genoa</v>
      </c>
    </row>
    <row r="301" spans="3:8" customFormat="1" x14ac:dyDescent="0.25">
      <c r="C301" s="47" t="s">
        <v>119</v>
      </c>
      <c r="D301" s="23" t="s">
        <v>132</v>
      </c>
      <c r="H301" t="str">
        <v>Fwd area</v>
      </c>
    </row>
    <row r="302" spans="3:8" customFormat="1" x14ac:dyDescent="0.25">
      <c r="C302" s="49" t="s">
        <v>119</v>
      </c>
      <c r="D302" s="24" t="s">
        <v>133</v>
      </c>
      <c r="H302" t="str">
        <v>Gas cylinder regulator in dedicated LPG locker</v>
      </c>
    </row>
    <row r="303" spans="3:8" customFormat="1" x14ac:dyDescent="0.25">
      <c r="C303" s="47" t="s">
        <v>119</v>
      </c>
      <c r="D303" s="23" t="s">
        <v>134</v>
      </c>
      <c r="H303" t="str">
        <v>Gas detectors in each hull connected to alarm in saloon</v>
      </c>
    </row>
    <row r="304" spans="3:8" customFormat="1" x14ac:dyDescent="0.25">
      <c r="C304" s="49" t="s">
        <v>119</v>
      </c>
      <c r="D304" s="24" t="s">
        <v>135</v>
      </c>
      <c r="H304" t="str">
        <v>gas oven</v>
      </c>
    </row>
    <row r="305" spans="3:8" customFormat="1" x14ac:dyDescent="0.25">
      <c r="C305" s="47" t="s">
        <v>119</v>
      </c>
      <c r="D305" s="23" t="s">
        <v>136</v>
      </c>
      <c r="H305" t="str">
        <v>Gas solenoid shut-off valve with control &amp; warning light at cooker</v>
      </c>
    </row>
    <row r="306" spans="3:8" customFormat="1" x14ac:dyDescent="0.25">
      <c r="C306" s="49" t="s">
        <v>119</v>
      </c>
      <c r="D306" s="24" t="s">
        <v>137</v>
      </c>
      <c r="H306" t="str">
        <v>Genoa furler</v>
      </c>
    </row>
    <row r="307" spans="3:8" customFormat="1" x14ac:dyDescent="0.25">
      <c r="C307" s="47" t="s">
        <v>119</v>
      </c>
      <c r="D307" s="23" t="s">
        <v>138</v>
      </c>
      <c r="H307" t="str">
        <v>Genoa sheets</v>
      </c>
    </row>
    <row r="308" spans="3:8" customFormat="1" x14ac:dyDescent="0.25">
      <c r="C308" s="49" t="s">
        <v>119</v>
      </c>
      <c r="D308" s="24" t="s">
        <v>240</v>
      </c>
      <c r="H308" t="str">
        <v>Glass divider with sliding panel</v>
      </c>
    </row>
    <row r="309" spans="3:8" customFormat="1" x14ac:dyDescent="0.25">
      <c r="C309" s="47" t="s">
        <v>119</v>
      </c>
      <c r="D309" s="23" t="s">
        <v>139</v>
      </c>
      <c r="H309" t="str">
        <v>Guard wires across bow and stern</v>
      </c>
    </row>
    <row r="310" spans="3:8" customFormat="1" x14ac:dyDescent="0.25">
      <c r="C310" s="49" t="s">
        <v>119</v>
      </c>
      <c r="D310" s="24" t="s">
        <v>140</v>
      </c>
      <c r="H310" t="str">
        <v>Guard wires with stanchions, bases, port &amp; starboard side gates</v>
      </c>
    </row>
    <row r="311" spans="3:8" customFormat="1" x14ac:dyDescent="0.25">
      <c r="C311" s="47" t="s">
        <v>119</v>
      </c>
      <c r="D311" s="23" t="s">
        <v>141</v>
      </c>
      <c r="H311" t="str">
        <v>Halyard clutch at helm (gennaker)</v>
      </c>
    </row>
    <row r="312" spans="3:8" customFormat="1" x14ac:dyDescent="0.25">
      <c r="C312" s="49" t="s">
        <v>119</v>
      </c>
      <c r="D312" s="24" t="s">
        <v>239</v>
      </c>
      <c r="H312" t="str">
        <v>Halyard clutch at helm (mainsail)</v>
      </c>
    </row>
    <row r="313" spans="3:8" customFormat="1" x14ac:dyDescent="0.25">
      <c r="C313" s="47" t="s">
        <v>119</v>
      </c>
      <c r="D313" s="23" t="s">
        <v>238</v>
      </c>
      <c r="H313" t="str">
        <v>Halyards (main, genoa &amp; spare)</v>
      </c>
    </row>
    <row r="314" spans="3:8" customFormat="1" x14ac:dyDescent="0.25">
      <c r="C314" s="49" t="s">
        <v>119</v>
      </c>
      <c r="D314" s="24" t="s">
        <v>142</v>
      </c>
      <c r="H314" t="str">
        <v>Hardtop bimini over helm with supports and LED light</v>
      </c>
    </row>
    <row r="315" spans="3:8" customFormat="1" x14ac:dyDescent="0.25">
      <c r="C315" s="47" t="s">
        <v>119</v>
      </c>
      <c r="D315" s="23" t="s">
        <v>143</v>
      </c>
      <c r="H315" t="str">
        <v>Hardtop grab handles</v>
      </c>
    </row>
    <row r="316" spans="3:8" customFormat="1" x14ac:dyDescent="0.25">
      <c r="C316" s="49" t="s">
        <v>119</v>
      </c>
      <c r="D316" s="24" t="s">
        <v>144</v>
      </c>
      <c r="H316" t="str">
        <v>Hardtop over forward and aft cockpit complete with LED lighting</v>
      </c>
    </row>
    <row r="317" spans="3:8" customFormat="1" x14ac:dyDescent="0.25">
      <c r="C317" s="47" t="s">
        <v>119</v>
      </c>
      <c r="D317" s="23" t="s">
        <v>145</v>
      </c>
      <c r="H317" t="str">
        <v>Hardtop supports</v>
      </c>
    </row>
    <row r="318" spans="3:8" customFormat="1" x14ac:dyDescent="0.25">
      <c r="C318" s="49" t="s">
        <v>119</v>
      </c>
      <c r="D318" s="24" t="s">
        <v>146</v>
      </c>
      <c r="H318" t="str">
        <v>Helm seat with upholstered backrest</v>
      </c>
    </row>
    <row r="319" spans="3:8" customFormat="1" x14ac:dyDescent="0.25">
      <c r="C319" s="47" t="s">
        <v>119</v>
      </c>
      <c r="D319" s="23" t="s">
        <v>147</v>
      </c>
      <c r="H319" t="str">
        <v>Helmstation</v>
      </c>
    </row>
    <row r="320" spans="3:8" customFormat="1" x14ac:dyDescent="0.25">
      <c r="C320" s="49" t="s">
        <v>119</v>
      </c>
      <c r="D320" s="24" t="s">
        <v>148</v>
      </c>
      <c r="H320" t="str">
        <v>Helmstation steps</v>
      </c>
    </row>
    <row r="321" spans="3:8" customFormat="1" x14ac:dyDescent="0.25">
      <c r="C321" s="47" t="s">
        <v>119</v>
      </c>
      <c r="D321" s="23" t="s">
        <v>149</v>
      </c>
      <c r="H321" t="str">
        <v>High performance spade rudders</v>
      </c>
    </row>
    <row r="322" spans="3:8" customFormat="1" x14ac:dyDescent="0.25">
      <c r="C322" s="49" t="s">
        <v>119</v>
      </c>
      <c r="D322" s="24" t="s">
        <v>237</v>
      </c>
      <c r="H322" t="str">
        <v>High quality galley worktop surfaces</v>
      </c>
    </row>
    <row r="323" spans="3:8" customFormat="1" x14ac:dyDescent="0.25">
      <c r="C323" s="47" t="s">
        <v>119</v>
      </c>
      <c r="D323" s="23" t="s">
        <v>150</v>
      </c>
      <c r="H323" t="str">
        <v>High water bilge float switches with alarm at switch panel</v>
      </c>
    </row>
    <row r="324" spans="3:8" customFormat="1" x14ac:dyDescent="0.25">
      <c r="C324" s="49" t="s">
        <v>119</v>
      </c>
      <c r="D324" s="24" t="s">
        <v>236</v>
      </c>
      <c r="H324" t="str">
        <v>Holding tanks</v>
      </c>
    </row>
    <row r="325" spans="3:8" customFormat="1" x14ac:dyDescent="0.25">
      <c r="C325" s="47" t="s">
        <v>119</v>
      </c>
      <c r="D325" s="23" t="s">
        <v>235</v>
      </c>
      <c r="H325" t="str">
        <v>Hot and cold pressurized fresh water system consisting of:</v>
      </c>
    </row>
    <row r="326" spans="3:8" customFormat="1" x14ac:dyDescent="0.25">
      <c r="C326" s="49" t="s">
        <v>119</v>
      </c>
      <c r="D326" s="24" t="s">
        <v>234</v>
      </c>
      <c r="H326" t="str">
        <v>Hot water cylinders</v>
      </c>
    </row>
    <row r="327" spans="3:8" customFormat="1" x14ac:dyDescent="0.25">
      <c r="C327" s="47" t="s">
        <v>119</v>
      </c>
      <c r="D327" s="23" t="s">
        <v>151</v>
      </c>
      <c r="H327" t="str">
        <v xml:space="preserve">House batteries </v>
      </c>
    </row>
    <row r="328" spans="3:8" customFormat="1" x14ac:dyDescent="0.25">
      <c r="C328" s="49" t="s">
        <v>119</v>
      </c>
      <c r="D328" s="24" t="s">
        <v>152</v>
      </c>
      <c r="H328" t="str">
        <v>House battery isolator switch QC</v>
      </c>
    </row>
    <row r="329" spans="3:8" customFormat="1" x14ac:dyDescent="0.25">
      <c r="C329" s="47" t="s">
        <v>119</v>
      </c>
      <c r="D329" s="23" t="s">
        <v>153</v>
      </c>
      <c r="H329" t="str">
        <v>Inboard</v>
      </c>
    </row>
    <row r="330" spans="3:8" customFormat="1" x14ac:dyDescent="0.25">
      <c r="C330" s="49" t="s">
        <v>119</v>
      </c>
      <c r="D330" s="24" t="s">
        <v>154</v>
      </c>
      <c r="H330" t="str">
        <v>Joinery staircases to hull accommodation</v>
      </c>
    </row>
    <row r="331" spans="3:8" customFormat="1" x14ac:dyDescent="0.25">
      <c r="C331" s="47" t="s">
        <v>119</v>
      </c>
      <c r="D331" s="23" t="s">
        <v>155</v>
      </c>
      <c r="H331" t="str">
        <v>Laminate finish with solid wood trims</v>
      </c>
    </row>
    <row r="332" spans="3:8" customFormat="1" x14ac:dyDescent="0.25">
      <c r="C332" s="49" t="s">
        <v>119</v>
      </c>
      <c r="D332" s="24" t="s">
        <v>156</v>
      </c>
      <c r="H332" t="str">
        <v>Large bowl s/s sink</v>
      </c>
    </row>
    <row r="333" spans="3:8" customFormat="1" x14ac:dyDescent="0.25">
      <c r="C333" s="47" t="s">
        <v>119</v>
      </c>
      <c r="D333" s="23" t="s">
        <v>157</v>
      </c>
      <c r="H333" t="str">
        <v>Large hull window incorporating portlight and pleated blind</v>
      </c>
    </row>
    <row r="334" spans="3:8" customFormat="1" x14ac:dyDescent="0.25">
      <c r="C334" s="49" t="s">
        <v>119</v>
      </c>
      <c r="D334" s="24" t="s">
        <v>233</v>
      </c>
      <c r="H334" t="str">
        <v>Large mirror behind sliding entrance door</v>
      </c>
    </row>
    <row r="335" spans="3:8" customFormat="1" x14ac:dyDescent="0.25">
      <c r="C335" s="47" t="s">
        <v>119</v>
      </c>
      <c r="D335" s="23" t="s">
        <v>158</v>
      </c>
      <c r="H335" t="str">
        <v>LED Courtesy lights at stairways</v>
      </c>
    </row>
    <row r="336" spans="3:8" customFormat="1" x14ac:dyDescent="0.25">
      <c r="C336" s="49" t="s">
        <v>119</v>
      </c>
      <c r="D336" s="24" t="s">
        <v>231</v>
      </c>
      <c r="H336" t="str">
        <v>LED overhead lighting</v>
      </c>
    </row>
    <row r="337" spans="3:8" customFormat="1" x14ac:dyDescent="0.25">
      <c r="C337" s="47" t="s">
        <v>119</v>
      </c>
      <c r="D337" s="23" t="s">
        <v>232</v>
      </c>
      <c r="H337" t="str">
        <v>Lewmar genoa cars with pin stop</v>
      </c>
    </row>
    <row r="338" spans="3:8" customFormat="1" x14ac:dyDescent="0.25">
      <c r="C338" s="49" t="s">
        <v>119</v>
      </c>
      <c r="D338" s="24" t="s">
        <v>159</v>
      </c>
      <c r="H338" t="str">
        <v>Lewmar winch handles</v>
      </c>
    </row>
    <row r="339" spans="3:8" customFormat="1" x14ac:dyDescent="0.25">
      <c r="C339" s="47" t="s">
        <v>160</v>
      </c>
      <c r="D339" s="23" t="s">
        <v>161</v>
      </c>
      <c r="H339" t="str">
        <v>Life raft locker with convertible fore/aft seat bolster</v>
      </c>
    </row>
    <row r="340" spans="3:8" customFormat="1" x14ac:dyDescent="0.25">
      <c r="C340" s="49" t="s">
        <v>160</v>
      </c>
      <c r="D340" s="24" t="s">
        <v>162</v>
      </c>
      <c r="H340" t="str">
        <v>locker lids</v>
      </c>
    </row>
    <row r="341" spans="3:8" customFormat="1" x14ac:dyDescent="0.25">
      <c r="C341" s="47" t="s">
        <v>160</v>
      </c>
      <c r="D341" s="23" t="s">
        <v>163</v>
      </c>
      <c r="H341" t="str">
        <v>Main boom topping lift</v>
      </c>
    </row>
    <row r="342" spans="3:8" customFormat="1" x14ac:dyDescent="0.25">
      <c r="C342" s="49" t="s">
        <v>160</v>
      </c>
      <c r="D342" s="24" t="s">
        <v>164</v>
      </c>
      <c r="H342" t="str">
        <v>Main sheet clutch at helm</v>
      </c>
    </row>
    <row r="343" spans="3:8" customFormat="1" x14ac:dyDescent="0.25">
      <c r="C343" s="47" t="s">
        <v>160</v>
      </c>
      <c r="D343" s="23" t="s">
        <v>165</v>
      </c>
      <c r="H343" t="str">
        <v xml:space="preserve">Main sheets </v>
      </c>
    </row>
    <row r="344" spans="3:8" customFormat="1" x14ac:dyDescent="0.25">
      <c r="C344" s="49" t="s">
        <v>160</v>
      </c>
      <c r="D344" s="24" t="s">
        <v>166</v>
      </c>
      <c r="H344" t="str">
        <v>Mainsail full battened c/w 2 rows reefs</v>
      </c>
    </row>
    <row r="345" spans="3:8" customFormat="1" x14ac:dyDescent="0.25">
      <c r="C345" s="47" t="s">
        <v>160</v>
      </c>
      <c r="D345" s="23" t="s">
        <v>167</v>
      </c>
      <c r="H345" t="str">
        <v>Mainsheet system</v>
      </c>
    </row>
    <row r="346" spans="3:8" customFormat="1" x14ac:dyDescent="0.25">
      <c r="C346" s="49" t="s">
        <v>160</v>
      </c>
      <c r="D346" s="24" t="s">
        <v>168</v>
      </c>
      <c r="H346" t="str">
        <v xml:space="preserve">Mainsheet winch </v>
      </c>
    </row>
    <row r="347" spans="3:8" customFormat="1" x14ac:dyDescent="0.25">
      <c r="C347" s="47" t="s">
        <v>169</v>
      </c>
      <c r="D347" s="23" t="s">
        <v>170</v>
      </c>
      <c r="H347" t="str">
        <v>Manual bilge pumps with (keel sump)</v>
      </c>
    </row>
    <row r="348" spans="3:8" customFormat="1" x14ac:dyDescent="0.25">
      <c r="C348" s="49" t="s">
        <v>169</v>
      </c>
      <c r="D348" s="24" t="s">
        <v>241</v>
      </c>
      <c r="H348" t="str">
        <v>Midship area</v>
      </c>
    </row>
    <row r="349" spans="3:8" customFormat="1" x14ac:dyDescent="0.25">
      <c r="C349" s="47" t="s">
        <v>169</v>
      </c>
      <c r="D349" s="23" t="s">
        <v>171</v>
      </c>
      <c r="H349" t="str">
        <v>Mooring cleats</v>
      </c>
    </row>
    <row r="350" spans="3:8" customFormat="1" x14ac:dyDescent="0.25">
      <c r="C350" s="49" t="s">
        <v>169</v>
      </c>
      <c r="D350" s="24" t="s">
        <v>172</v>
      </c>
      <c r="H350" t="str">
        <v>Natural anodized crossbeam c/w mooring cleats</v>
      </c>
    </row>
    <row r="351" spans="3:8" customFormat="1" x14ac:dyDescent="0.25">
      <c r="C351" s="47" t="s">
        <v>169</v>
      </c>
      <c r="D351" s="23" t="s">
        <v>173</v>
      </c>
      <c r="H351" t="str">
        <v>Natural anodized mast</v>
      </c>
    </row>
    <row r="352" spans="3:8" customFormat="1" x14ac:dyDescent="0.25">
      <c r="C352" s="49" t="s">
        <v>169</v>
      </c>
      <c r="D352" s="24" t="s">
        <v>174</v>
      </c>
      <c r="H352" t="str">
        <v>Outboard</v>
      </c>
    </row>
    <row r="353" spans="3:8" customFormat="1" x14ac:dyDescent="0.25">
      <c r="C353" s="47" t="s">
        <v>169</v>
      </c>
      <c r="D353" s="23" t="s">
        <v>175</v>
      </c>
      <c r="H353" t="str">
        <v>Outboard galley shelf with provision for microwave</v>
      </c>
    </row>
    <row r="354" spans="3:8" customFormat="1" x14ac:dyDescent="0.25">
      <c r="C354" s="49" t="s">
        <v>169</v>
      </c>
      <c r="D354" s="24" t="s">
        <v>242</v>
      </c>
      <c r="H354" t="str">
        <v>Overhead roller blinds for privacy</v>
      </c>
    </row>
    <row r="355" spans="3:8" customFormat="1" x14ac:dyDescent="0.25">
      <c r="C355" s="47" t="s">
        <v>169</v>
      </c>
      <c r="D355" s="23" t="s">
        <v>243</v>
      </c>
      <c r="H355" t="str">
        <v>Overhead window with blind</v>
      </c>
    </row>
    <row r="356" spans="3:8" customFormat="1" x14ac:dyDescent="0.25">
      <c r="C356" s="49" t="s">
        <v>169</v>
      </c>
      <c r="D356" s="24" t="s">
        <v>244</v>
      </c>
      <c r="H356" t="str">
        <v>Portlight  in transom</v>
      </c>
    </row>
    <row r="357" spans="3:8" customFormat="1" x14ac:dyDescent="0.25">
      <c r="C357" s="47" t="s">
        <v>169</v>
      </c>
      <c r="D357" s="23" t="s">
        <v>245</v>
      </c>
      <c r="H357" t="str">
        <v>Portlight hull side</v>
      </c>
    </row>
    <row r="358" spans="3:8" customFormat="1" x14ac:dyDescent="0.25">
      <c r="C358" s="49" t="s">
        <v>169</v>
      </c>
      <c r="D358" s="24" t="s">
        <v>176</v>
      </c>
      <c r="H358" t="str">
        <v>Portlight windscreen</v>
      </c>
    </row>
    <row r="359" spans="3:8" customFormat="1" x14ac:dyDescent="0.25">
      <c r="C359" s="47" t="s">
        <v>177</v>
      </c>
      <c r="D359" s="23" t="s">
        <v>178</v>
      </c>
      <c r="H359" t="str">
        <v>Portlight with roller blind</v>
      </c>
    </row>
    <row r="360" spans="3:8" customFormat="1" x14ac:dyDescent="0.25">
      <c r="C360" s="49" t="s">
        <v>177</v>
      </c>
      <c r="D360" s="24" t="s">
        <v>179</v>
      </c>
      <c r="H360" t="str">
        <v xml:space="preserve">Primary electric winches </v>
      </c>
    </row>
    <row r="361" spans="3:8" customFormat="1" x14ac:dyDescent="0.25">
      <c r="C361" s="47" t="s">
        <v>177</v>
      </c>
      <c r="D361" s="23" t="s">
        <v>180</v>
      </c>
      <c r="H361" t="str">
        <v>Propellers – fixed blade</v>
      </c>
    </row>
    <row r="362" spans="3:8" customFormat="1" x14ac:dyDescent="0.25">
      <c r="C362" s="49" t="s">
        <v>177</v>
      </c>
      <c r="D362" s="24" t="s">
        <v>181</v>
      </c>
      <c r="H362" t="str">
        <v>Pulpits with seats</v>
      </c>
    </row>
    <row r="363" spans="3:8" customFormat="1" x14ac:dyDescent="0.25">
      <c r="C363" s="47" t="s">
        <v>177</v>
      </c>
      <c r="D363" s="23" t="s">
        <v>182</v>
      </c>
      <c r="H363" t="str">
        <v>Pushpits</v>
      </c>
    </row>
    <row r="364" spans="3:8" customFormat="1" x14ac:dyDescent="0.25">
      <c r="C364" s="49" t="s">
        <v>177</v>
      </c>
      <c r="D364" s="24" t="s">
        <v>183</v>
      </c>
      <c r="H364" t="str">
        <v>Reef clutch at helm</v>
      </c>
    </row>
    <row r="365" spans="3:8" customFormat="1" x14ac:dyDescent="0.25">
      <c r="C365" s="47" t="s">
        <v>177</v>
      </c>
      <c r="D365" s="23" t="s">
        <v>246</v>
      </c>
      <c r="H365" t="str">
        <v>Rope bag at helm with integral winch handle pocket</v>
      </c>
    </row>
    <row r="366" spans="3:8" customFormat="1" x14ac:dyDescent="0.25">
      <c r="C366" s="49" t="s">
        <v>177</v>
      </c>
      <c r="D366" s="24" t="s">
        <v>184</v>
      </c>
      <c r="H366" t="str">
        <v xml:space="preserve">Saloon table </v>
      </c>
    </row>
    <row r="367" spans="3:8" customFormat="1" x14ac:dyDescent="0.25">
      <c r="C367" s="47" t="s">
        <v>177</v>
      </c>
      <c r="D367" s="23" t="s">
        <v>185</v>
      </c>
      <c r="H367" t="str">
        <v>Self-aligning bearings</v>
      </c>
    </row>
    <row r="368" spans="3:8" customFormat="1" x14ac:dyDescent="0.25">
      <c r="C368" s="49" t="s">
        <v>177</v>
      </c>
      <c r="D368" s="24" t="s">
        <v>186</v>
      </c>
      <c r="H368" t="str">
        <v>Separate garbage bin locker</v>
      </c>
    </row>
    <row r="369" spans="3:8" customFormat="1" x14ac:dyDescent="0.25">
      <c r="C369" s="47" t="s">
        <v>177</v>
      </c>
      <c r="D369" s="23" t="s">
        <v>187</v>
      </c>
      <c r="H369" t="str">
        <v>Settee</v>
      </c>
    </row>
    <row r="370" spans="3:8" customFormat="1" x14ac:dyDescent="0.25">
      <c r="C370" s="49" t="s">
        <v>177</v>
      </c>
      <c r="D370" s="24" t="s">
        <v>188</v>
      </c>
      <c r="H370" t="str">
        <v>Settee seating</v>
      </c>
    </row>
    <row r="371" spans="3:8" customFormat="1" x14ac:dyDescent="0.25">
      <c r="C371" s="47" t="s">
        <v>177</v>
      </c>
      <c r="D371" s="23" t="s">
        <v>247</v>
      </c>
      <c r="H371" t="str">
        <v>Shower compartment c/w lever mixer and adjustable shower rose</v>
      </c>
    </row>
    <row r="372" spans="3:8" customFormat="1" x14ac:dyDescent="0.25">
      <c r="C372" s="49" t="s">
        <v>354</v>
      </c>
      <c r="D372" s="23" t="s">
        <v>190</v>
      </c>
      <c r="H372" t="str">
        <v>Shower sump with automatic drainage system</v>
      </c>
    </row>
    <row r="373" spans="3:8" customFormat="1" x14ac:dyDescent="0.25">
      <c r="C373" s="49" t="s">
        <v>354</v>
      </c>
      <c r="D373" s="23" t="s">
        <v>191</v>
      </c>
      <c r="H373" t="str">
        <v>Single lever mixer faucet with pull-out sprayer</v>
      </c>
    </row>
    <row r="374" spans="3:8" customFormat="1" x14ac:dyDescent="0.25">
      <c r="C374" s="49" t="s">
        <v>354</v>
      </c>
      <c r="D374" s="23" t="s">
        <v>192</v>
      </c>
      <c r="H374" t="str">
        <v>Single line reefs lead aft</v>
      </c>
    </row>
    <row r="375" spans="3:8" customFormat="1" x14ac:dyDescent="0.25">
      <c r="C375" s="49" t="s">
        <v>354</v>
      </c>
      <c r="D375" s="23" t="s">
        <v>193</v>
      </c>
      <c r="H375" t="str">
        <v>Sliding companionway door/window</v>
      </c>
    </row>
    <row r="376" spans="3:8" customFormat="1" x14ac:dyDescent="0.25">
      <c r="C376" s="49" t="s">
        <v>354</v>
      </c>
      <c r="D376" s="23" t="s">
        <v>194</v>
      </c>
      <c r="H376" t="str">
        <v>Sliding entrance door with lock</v>
      </c>
    </row>
    <row r="377" spans="3:8" customFormat="1" x14ac:dyDescent="0.25">
      <c r="C377" s="47" t="s">
        <v>355</v>
      </c>
      <c r="D377" s="23" t="s">
        <v>196</v>
      </c>
      <c r="H377" t="str">
        <v>Sliding hatch over forward cockpit steps</v>
      </c>
    </row>
    <row r="378" spans="3:8" customFormat="1" x14ac:dyDescent="0.25">
      <c r="C378" s="47" t="s">
        <v>355</v>
      </c>
      <c r="D378" s="24" t="s">
        <v>197</v>
      </c>
      <c r="H378" t="str">
        <v>Sliding or hinged heads door</v>
      </c>
    </row>
    <row r="379" spans="3:8" customFormat="1" x14ac:dyDescent="0.25">
      <c r="C379" s="47" t="s">
        <v>355</v>
      </c>
      <c r="D379" s="23" t="s">
        <v>198</v>
      </c>
      <c r="H379" t="str">
        <v>Smoke detector/alarm</v>
      </c>
    </row>
    <row r="380" spans="3:8" customFormat="1" x14ac:dyDescent="0.25">
      <c r="C380" s="47" t="s">
        <v>355</v>
      </c>
      <c r="D380" s="24" t="s">
        <v>199</v>
      </c>
      <c r="H380" t="str">
        <v>Sound deadening panels in engine room</v>
      </c>
    </row>
    <row r="381" spans="3:8" customFormat="1" x14ac:dyDescent="0.25">
      <c r="C381" s="47" t="s">
        <v>355</v>
      </c>
      <c r="D381" s="23" t="s">
        <v>248</v>
      </c>
      <c r="H381" t="str">
        <v>Steps</v>
      </c>
    </row>
    <row r="382" spans="3:8" customFormat="1" x14ac:dyDescent="0.25">
      <c r="C382" s="47" t="s">
        <v>355</v>
      </c>
      <c r="D382" s="24" t="s">
        <v>200</v>
      </c>
      <c r="H382" t="str">
        <v>Storage locker under chart table</v>
      </c>
    </row>
    <row r="383" spans="3:8" customFormat="1" x14ac:dyDescent="0.25">
      <c r="C383" s="47" t="s">
        <v>355</v>
      </c>
      <c r="D383" s="23" t="s">
        <v>228</v>
      </c>
      <c r="H383" t="str">
        <v>Stowage drawer under bunk</v>
      </c>
    </row>
    <row r="384" spans="3:8" customFormat="1" x14ac:dyDescent="0.25">
      <c r="C384" s="47" t="s">
        <v>355</v>
      </c>
      <c r="D384" s="24" t="s">
        <v>227</v>
      </c>
      <c r="H384" t="str">
        <v>Stowage space in shelf lockers</v>
      </c>
    </row>
    <row r="385" spans="3:8" customFormat="1" x14ac:dyDescent="0.25">
      <c r="C385" s="47" t="s">
        <v>355</v>
      </c>
      <c r="D385" s="23" t="s">
        <v>201</v>
      </c>
      <c r="H385" t="str">
        <v>Stowage space under floorboards</v>
      </c>
    </row>
    <row r="386" spans="3:8" customFormat="1" x14ac:dyDescent="0.25">
      <c r="C386" s="47" t="s">
        <v>355</v>
      </c>
      <c r="D386" s="24" t="s">
        <v>229</v>
      </c>
      <c r="H386" t="str">
        <v>Stowage space under settee cushions</v>
      </c>
    </row>
    <row r="387" spans="3:8" customFormat="1" x14ac:dyDescent="0.25">
      <c r="C387" s="47" t="s">
        <v>355</v>
      </c>
      <c r="D387" s="23" t="s">
        <v>202</v>
      </c>
      <c r="H387" t="str">
        <v>Table</v>
      </c>
    </row>
    <row r="388" spans="3:8" customFormat="1" x14ac:dyDescent="0.25">
      <c r="C388" s="47" t="s">
        <v>355</v>
      </c>
      <c r="D388" s="24" t="s">
        <v>230</v>
      </c>
      <c r="H388" t="str">
        <v>Targawing</v>
      </c>
    </row>
    <row r="389" spans="3:8" customFormat="1" x14ac:dyDescent="0.25">
      <c r="C389" s="47" t="s">
        <v>355</v>
      </c>
      <c r="D389" s="23" t="s">
        <v>203</v>
      </c>
      <c r="H389" t="str">
        <v>Toilet base</v>
      </c>
    </row>
    <row r="390" spans="3:8" customFormat="1" x14ac:dyDescent="0.25">
      <c r="C390" s="49" t="s">
        <v>356</v>
      </c>
      <c r="D390" s="23" t="s">
        <v>205</v>
      </c>
      <c r="H390" t="str">
        <v xml:space="preserve">Trampoline </v>
      </c>
    </row>
    <row r="391" spans="3:8" customFormat="1" x14ac:dyDescent="0.25">
      <c r="C391" s="47" t="s">
        <v>357</v>
      </c>
      <c r="D391" s="23" t="s">
        <v>207</v>
      </c>
      <c r="H391" t="str">
        <v>Trampoline (white Aquabatten Supertramp)</v>
      </c>
    </row>
    <row r="392" spans="3:8" customFormat="1" x14ac:dyDescent="0.25">
      <c r="C392" s="47" t="s">
        <v>357</v>
      </c>
      <c r="D392" s="24" t="s">
        <v>208</v>
      </c>
      <c r="H392" t="str">
        <v>Transom</v>
      </c>
    </row>
    <row r="393" spans="3:8" customFormat="1" x14ac:dyDescent="0.25">
      <c r="C393" s="47" t="s">
        <v>357</v>
      </c>
      <c r="D393" s="23" t="s">
        <v>209</v>
      </c>
      <c r="H393" t="str">
        <v>Transom grab handles</v>
      </c>
    </row>
    <row r="394" spans="3:8" customFormat="1" x14ac:dyDescent="0.25">
      <c r="C394" s="47" t="s">
        <v>357</v>
      </c>
      <c r="D394" s="24" t="s">
        <v>210</v>
      </c>
      <c r="H394" t="str">
        <v>Transom portlight in aft cabin and pleated blind</v>
      </c>
    </row>
    <row r="395" spans="3:8" customFormat="1" x14ac:dyDescent="0.25">
      <c r="C395" s="47" t="s">
        <v>357</v>
      </c>
      <c r="D395" s="27" t="s">
        <v>211</v>
      </c>
      <c r="H395" t="str">
        <v>Transom shower (cold only)</v>
      </c>
    </row>
    <row r="396" spans="3:8" customFormat="1" x14ac:dyDescent="0.25">
      <c r="C396" s="47" t="s">
        <v>22</v>
      </c>
      <c r="D396" s="17" t="s">
        <v>12</v>
      </c>
      <c r="H396" t="str">
        <v>Under-basin locker with toilet roll holder</v>
      </c>
    </row>
    <row r="397" spans="3:8" customFormat="1" x14ac:dyDescent="0.25">
      <c r="C397" s="47" t="s">
        <v>22</v>
      </c>
      <c r="D397" s="17" t="s">
        <v>17</v>
      </c>
      <c r="H397" t="str">
        <v>USB outlets at chart table QC</v>
      </c>
    </row>
    <row r="398" spans="3:8" customFormat="1" x14ac:dyDescent="0.25">
      <c r="C398" s="47" t="s">
        <v>22</v>
      </c>
      <c r="D398" s="17" t="s">
        <v>20</v>
      </c>
      <c r="H398" t="str">
        <v>USB outlets at fridge locker</v>
      </c>
    </row>
    <row r="399" spans="3:8" customFormat="1" x14ac:dyDescent="0.25">
      <c r="C399" s="47" t="s">
        <v>22</v>
      </c>
      <c r="D399" s="5" t="s">
        <v>27</v>
      </c>
      <c r="H399" t="str">
        <v>USB outlets at saloon settee</v>
      </c>
    </row>
    <row r="400" spans="3:8" customFormat="1" x14ac:dyDescent="0.25">
      <c r="C400" s="47" t="s">
        <v>22</v>
      </c>
      <c r="D400" s="17" t="s">
        <v>37</v>
      </c>
      <c r="H400" t="str">
        <v>USB outlets in each cabin</v>
      </c>
    </row>
    <row r="401" spans="3:8" customFormat="1" x14ac:dyDescent="0.25">
      <c r="C401" s="47" t="s">
        <v>22</v>
      </c>
      <c r="D401" s="17" t="s">
        <v>39</v>
      </c>
      <c r="H401" t="str">
        <v>U-shape settee</v>
      </c>
    </row>
    <row r="402" spans="3:8" customFormat="1" ht="15" customHeight="1" x14ac:dyDescent="0.25">
      <c r="C402" s="47" t="s">
        <v>22</v>
      </c>
      <c r="D402" s="17" t="s">
        <v>41</v>
      </c>
      <c r="H402" t="str">
        <v>Vanity locker with mirror</v>
      </c>
    </row>
    <row r="403" spans="3:8" customFormat="1" x14ac:dyDescent="0.25">
      <c r="C403" s="47" t="s">
        <v>22</v>
      </c>
      <c r="D403" s="17" t="s">
        <v>42</v>
      </c>
      <c r="H403" t="str">
        <v xml:space="preserve">Vanity table seat in aft stbd cabin </v>
      </c>
    </row>
    <row r="404" spans="3:8" customFormat="1" x14ac:dyDescent="0.25">
      <c r="C404" s="47" t="s">
        <v>22</v>
      </c>
      <c r="D404" s="17" t="s">
        <v>43</v>
      </c>
      <c r="H404" t="str">
        <v>Vanity table/desk with storage locker and mirror under lid</v>
      </c>
    </row>
    <row r="405" spans="3:8" customFormat="1" x14ac:dyDescent="0.25">
      <c r="C405" s="47" t="s">
        <v>25</v>
      </c>
      <c r="D405" s="17" t="s">
        <v>12</v>
      </c>
      <c r="H405" t="str">
        <v>Ventilation through forward facing port lights</v>
      </c>
    </row>
    <row r="406" spans="3:8" customFormat="1" x14ac:dyDescent="0.25">
      <c r="C406" s="47" t="s">
        <v>25</v>
      </c>
      <c r="D406" s="17" t="s">
        <v>17</v>
      </c>
      <c r="H406" t="str">
        <v xml:space="preserve">Vitrifrigo 2 drawer front-opening fridge/freezer </v>
      </c>
    </row>
    <row r="407" spans="3:8" customFormat="1" x14ac:dyDescent="0.25">
      <c r="C407" s="47" t="s">
        <v>25</v>
      </c>
      <c r="D407" s="17" t="s">
        <v>23</v>
      </c>
      <c r="H407" t="str">
        <v>Washbasins with basin mixer and high quality worktop</v>
      </c>
    </row>
    <row r="408" spans="3:8" customFormat="1" x14ac:dyDescent="0.25">
      <c r="C408" s="47" t="s">
        <v>25</v>
      </c>
      <c r="D408" s="17" t="s">
        <v>26</v>
      </c>
      <c r="H408" t="str">
        <v>Water purifying filter system (Purifying water tap located at galley)</v>
      </c>
    </row>
    <row r="409" spans="3:8" customFormat="1" x14ac:dyDescent="0.25">
      <c r="C409" s="47" t="s">
        <v>25</v>
      </c>
      <c r="D409" s="5" t="s">
        <v>27</v>
      </c>
      <c r="H409" t="str">
        <v>Water tanks,total capacity with level reading and gauges</v>
      </c>
    </row>
    <row r="410" spans="3:8" customFormat="1" x14ac:dyDescent="0.25">
      <c r="C410" s="47" t="s">
        <v>25</v>
      </c>
      <c r="D410" s="17" t="s">
        <v>37</v>
      </c>
      <c r="H410" t="str">
        <v>Waterchannel</v>
      </c>
    </row>
    <row r="411" spans="3:8" customFormat="1" x14ac:dyDescent="0.25">
      <c r="C411" s="47" t="s">
        <v>25</v>
      </c>
      <c r="D411" s="17" t="s">
        <v>44</v>
      </c>
      <c r="H411" t="str">
        <v>Wear resistant laminate flooring</v>
      </c>
    </row>
    <row r="412" spans="3:8" customFormat="1" x14ac:dyDescent="0.25">
      <c r="C412" s="47" t="s">
        <v>252</v>
      </c>
      <c r="D412" s="17" t="s">
        <v>12</v>
      </c>
      <c r="H412" t="str">
        <v>Wind indicator</v>
      </c>
    </row>
    <row r="413" spans="3:8" customFormat="1" x14ac:dyDescent="0.25">
      <c r="C413" s="47" t="s">
        <v>252</v>
      </c>
      <c r="D413" s="17" t="s">
        <v>15</v>
      </c>
      <c r="H413" t="str">
        <v>window surround</v>
      </c>
    </row>
    <row r="414" spans="3:8" customFormat="1" x14ac:dyDescent="0.25">
      <c r="C414" s="47" t="s">
        <v>252</v>
      </c>
      <c r="D414" s="17" t="s">
        <v>17</v>
      </c>
      <c r="H414" t="str">
        <v>Yanmar 57hp diesel engines with sail drives</v>
      </c>
    </row>
    <row r="415" spans="3:8" customFormat="1" x14ac:dyDescent="0.25">
      <c r="C415" s="47" t="s">
        <v>252</v>
      </c>
      <c r="D415" s="17" t="s">
        <v>20</v>
      </c>
    </row>
    <row r="416" spans="3:8" customFormat="1" x14ac:dyDescent="0.25">
      <c r="C416" s="47" t="s">
        <v>252</v>
      </c>
      <c r="D416" s="17" t="s">
        <v>23</v>
      </c>
    </row>
    <row r="417" spans="1:12" x14ac:dyDescent="0.25">
      <c r="A417"/>
      <c r="B417"/>
      <c r="C417" s="47" t="s">
        <v>252</v>
      </c>
      <c r="D417" s="17" t="s">
        <v>26</v>
      </c>
      <c r="E417"/>
      <c r="F417"/>
      <c r="G417"/>
      <c r="H417"/>
      <c r="I417"/>
      <c r="J417"/>
      <c r="K417"/>
      <c r="L417"/>
    </row>
    <row r="418" spans="1:12" x14ac:dyDescent="0.25">
      <c r="A418"/>
      <c r="B418"/>
      <c r="C418" s="47" t="s">
        <v>252</v>
      </c>
      <c r="D418" s="5" t="s">
        <v>27</v>
      </c>
      <c r="E418"/>
      <c r="F418"/>
      <c r="G418"/>
      <c r="H418"/>
      <c r="I418"/>
      <c r="J418"/>
      <c r="K418"/>
      <c r="L418"/>
    </row>
    <row r="419" spans="1:12" x14ac:dyDescent="0.25">
      <c r="A419"/>
      <c r="B419"/>
      <c r="C419" s="47" t="s">
        <v>252</v>
      </c>
      <c r="D419" s="17" t="s">
        <v>40</v>
      </c>
      <c r="E419"/>
      <c r="F419"/>
      <c r="G419"/>
      <c r="H419"/>
      <c r="I419"/>
      <c r="J419"/>
      <c r="K419"/>
      <c r="L419"/>
    </row>
    <row r="420" spans="1:12" x14ac:dyDescent="0.25">
      <c r="A420"/>
      <c r="B420"/>
      <c r="C420" s="47" t="s">
        <v>252</v>
      </c>
      <c r="D420" s="17" t="s">
        <v>41</v>
      </c>
      <c r="E420"/>
      <c r="F420"/>
      <c r="G420"/>
      <c r="H420"/>
      <c r="I420"/>
      <c r="J420"/>
      <c r="K420"/>
      <c r="L420"/>
    </row>
    <row r="421" spans="1:12" x14ac:dyDescent="0.25">
      <c r="A421"/>
      <c r="B421"/>
      <c r="C421" s="47" t="s">
        <v>252</v>
      </c>
      <c r="D421" s="17" t="s">
        <v>42</v>
      </c>
      <c r="E421"/>
      <c r="F421"/>
      <c r="G421"/>
      <c r="H421"/>
      <c r="I421"/>
      <c r="J421"/>
      <c r="K421"/>
      <c r="L421"/>
    </row>
    <row r="422" spans="1:12" x14ac:dyDescent="0.25">
      <c r="A422"/>
      <c r="B422"/>
      <c r="C422" s="47" t="s">
        <v>253</v>
      </c>
      <c r="D422" s="17" t="s">
        <v>12</v>
      </c>
      <c r="E422"/>
      <c r="F422"/>
      <c r="G422"/>
      <c r="H422"/>
      <c r="I422"/>
      <c r="J422"/>
      <c r="K422"/>
      <c r="L422"/>
    </row>
    <row r="423" spans="1:12" x14ac:dyDescent="0.25">
      <c r="A423"/>
      <c r="B423"/>
      <c r="C423" s="47" t="s">
        <v>253</v>
      </c>
      <c r="D423" s="17" t="s">
        <v>17</v>
      </c>
      <c r="E423"/>
      <c r="F423"/>
      <c r="G423"/>
      <c r="H423"/>
      <c r="I423"/>
      <c r="J423"/>
      <c r="K423"/>
      <c r="L423"/>
    </row>
    <row r="424" spans="1:12" x14ac:dyDescent="0.25">
      <c r="A424"/>
      <c r="B424"/>
      <c r="C424" s="47" t="s">
        <v>253</v>
      </c>
      <c r="D424" s="17" t="s">
        <v>23</v>
      </c>
      <c r="E424"/>
      <c r="F424"/>
      <c r="G424"/>
      <c r="H424"/>
      <c r="I424"/>
      <c r="J424"/>
      <c r="K424"/>
      <c r="L424"/>
    </row>
    <row r="425" spans="1:12" x14ac:dyDescent="0.25">
      <c r="A425"/>
      <c r="B425"/>
      <c r="C425" s="47" t="s">
        <v>253</v>
      </c>
      <c r="D425" s="5" t="s">
        <v>27</v>
      </c>
      <c r="E425"/>
      <c r="F425"/>
      <c r="G425"/>
      <c r="H425"/>
      <c r="I425"/>
      <c r="J425"/>
      <c r="K425"/>
      <c r="L425"/>
    </row>
    <row r="426" spans="1:12" x14ac:dyDescent="0.25">
      <c r="A426"/>
      <c r="B426"/>
      <c r="C426" s="47" t="s">
        <v>253</v>
      </c>
      <c r="D426" s="17" t="s">
        <v>37</v>
      </c>
      <c r="E426"/>
      <c r="F426"/>
      <c r="G426"/>
      <c r="H426"/>
      <c r="I426"/>
      <c r="J426"/>
      <c r="K426"/>
      <c r="L426"/>
    </row>
    <row r="427" spans="1:12" x14ac:dyDescent="0.25">
      <c r="A427"/>
      <c r="B427"/>
      <c r="C427" s="47" t="s">
        <v>253</v>
      </c>
      <c r="D427" s="17" t="s">
        <v>39</v>
      </c>
      <c r="E427"/>
      <c r="F427"/>
      <c r="G427"/>
      <c r="H427"/>
      <c r="I427"/>
      <c r="J427"/>
      <c r="K427"/>
      <c r="L427"/>
    </row>
    <row r="428" spans="1:12" x14ac:dyDescent="0.25">
      <c r="A428"/>
      <c r="B428"/>
      <c r="C428" s="47" t="s">
        <v>253</v>
      </c>
      <c r="D428" s="3" t="s">
        <v>261</v>
      </c>
      <c r="E428"/>
      <c r="F428"/>
      <c r="G428"/>
      <c r="H428"/>
      <c r="I428"/>
      <c r="J428"/>
      <c r="K428"/>
      <c r="L428"/>
    </row>
    <row r="429" spans="1:12" x14ac:dyDescent="0.25">
      <c r="A429"/>
      <c r="B429"/>
      <c r="C429" s="47" t="s">
        <v>253</v>
      </c>
      <c r="D429" s="3" t="s">
        <v>262</v>
      </c>
      <c r="E429"/>
      <c r="F429"/>
      <c r="G429"/>
      <c r="H429"/>
      <c r="I429"/>
      <c r="J429"/>
      <c r="K429"/>
      <c r="L429"/>
    </row>
    <row r="430" spans="1:12" x14ac:dyDescent="0.25">
      <c r="A430"/>
      <c r="B430"/>
      <c r="C430" s="47" t="s">
        <v>254</v>
      </c>
      <c r="D430" s="17" t="s">
        <v>12</v>
      </c>
      <c r="E430"/>
      <c r="F430"/>
      <c r="G430"/>
      <c r="H430"/>
      <c r="I430"/>
      <c r="J430"/>
      <c r="K430"/>
      <c r="L430"/>
    </row>
    <row r="431" spans="1:12" x14ac:dyDescent="0.25">
      <c r="A431"/>
      <c r="B431"/>
      <c r="C431" s="47" t="s">
        <v>254</v>
      </c>
      <c r="D431" s="17" t="s">
        <v>17</v>
      </c>
      <c r="E431"/>
      <c r="F431"/>
      <c r="G431"/>
      <c r="H431"/>
      <c r="I431"/>
      <c r="J431"/>
      <c r="K431"/>
      <c r="L431"/>
    </row>
    <row r="432" spans="1:12" x14ac:dyDescent="0.25">
      <c r="B432"/>
      <c r="C432" s="47" t="s">
        <v>254</v>
      </c>
      <c r="D432" s="17" t="s">
        <v>20</v>
      </c>
      <c r="E432"/>
      <c r="F432"/>
      <c r="G432"/>
      <c r="H432"/>
      <c r="I432"/>
      <c r="J432"/>
      <c r="K432"/>
      <c r="L432"/>
    </row>
    <row r="433" spans="2:12" x14ac:dyDescent="0.25">
      <c r="B433"/>
      <c r="C433" s="47" t="s">
        <v>254</v>
      </c>
      <c r="D433" s="17" t="s">
        <v>23</v>
      </c>
      <c r="E433"/>
      <c r="F433"/>
      <c r="G433"/>
      <c r="H433"/>
      <c r="I433"/>
      <c r="J433"/>
      <c r="K433"/>
      <c r="L433"/>
    </row>
    <row r="434" spans="2:12" x14ac:dyDescent="0.25">
      <c r="B434"/>
      <c r="C434" s="47" t="s">
        <v>254</v>
      </c>
      <c r="D434" s="17" t="s">
        <v>26</v>
      </c>
      <c r="E434"/>
      <c r="F434"/>
      <c r="G434"/>
      <c r="H434"/>
      <c r="I434"/>
      <c r="J434"/>
      <c r="K434"/>
      <c r="L434"/>
    </row>
    <row r="435" spans="2:12" x14ac:dyDescent="0.25">
      <c r="B435"/>
      <c r="C435" s="47" t="s">
        <v>254</v>
      </c>
      <c r="D435" s="5" t="s">
        <v>27</v>
      </c>
      <c r="E435"/>
      <c r="F435"/>
      <c r="G435"/>
      <c r="H435"/>
      <c r="I435"/>
      <c r="J435"/>
      <c r="K435"/>
      <c r="L435"/>
    </row>
    <row r="436" spans="2:12" x14ac:dyDescent="0.25">
      <c r="B436"/>
      <c r="C436" s="47" t="s">
        <v>254</v>
      </c>
      <c r="D436" s="17" t="s">
        <v>40</v>
      </c>
      <c r="E436"/>
      <c r="F436"/>
      <c r="G436"/>
      <c r="H436"/>
      <c r="I436"/>
      <c r="J436"/>
      <c r="K436"/>
      <c r="L436"/>
    </row>
    <row r="437" spans="2:12" x14ac:dyDescent="0.25">
      <c r="B437"/>
      <c r="C437" s="47" t="s">
        <v>254</v>
      </c>
      <c r="D437" s="17" t="s">
        <v>41</v>
      </c>
      <c r="E437"/>
      <c r="F437"/>
      <c r="G437"/>
      <c r="H437"/>
      <c r="I437"/>
      <c r="J437"/>
      <c r="K437"/>
      <c r="L437"/>
    </row>
    <row r="438" spans="2:12" x14ac:dyDescent="0.25">
      <c r="B438"/>
      <c r="C438" s="47" t="s">
        <v>254</v>
      </c>
      <c r="D438" s="17" t="s">
        <v>42</v>
      </c>
      <c r="E438"/>
      <c r="F438"/>
      <c r="G438"/>
      <c r="H438"/>
      <c r="I438"/>
      <c r="J438"/>
      <c r="K438"/>
      <c r="L438"/>
    </row>
    <row r="439" spans="2:12" x14ac:dyDescent="0.25">
      <c r="B439"/>
      <c r="C439" s="47" t="s">
        <v>255</v>
      </c>
      <c r="D439" s="17" t="s">
        <v>12</v>
      </c>
      <c r="E439"/>
      <c r="F439"/>
      <c r="G439"/>
      <c r="H439"/>
      <c r="I439"/>
      <c r="J439"/>
      <c r="K439"/>
      <c r="L439"/>
    </row>
    <row r="440" spans="2:12" x14ac:dyDescent="0.25">
      <c r="B440"/>
      <c r="C440" s="47" t="s">
        <v>255</v>
      </c>
      <c r="D440" s="17" t="s">
        <v>17</v>
      </c>
      <c r="E440"/>
      <c r="F440"/>
      <c r="G440"/>
      <c r="H440"/>
      <c r="I440"/>
      <c r="J440"/>
      <c r="K440"/>
      <c r="L440"/>
    </row>
    <row r="441" spans="2:12" x14ac:dyDescent="0.25">
      <c r="B441"/>
      <c r="C441" s="47" t="s">
        <v>255</v>
      </c>
      <c r="D441" s="17" t="s">
        <v>23</v>
      </c>
      <c r="E441"/>
      <c r="F441"/>
      <c r="G441"/>
      <c r="H441"/>
      <c r="I441"/>
      <c r="J441"/>
      <c r="K441"/>
      <c r="L441"/>
    </row>
    <row r="442" spans="2:12" x14ac:dyDescent="0.25">
      <c r="B442"/>
      <c r="C442" s="47" t="s">
        <v>255</v>
      </c>
      <c r="D442" s="5" t="s">
        <v>27</v>
      </c>
      <c r="E442"/>
      <c r="F442"/>
      <c r="G442"/>
      <c r="H442"/>
      <c r="I442"/>
      <c r="J442"/>
      <c r="K442"/>
      <c r="L442"/>
    </row>
    <row r="443" spans="2:12" x14ac:dyDescent="0.25">
      <c r="B443"/>
      <c r="C443" s="47" t="s">
        <v>255</v>
      </c>
      <c r="D443" s="17" t="s">
        <v>37</v>
      </c>
      <c r="E443"/>
      <c r="F443"/>
      <c r="G443"/>
      <c r="H443"/>
      <c r="I443"/>
      <c r="J443"/>
      <c r="K443"/>
      <c r="L443"/>
    </row>
    <row r="444" spans="2:12" x14ac:dyDescent="0.25">
      <c r="B444"/>
      <c r="C444" s="47" t="s">
        <v>255</v>
      </c>
      <c r="D444" s="17" t="s">
        <v>39</v>
      </c>
      <c r="E444"/>
      <c r="F444"/>
      <c r="G444"/>
      <c r="H444"/>
      <c r="I444"/>
      <c r="J444"/>
      <c r="K444"/>
      <c r="L444"/>
    </row>
    <row r="445" spans="2:12" x14ac:dyDescent="0.25">
      <c r="B445"/>
      <c r="C445" s="47" t="s">
        <v>255</v>
      </c>
      <c r="D445" s="3" t="s">
        <v>261</v>
      </c>
      <c r="E445"/>
      <c r="F445"/>
      <c r="G445"/>
      <c r="H445"/>
      <c r="I445"/>
      <c r="J445"/>
      <c r="K445"/>
      <c r="L445"/>
    </row>
    <row r="446" spans="2:12" x14ac:dyDescent="0.25">
      <c r="B446"/>
      <c r="C446" s="47" t="s">
        <v>255</v>
      </c>
      <c r="D446" s="3" t="s">
        <v>262</v>
      </c>
      <c r="E446"/>
      <c r="F446"/>
      <c r="G446"/>
      <c r="H446"/>
      <c r="I446"/>
      <c r="J446"/>
      <c r="K446"/>
      <c r="L446"/>
    </row>
    <row r="447" spans="2:12" x14ac:dyDescent="0.25">
      <c r="B447"/>
      <c r="C447" s="47" t="s">
        <v>19</v>
      </c>
      <c r="D447" s="17" t="s">
        <v>12</v>
      </c>
      <c r="E447"/>
      <c r="F447"/>
      <c r="G447"/>
      <c r="H447"/>
      <c r="I447"/>
      <c r="J447"/>
      <c r="K447"/>
      <c r="L447"/>
    </row>
    <row r="448" spans="2:12" x14ac:dyDescent="0.25">
      <c r="C448" s="47" t="s">
        <v>19</v>
      </c>
      <c r="D448" s="17" t="s">
        <v>17</v>
      </c>
      <c r="E448"/>
      <c r="F448"/>
      <c r="G448"/>
      <c r="H448"/>
      <c r="I448"/>
      <c r="J448"/>
      <c r="K448"/>
      <c r="L448"/>
    </row>
    <row r="449" spans="3:4" x14ac:dyDescent="0.25">
      <c r="C449" s="47" t="s">
        <v>19</v>
      </c>
      <c r="D449" s="17" t="s">
        <v>26</v>
      </c>
    </row>
    <row r="450" spans="3:4" x14ac:dyDescent="0.25">
      <c r="C450" s="47" t="s">
        <v>19</v>
      </c>
      <c r="D450" s="5" t="s">
        <v>27</v>
      </c>
    </row>
    <row r="451" spans="3:4" x14ac:dyDescent="0.25">
      <c r="C451" s="47" t="s">
        <v>19</v>
      </c>
      <c r="D451" s="17" t="s">
        <v>32</v>
      </c>
    </row>
    <row r="452" spans="3:4" x14ac:dyDescent="0.25">
      <c r="C452" s="47" t="s">
        <v>19</v>
      </c>
      <c r="D452" s="17" t="s">
        <v>35</v>
      </c>
    </row>
    <row r="453" spans="3:4" x14ac:dyDescent="0.25">
      <c r="C453" s="47" t="s">
        <v>19</v>
      </c>
      <c r="D453" s="17" t="s">
        <v>38</v>
      </c>
    </row>
    <row r="454" spans="3:4" x14ac:dyDescent="0.25">
      <c r="C454" s="47" t="s">
        <v>19</v>
      </c>
      <c r="D454" s="17" t="s">
        <v>42</v>
      </c>
    </row>
    <row r="455" spans="3:4" x14ac:dyDescent="0.25">
      <c r="C455" s="47" t="s">
        <v>19</v>
      </c>
      <c r="D455" s="3" t="s">
        <v>263</v>
      </c>
    </row>
    <row r="456" spans="3:4" x14ac:dyDescent="0.25">
      <c r="C456" s="47" t="s">
        <v>19</v>
      </c>
      <c r="D456" s="23" t="s">
        <v>267</v>
      </c>
    </row>
    <row r="457" spans="3:4" x14ac:dyDescent="0.25">
      <c r="C457" s="47" t="s">
        <v>64</v>
      </c>
      <c r="D457" s="6" t="s">
        <v>12</v>
      </c>
    </row>
    <row r="458" spans="3:4" x14ac:dyDescent="0.25">
      <c r="C458" s="47" t="s">
        <v>64</v>
      </c>
      <c r="D458" s="6" t="s">
        <v>17</v>
      </c>
    </row>
    <row r="459" spans="3:4" x14ac:dyDescent="0.25">
      <c r="C459" s="47" t="s">
        <v>64</v>
      </c>
      <c r="D459" s="6" t="s">
        <v>20</v>
      </c>
    </row>
    <row r="460" spans="3:4" x14ac:dyDescent="0.25">
      <c r="C460" s="47" t="s">
        <v>64</v>
      </c>
      <c r="D460" s="5" t="s">
        <v>27</v>
      </c>
    </row>
    <row r="461" spans="3:4" x14ac:dyDescent="0.25">
      <c r="C461" s="47" t="s">
        <v>64</v>
      </c>
      <c r="D461" s="6" t="s">
        <v>29</v>
      </c>
    </row>
    <row r="462" spans="3:4" x14ac:dyDescent="0.25">
      <c r="C462" s="47" t="s">
        <v>64</v>
      </c>
      <c r="D462" s="6" t="s">
        <v>34</v>
      </c>
    </row>
    <row r="463" spans="3:4" x14ac:dyDescent="0.25">
      <c r="C463" s="47" t="s">
        <v>64</v>
      </c>
      <c r="D463" s="6" t="s">
        <v>35</v>
      </c>
    </row>
    <row r="464" spans="3:4" x14ac:dyDescent="0.25">
      <c r="C464" s="47" t="s">
        <v>64</v>
      </c>
      <c r="D464" s="6" t="s">
        <v>31</v>
      </c>
    </row>
    <row r="465" spans="3:4" x14ac:dyDescent="0.25">
      <c r="C465" s="47" t="s">
        <v>64</v>
      </c>
      <c r="D465" s="6" t="s">
        <v>36</v>
      </c>
    </row>
    <row r="466" spans="3:4" x14ac:dyDescent="0.25">
      <c r="C466" s="47" t="s">
        <v>64</v>
      </c>
      <c r="D466" s="6" t="s">
        <v>37</v>
      </c>
    </row>
    <row r="467" spans="3:4" x14ac:dyDescent="0.25">
      <c r="C467" s="47" t="s">
        <v>64</v>
      </c>
      <c r="D467" s="6" t="s">
        <v>38</v>
      </c>
    </row>
    <row r="468" spans="3:4" x14ac:dyDescent="0.25">
      <c r="C468" s="47" t="s">
        <v>64</v>
      </c>
      <c r="D468" s="6" t="s">
        <v>39</v>
      </c>
    </row>
    <row r="469" spans="3:4" x14ac:dyDescent="0.25">
      <c r="C469" s="47" t="s">
        <v>64</v>
      </c>
      <c r="D469" s="6" t="s">
        <v>40</v>
      </c>
    </row>
    <row r="470" spans="3:4" x14ac:dyDescent="0.25">
      <c r="C470" s="47" t="s">
        <v>64</v>
      </c>
      <c r="D470" s="6" t="s">
        <v>42</v>
      </c>
    </row>
    <row r="471" spans="3:4" x14ac:dyDescent="0.25">
      <c r="C471" s="47" t="s">
        <v>64</v>
      </c>
      <c r="D471" s="6" t="s">
        <v>43</v>
      </c>
    </row>
    <row r="472" spans="3:4" x14ac:dyDescent="0.25">
      <c r="C472" s="47" t="s">
        <v>64</v>
      </c>
      <c r="D472" s="3" t="s">
        <v>267</v>
      </c>
    </row>
    <row r="473" spans="3:4" x14ac:dyDescent="0.25">
      <c r="C473" s="47" t="s">
        <v>256</v>
      </c>
      <c r="D473" s="48" t="s">
        <v>12</v>
      </c>
    </row>
    <row r="474" spans="3:4" x14ac:dyDescent="0.25">
      <c r="C474" s="47" t="s">
        <v>256</v>
      </c>
      <c r="D474" s="48" t="s">
        <v>17</v>
      </c>
    </row>
    <row r="475" spans="3:4" x14ac:dyDescent="0.25">
      <c r="C475" s="47" t="s">
        <v>256</v>
      </c>
      <c r="D475" s="48" t="s">
        <v>20</v>
      </c>
    </row>
    <row r="476" spans="3:4" x14ac:dyDescent="0.25">
      <c r="C476" s="47" t="s">
        <v>256</v>
      </c>
      <c r="D476" s="48" t="s">
        <v>32</v>
      </c>
    </row>
    <row r="477" spans="3:4" x14ac:dyDescent="0.25">
      <c r="C477" s="47" t="s">
        <v>256</v>
      </c>
      <c r="D477" s="48" t="s">
        <v>34</v>
      </c>
    </row>
    <row r="478" spans="3:4" x14ac:dyDescent="0.25">
      <c r="C478" s="47" t="s">
        <v>256</v>
      </c>
      <c r="D478" s="48" t="s">
        <v>39</v>
      </c>
    </row>
    <row r="479" spans="3:4" x14ac:dyDescent="0.25">
      <c r="C479" s="47" t="s">
        <v>256</v>
      </c>
      <c r="D479" s="48" t="s">
        <v>40</v>
      </c>
    </row>
    <row r="480" spans="3:4" x14ac:dyDescent="0.25">
      <c r="C480" s="47" t="s">
        <v>257</v>
      </c>
      <c r="D480" s="6" t="s">
        <v>12</v>
      </c>
    </row>
    <row r="481" spans="3:4" x14ac:dyDescent="0.25">
      <c r="C481" s="47" t="s">
        <v>257</v>
      </c>
      <c r="D481" s="6" t="s">
        <v>17</v>
      </c>
    </row>
    <row r="482" spans="3:4" x14ac:dyDescent="0.25">
      <c r="C482" s="47" t="s">
        <v>257</v>
      </c>
      <c r="D482" s="6" t="s">
        <v>39</v>
      </c>
    </row>
    <row r="483" spans="3:4" x14ac:dyDescent="0.25">
      <c r="C483" s="47" t="s">
        <v>257</v>
      </c>
      <c r="D483" s="3" t="s">
        <v>262</v>
      </c>
    </row>
    <row r="484" spans="3:4" x14ac:dyDescent="0.25">
      <c r="C484" s="47" t="s">
        <v>257</v>
      </c>
      <c r="D484" s="3" t="s">
        <v>264</v>
      </c>
    </row>
    <row r="485" spans="3:4" x14ac:dyDescent="0.25">
      <c r="C485" s="47" t="s">
        <v>257</v>
      </c>
      <c r="D485" s="3" t="s">
        <v>265</v>
      </c>
    </row>
    <row r="486" spans="3:4" x14ac:dyDescent="0.25">
      <c r="C486" s="47" t="s">
        <v>258</v>
      </c>
      <c r="D486" s="6" t="s">
        <v>12</v>
      </c>
    </row>
    <row r="487" spans="3:4" x14ac:dyDescent="0.25">
      <c r="C487" s="47" t="s">
        <v>258</v>
      </c>
      <c r="D487" s="6" t="s">
        <v>17</v>
      </c>
    </row>
    <row r="488" spans="3:4" x14ac:dyDescent="0.25">
      <c r="C488" s="47" t="s">
        <v>258</v>
      </c>
      <c r="D488" s="6" t="s">
        <v>39</v>
      </c>
    </row>
    <row r="489" spans="3:4" x14ac:dyDescent="0.25">
      <c r="C489" s="47" t="s">
        <v>258</v>
      </c>
      <c r="D489" s="3" t="s">
        <v>262</v>
      </c>
    </row>
    <row r="490" spans="3:4" x14ac:dyDescent="0.25">
      <c r="C490" s="47" t="s">
        <v>258</v>
      </c>
      <c r="D490" s="3" t="s">
        <v>264</v>
      </c>
    </row>
    <row r="491" spans="3:4" x14ac:dyDescent="0.25">
      <c r="C491" s="47" t="s">
        <v>258</v>
      </c>
      <c r="D491" s="3" t="s">
        <v>265</v>
      </c>
    </row>
    <row r="492" spans="3:4" x14ac:dyDescent="0.25">
      <c r="C492" s="47" t="s">
        <v>259</v>
      </c>
      <c r="D492" s="17" t="s">
        <v>12</v>
      </c>
    </row>
    <row r="493" spans="3:4" x14ac:dyDescent="0.25">
      <c r="C493" s="47" t="s">
        <v>259</v>
      </c>
      <c r="D493" s="17" t="s">
        <v>15</v>
      </c>
    </row>
    <row r="494" spans="3:4" x14ac:dyDescent="0.25">
      <c r="C494" s="47" t="s">
        <v>259</v>
      </c>
      <c r="D494" s="17" t="s">
        <v>17</v>
      </c>
    </row>
    <row r="495" spans="3:4" x14ac:dyDescent="0.25">
      <c r="C495" s="47" t="s">
        <v>259</v>
      </c>
      <c r="D495" s="17" t="s">
        <v>20</v>
      </c>
    </row>
    <row r="496" spans="3:4" x14ac:dyDescent="0.25">
      <c r="C496" s="47" t="s">
        <v>259</v>
      </c>
      <c r="D496" s="17" t="s">
        <v>23</v>
      </c>
    </row>
    <row r="497" spans="3:8" x14ac:dyDescent="0.25">
      <c r="C497" s="47" t="s">
        <v>259</v>
      </c>
      <c r="D497" s="17" t="s">
        <v>26</v>
      </c>
    </row>
    <row r="498" spans="3:8" x14ac:dyDescent="0.25">
      <c r="C498" s="47" t="s">
        <v>259</v>
      </c>
      <c r="D498" s="6" t="s">
        <v>31</v>
      </c>
    </row>
    <row r="499" spans="3:8" x14ac:dyDescent="0.25">
      <c r="C499" s="47" t="s">
        <v>259</v>
      </c>
      <c r="D499" s="3" t="s">
        <v>266</v>
      </c>
    </row>
    <row r="500" spans="3:8" x14ac:dyDescent="0.25">
      <c r="C500" s="47" t="s">
        <v>260</v>
      </c>
      <c r="D500" s="17" t="s">
        <v>12</v>
      </c>
    </row>
    <row r="501" spans="3:8" x14ac:dyDescent="0.25">
      <c r="C501" s="47" t="s">
        <v>260</v>
      </c>
      <c r="D501" t="s">
        <v>266</v>
      </c>
    </row>
    <row r="502" spans="3:8" x14ac:dyDescent="0.25">
      <c r="C502" s="47" t="s">
        <v>260</v>
      </c>
      <c r="D502" s="17" t="s">
        <v>17</v>
      </c>
    </row>
    <row r="503" spans="3:8" x14ac:dyDescent="0.25">
      <c r="C503" s="47" t="s">
        <v>260</v>
      </c>
      <c r="D503" s="17" t="s">
        <v>20</v>
      </c>
    </row>
    <row r="504" spans="3:8" x14ac:dyDescent="0.25">
      <c r="C504" s="47" t="s">
        <v>260</v>
      </c>
      <c r="D504" s="17" t="s">
        <v>23</v>
      </c>
    </row>
    <row r="505" spans="3:8" x14ac:dyDescent="0.25">
      <c r="C505" s="47" t="s">
        <v>260</v>
      </c>
      <c r="D505" s="17" t="s">
        <v>26</v>
      </c>
    </row>
    <row r="506" spans="3:8" x14ac:dyDescent="0.25">
      <c r="C506" s="47" t="s">
        <v>260</v>
      </c>
      <c r="D506" s="48" t="s">
        <v>31</v>
      </c>
    </row>
    <row r="512" spans="3:8" x14ac:dyDescent="0.25">
      <c r="C512" s="1" t="s">
        <v>292</v>
      </c>
      <c r="D512" s="1" t="s">
        <v>293</v>
      </c>
      <c r="G512" s="52" t="s">
        <v>294</v>
      </c>
      <c r="H512" s="52" t="s">
        <v>295</v>
      </c>
    </row>
    <row r="513" spans="3:8" x14ac:dyDescent="0.25">
      <c r="C513" s="15">
        <v>1</v>
      </c>
      <c r="D513" s="67" t="s">
        <v>330</v>
      </c>
      <c r="G513" s="52"/>
      <c r="H513" s="52"/>
    </row>
    <row r="514" spans="3:8" x14ac:dyDescent="0.25">
      <c r="C514" s="15">
        <v>1</v>
      </c>
      <c r="D514" s="54" t="s">
        <v>12</v>
      </c>
      <c r="G514" s="15" cm="1">
        <f t="array" ref="G514:G523">_xlfn.UNIQUE(Discipline_No.)</f>
        <v>1</v>
      </c>
      <c r="H514" s="15" t="str" cm="1">
        <f t="array" ref="H514:H770">_xlfn.UNIQUE(Discipine_Area)</f>
        <v>Exterior</v>
      </c>
    </row>
    <row r="515" spans="3:8" x14ac:dyDescent="0.25">
      <c r="C515" s="15">
        <v>1</v>
      </c>
      <c r="D515" s="58" t="s">
        <v>15</v>
      </c>
      <c r="G515" s="15">
        <v>2</v>
      </c>
      <c r="H515" s="15" t="str">
        <v>Fwd area</v>
      </c>
    </row>
    <row r="516" spans="3:8" x14ac:dyDescent="0.25">
      <c r="C516" s="15">
        <v>1</v>
      </c>
      <c r="D516" s="54" t="s">
        <v>17</v>
      </c>
      <c r="G516" s="15">
        <v>3</v>
      </c>
      <c r="H516" s="15" t="str">
        <v>Midship area</v>
      </c>
    </row>
    <row r="517" spans="3:8" x14ac:dyDescent="0.25">
      <c r="C517" s="15">
        <v>1</v>
      </c>
      <c r="D517" s="58" t="s">
        <v>20</v>
      </c>
      <c r="G517" s="15">
        <v>4</v>
      </c>
      <c r="H517" s="15" t="str">
        <v>Aft area</v>
      </c>
    </row>
    <row r="518" spans="3:8" x14ac:dyDescent="0.25">
      <c r="C518" s="15">
        <v>1</v>
      </c>
      <c r="D518" s="54" t="s">
        <v>23</v>
      </c>
      <c r="G518" s="15">
        <v>5</v>
      </c>
      <c r="H518" s="15" t="str">
        <v>window surround</v>
      </c>
    </row>
    <row r="519" spans="3:8" x14ac:dyDescent="0.25">
      <c r="C519" s="15">
        <v>1</v>
      </c>
      <c r="D519" s="54" t="s">
        <v>403</v>
      </c>
      <c r="G519" s="15">
        <v>6</v>
      </c>
      <c r="H519" s="15" t="str">
        <v>Bows</v>
      </c>
    </row>
    <row r="520" spans="3:8" x14ac:dyDescent="0.25">
      <c r="C520" s="15">
        <v>1</v>
      </c>
      <c r="D520" s="58" t="s">
        <v>26</v>
      </c>
      <c r="G520" s="15">
        <v>7</v>
      </c>
      <c r="H520" s="15" t="str">
        <v>fwd deck steps</v>
      </c>
    </row>
    <row r="521" spans="3:8" x14ac:dyDescent="0.25">
      <c r="C521" s="15">
        <v>1</v>
      </c>
      <c r="D521" s="61" t="s">
        <v>27</v>
      </c>
      <c r="G521" s="15">
        <v>8</v>
      </c>
      <c r="H521" s="15" t="str">
        <v>Deck flange</v>
      </c>
    </row>
    <row r="522" spans="3:8" x14ac:dyDescent="0.25">
      <c r="C522" s="15">
        <v>1</v>
      </c>
      <c r="D522" s="59" t="s">
        <v>29</v>
      </c>
      <c r="G522" s="15">
        <v>9</v>
      </c>
      <c r="H522" s="15" t="str">
        <v>Waterchannel</v>
      </c>
    </row>
    <row r="523" spans="3:8" x14ac:dyDescent="0.25">
      <c r="C523" s="15">
        <v>1</v>
      </c>
      <c r="D523" s="65" t="s">
        <v>404</v>
      </c>
      <c r="G523" s="15">
        <v>10</v>
      </c>
      <c r="H523" s="15" t="str">
        <v>Helmstation</v>
      </c>
    </row>
    <row r="524" spans="3:8" x14ac:dyDescent="0.25">
      <c r="C524" s="15">
        <v>1</v>
      </c>
      <c r="D524" s="65" t="s">
        <v>405</v>
      </c>
      <c r="H524" s="15" t="str">
        <v>window module</v>
      </c>
    </row>
    <row r="525" spans="3:8" x14ac:dyDescent="0.25">
      <c r="C525" s="15">
        <v>1</v>
      </c>
      <c r="D525" s="65" t="s">
        <v>402</v>
      </c>
      <c r="H525" s="15" t="str">
        <v>deck Join</v>
      </c>
    </row>
    <row r="526" spans="3:8" x14ac:dyDescent="0.25">
      <c r="C526" s="15">
        <v>1</v>
      </c>
      <c r="D526" s="54" t="s">
        <v>32</v>
      </c>
      <c r="H526" s="15" t="str">
        <v>side deck step</v>
      </c>
    </row>
    <row r="527" spans="3:8" x14ac:dyDescent="0.25">
      <c r="C527" s="15">
        <v>1</v>
      </c>
      <c r="D527" s="58" t="s">
        <v>34</v>
      </c>
      <c r="H527" s="15" t="str">
        <v>Bimini</v>
      </c>
    </row>
    <row r="528" spans="3:8" x14ac:dyDescent="0.25">
      <c r="C528" s="15">
        <v>1</v>
      </c>
      <c r="D528" s="58" t="s">
        <v>407</v>
      </c>
      <c r="H528" s="15" t="str">
        <v>Helmstation steps</v>
      </c>
    </row>
    <row r="529" spans="3:8" x14ac:dyDescent="0.25">
      <c r="C529" s="15">
        <v>1</v>
      </c>
      <c r="D529" s="58" t="s">
        <v>401</v>
      </c>
      <c r="H529" s="15" t="str">
        <v>toe rail</v>
      </c>
    </row>
    <row r="530" spans="3:8" x14ac:dyDescent="0.25">
      <c r="C530" s="15">
        <v>1</v>
      </c>
      <c r="D530" s="54" t="s">
        <v>35</v>
      </c>
      <c r="H530" s="15" t="str">
        <v>Inboard liner</v>
      </c>
    </row>
    <row r="531" spans="3:8" x14ac:dyDescent="0.25">
      <c r="C531" s="15">
        <v>1</v>
      </c>
      <c r="D531" s="58" t="s">
        <v>31</v>
      </c>
      <c r="H531" s="15" t="str">
        <v>Settee</v>
      </c>
    </row>
    <row r="532" spans="3:8" x14ac:dyDescent="0.25">
      <c r="C532" s="15">
        <v>1</v>
      </c>
      <c r="D532" s="54" t="s">
        <v>389</v>
      </c>
      <c r="H532" s="15" t="str">
        <v>Transom</v>
      </c>
    </row>
    <row r="533" spans="3:8" x14ac:dyDescent="0.25">
      <c r="C533" s="15">
        <v>1</v>
      </c>
      <c r="D533" s="58" t="s">
        <v>388</v>
      </c>
      <c r="H533" s="15" t="str">
        <v>Floating step</v>
      </c>
    </row>
    <row r="534" spans="3:8" x14ac:dyDescent="0.25">
      <c r="C534" s="15">
        <v>1</v>
      </c>
      <c r="D534" s="54" t="s">
        <v>38</v>
      </c>
      <c r="H534" s="15" t="str">
        <v>Locker lids</v>
      </c>
    </row>
    <row r="535" spans="3:8" x14ac:dyDescent="0.25">
      <c r="C535" s="15">
        <v>1</v>
      </c>
      <c r="D535" s="58" t="s">
        <v>39</v>
      </c>
      <c r="H535" s="15" t="str">
        <v>Table</v>
      </c>
    </row>
    <row r="536" spans="3:8" x14ac:dyDescent="0.25">
      <c r="C536" s="15">
        <v>1</v>
      </c>
      <c r="D536" s="54" t="s">
        <v>40</v>
      </c>
      <c r="H536" s="15" t="str">
        <v>Ceiling</v>
      </c>
    </row>
    <row r="537" spans="3:8" x14ac:dyDescent="0.25">
      <c r="C537" s="15">
        <v>1</v>
      </c>
      <c r="D537" s="58" t="s">
        <v>41</v>
      </c>
      <c r="H537" s="15" t="str">
        <v>Targawing</v>
      </c>
    </row>
    <row r="538" spans="3:8" x14ac:dyDescent="0.25">
      <c r="C538" s="15">
        <v>1</v>
      </c>
      <c r="D538" s="54" t="s">
        <v>42</v>
      </c>
      <c r="H538" s="15" t="str">
        <v>Eyebrow</v>
      </c>
    </row>
    <row r="539" spans="3:8" x14ac:dyDescent="0.25">
      <c r="C539" s="15">
        <v>1</v>
      </c>
      <c r="D539" s="54" t="s">
        <v>372</v>
      </c>
      <c r="H539" s="15" t="str">
        <v>Decklid</v>
      </c>
    </row>
    <row r="540" spans="3:8" x14ac:dyDescent="0.25">
      <c r="C540" s="15">
        <v>1</v>
      </c>
      <c r="D540" s="54" t="s">
        <v>262</v>
      </c>
      <c r="H540" s="15" t="str">
        <v>Skylight</v>
      </c>
    </row>
    <row r="541" spans="3:8" x14ac:dyDescent="0.25">
      <c r="C541" s="15">
        <v>1</v>
      </c>
      <c r="D541" s="80" t="s">
        <v>397</v>
      </c>
      <c r="H541" s="15" t="str">
        <v>Floor</v>
      </c>
    </row>
    <row r="542" spans="3:8" x14ac:dyDescent="0.25">
      <c r="C542" s="15">
        <v>1</v>
      </c>
      <c r="D542" s="68" t="s">
        <v>331</v>
      </c>
      <c r="H542" s="15" t="str">
        <v>Flybridge steps</v>
      </c>
    </row>
    <row r="543" spans="3:8" x14ac:dyDescent="0.25">
      <c r="C543" s="15">
        <v>1</v>
      </c>
      <c r="D543" s="5" t="s">
        <v>82</v>
      </c>
      <c r="H543" s="15" t="str">
        <v>INTERIOR</v>
      </c>
    </row>
    <row r="544" spans="3:8" x14ac:dyDescent="0.25">
      <c r="C544" s="15">
        <v>1</v>
      </c>
      <c r="D544" s="58" t="s">
        <v>43</v>
      </c>
      <c r="H544" s="15" t="str">
        <v>Stowage space under floorboards</v>
      </c>
    </row>
    <row r="545" spans="3:8" x14ac:dyDescent="0.25">
      <c r="C545" s="15">
        <v>1</v>
      </c>
      <c r="D545" s="65" t="s">
        <v>303</v>
      </c>
      <c r="H545" s="15" t="str">
        <v>Door surround</v>
      </c>
    </row>
    <row r="546" spans="3:8" x14ac:dyDescent="0.25">
      <c r="C546" s="15">
        <v>1</v>
      </c>
      <c r="D546" s="65" t="s">
        <v>304</v>
      </c>
      <c r="H546" s="15" t="str">
        <v>Staircase</v>
      </c>
    </row>
    <row r="547" spans="3:8" x14ac:dyDescent="0.25">
      <c r="C547" s="15">
        <v>1</v>
      </c>
      <c r="D547" s="65" t="s">
        <v>395</v>
      </c>
      <c r="H547" s="15" t="str">
        <v>Plinth/Skirting</v>
      </c>
    </row>
    <row r="548" spans="3:8" x14ac:dyDescent="0.25">
      <c r="C548" s="15">
        <v>1</v>
      </c>
      <c r="D548" s="62" t="s">
        <v>278</v>
      </c>
      <c r="H548" s="15" t="str">
        <v>Ceiling Liner</v>
      </c>
    </row>
    <row r="549" spans="3:8" x14ac:dyDescent="0.25">
      <c r="C549" s="15">
        <v>1</v>
      </c>
      <c r="D549" s="66" t="s">
        <v>394</v>
      </c>
      <c r="H549" s="15" t="str">
        <v>BBQ Locker</v>
      </c>
    </row>
    <row r="550" spans="3:8" x14ac:dyDescent="0.25">
      <c r="C550" s="15">
        <v>1</v>
      </c>
      <c r="D550" s="66" t="s">
        <v>305</v>
      </c>
      <c r="H550" s="15" t="str">
        <v>Bunk Liners</v>
      </c>
    </row>
    <row r="551" spans="3:8" x14ac:dyDescent="0.25">
      <c r="C551" s="15">
        <v>1</v>
      </c>
      <c r="D551" s="66" t="s">
        <v>306</v>
      </c>
      <c r="H551" s="15" t="str">
        <v>Basin module</v>
      </c>
    </row>
    <row r="552" spans="3:8" x14ac:dyDescent="0.25">
      <c r="C552" s="15">
        <v>1</v>
      </c>
      <c r="D552" s="66" t="s">
        <v>307</v>
      </c>
      <c r="H552" s="15" t="str">
        <v>Shower bulkhead module</v>
      </c>
    </row>
    <row r="553" spans="3:8" x14ac:dyDescent="0.25">
      <c r="C553" s="15">
        <v>2</v>
      </c>
      <c r="D553" s="53" t="s">
        <v>279</v>
      </c>
      <c r="H553" s="15" t="str">
        <v>Heads bulkhead module</v>
      </c>
    </row>
    <row r="554" spans="3:8" x14ac:dyDescent="0.25">
      <c r="C554" s="15">
        <v>2</v>
      </c>
      <c r="D554" s="58" t="s">
        <v>280</v>
      </c>
      <c r="H554" s="15" t="str">
        <v>Lockers</v>
      </c>
    </row>
    <row r="555" spans="3:8" x14ac:dyDescent="0.25">
      <c r="C555" s="15">
        <v>2</v>
      </c>
      <c r="D555" s="53" t="s">
        <v>387</v>
      </c>
      <c r="H555" s="15" t="str">
        <v>Bilges</v>
      </c>
    </row>
    <row r="556" spans="3:8" x14ac:dyDescent="0.25">
      <c r="C556" s="15">
        <v>3</v>
      </c>
      <c r="D556" s="69" t="s">
        <v>329</v>
      </c>
      <c r="H556" s="15" t="str">
        <v>Lids</v>
      </c>
    </row>
    <row r="557" spans="3:8" x14ac:dyDescent="0.25">
      <c r="C557" s="15">
        <v>3</v>
      </c>
      <c r="D557" s="5" t="s">
        <v>308</v>
      </c>
      <c r="H557" s="15" t="str">
        <v>SALOON</v>
      </c>
    </row>
    <row r="558" spans="3:8" x14ac:dyDescent="0.25">
      <c r="C558" s="15">
        <v>3</v>
      </c>
      <c r="D558" s="5" t="s">
        <v>310</v>
      </c>
      <c r="H558" s="15" t="str">
        <v>Companion door</v>
      </c>
    </row>
    <row r="559" spans="3:8" x14ac:dyDescent="0.25">
      <c r="C559" s="15">
        <v>3</v>
      </c>
      <c r="D559" s="5" t="s">
        <v>309</v>
      </c>
      <c r="H559" s="15" t="str">
        <v>Fwd cockpit door</v>
      </c>
    </row>
    <row r="560" spans="3:8" x14ac:dyDescent="0.25">
      <c r="C560" s="15">
        <v>3</v>
      </c>
      <c r="D560" s="5" t="s">
        <v>311</v>
      </c>
      <c r="H560" s="15" t="str">
        <v>Windows</v>
      </c>
    </row>
    <row r="561" spans="3:8" x14ac:dyDescent="0.25">
      <c r="C561" s="15">
        <v>3</v>
      </c>
      <c r="D561" s="5" t="s">
        <v>312</v>
      </c>
      <c r="H561" s="15" t="str">
        <v>U shape settee</v>
      </c>
    </row>
    <row r="562" spans="3:8" x14ac:dyDescent="0.25">
      <c r="C562" s="15">
        <v>3</v>
      </c>
      <c r="D562" s="5" t="s">
        <v>313</v>
      </c>
      <c r="H562" s="15" t="str">
        <v>Saloon table</v>
      </c>
    </row>
    <row r="563" spans="3:8" x14ac:dyDescent="0.25">
      <c r="C563" s="15">
        <v>3</v>
      </c>
      <c r="D563" s="5" t="s">
        <v>314</v>
      </c>
      <c r="H563" s="15" t="str">
        <v>Formica Bulkheads</v>
      </c>
    </row>
    <row r="564" spans="3:8" x14ac:dyDescent="0.25">
      <c r="C564" s="15">
        <v>3</v>
      </c>
      <c r="D564" s="5" t="s">
        <v>381</v>
      </c>
      <c r="H564" s="15" t="str">
        <v>Magazine locker/shelf locker</v>
      </c>
    </row>
    <row r="565" spans="3:8" x14ac:dyDescent="0.25">
      <c r="C565" s="15">
        <v>3</v>
      </c>
      <c r="D565" s="5" t="s">
        <v>315</v>
      </c>
      <c r="H565" s="15" t="str">
        <v>Vents</v>
      </c>
    </row>
    <row r="566" spans="3:8" x14ac:dyDescent="0.25">
      <c r="C566" s="15">
        <v>3</v>
      </c>
      <c r="D566" s="5" t="s">
        <v>316</v>
      </c>
      <c r="H566" s="15" t="str">
        <v>Hullside vinyl panels</v>
      </c>
    </row>
    <row r="567" spans="3:8" x14ac:dyDescent="0.25">
      <c r="C567" s="15">
        <v>3</v>
      </c>
      <c r="D567" s="5" t="s">
        <v>317</v>
      </c>
      <c r="H567" s="15" t="str">
        <v>Window blinds</v>
      </c>
    </row>
    <row r="568" spans="3:8" x14ac:dyDescent="0.25">
      <c r="C568" s="15">
        <v>3</v>
      </c>
      <c r="D568" s="5" t="s">
        <v>88</v>
      </c>
      <c r="H568" s="15" t="str">
        <v>Nav desk</v>
      </c>
    </row>
    <row r="569" spans="3:8" x14ac:dyDescent="0.25">
      <c r="C569" s="15">
        <v>3</v>
      </c>
      <c r="D569" s="20" t="s">
        <v>90</v>
      </c>
      <c r="H569" s="15" t="str">
        <v>Chart table with storage locker under hinged lid</v>
      </c>
    </row>
    <row r="570" spans="3:8" x14ac:dyDescent="0.25">
      <c r="C570" s="15">
        <v>3</v>
      </c>
      <c r="D570" s="20" t="s">
        <v>367</v>
      </c>
      <c r="H570" s="15" t="str">
        <v>Storage locker under chart table</v>
      </c>
    </row>
    <row r="571" spans="3:8" x14ac:dyDescent="0.25">
      <c r="C571" s="15">
        <v>3</v>
      </c>
      <c r="D571" s="5" t="s">
        <v>318</v>
      </c>
      <c r="H571" s="15" t="str">
        <v xml:space="preserve">AC Outlets </v>
      </c>
    </row>
    <row r="572" spans="3:8" x14ac:dyDescent="0.25">
      <c r="C572" s="15">
        <v>3</v>
      </c>
      <c r="D572" s="5" t="s">
        <v>319</v>
      </c>
      <c r="H572" s="15" t="str">
        <v>Ottoman</v>
      </c>
    </row>
    <row r="573" spans="3:8" x14ac:dyDescent="0.25">
      <c r="C573" s="15">
        <v>3</v>
      </c>
      <c r="D573" s="5" t="s">
        <v>320</v>
      </c>
      <c r="H573" s="15" t="str">
        <v>Galley lockers</v>
      </c>
    </row>
    <row r="574" spans="3:8" x14ac:dyDescent="0.25">
      <c r="C574" s="15">
        <v>3</v>
      </c>
      <c r="D574" s="5" t="s">
        <v>321</v>
      </c>
      <c r="H574" s="15" t="str">
        <v>Stove locker</v>
      </c>
    </row>
    <row r="575" spans="3:8" x14ac:dyDescent="0.25">
      <c r="C575" s="15">
        <v>3</v>
      </c>
      <c r="D575" s="5" t="s">
        <v>322</v>
      </c>
      <c r="H575" s="15" t="str">
        <v>Draw locker</v>
      </c>
    </row>
    <row r="576" spans="3:8" x14ac:dyDescent="0.25">
      <c r="C576" s="15">
        <v>3</v>
      </c>
      <c r="D576" s="5" t="s">
        <v>323</v>
      </c>
      <c r="H576" s="15" t="str">
        <v>Fridge/Freezer locker</v>
      </c>
    </row>
    <row r="577" spans="3:8" x14ac:dyDescent="0.25">
      <c r="C577" s="15">
        <v>3</v>
      </c>
      <c r="D577" s="5" t="s">
        <v>324</v>
      </c>
      <c r="H577" s="15" t="str">
        <v>Microwave locker</v>
      </c>
    </row>
    <row r="578" spans="3:8" x14ac:dyDescent="0.25">
      <c r="C578" s="15">
        <v>3</v>
      </c>
      <c r="D578" s="5" t="s">
        <v>325</v>
      </c>
      <c r="H578" s="15" t="str">
        <v>Tv locker</v>
      </c>
    </row>
    <row r="579" spans="3:8" x14ac:dyDescent="0.25">
      <c r="C579" s="15">
        <v>3</v>
      </c>
      <c r="D579" s="5" t="s">
        <v>326</v>
      </c>
      <c r="H579" s="15" t="str">
        <v>AC/DC locker</v>
      </c>
    </row>
    <row r="580" spans="3:8" x14ac:dyDescent="0.25">
      <c r="C580" s="15">
        <v>3</v>
      </c>
      <c r="D580" s="5" t="s">
        <v>262</v>
      </c>
      <c r="H580" s="15" t="str">
        <v>Vinyl ceiling</v>
      </c>
    </row>
    <row r="581" spans="3:8" x14ac:dyDescent="0.25">
      <c r="C581" s="15">
        <v>3</v>
      </c>
      <c r="D581" s="5" t="s">
        <v>71</v>
      </c>
      <c r="H581" s="15" t="str">
        <v>Large bowl s/s sink</v>
      </c>
    </row>
    <row r="582" spans="3:8" x14ac:dyDescent="0.25">
      <c r="C582" s="15">
        <v>3</v>
      </c>
      <c r="D582" s="5" t="s">
        <v>72</v>
      </c>
      <c r="H582" s="15" t="str">
        <v>Dish and cutlery drying recess with drainage</v>
      </c>
    </row>
    <row r="583" spans="3:8" x14ac:dyDescent="0.25">
      <c r="C583" s="15">
        <v>3</v>
      </c>
      <c r="D583" s="5" t="s">
        <v>73</v>
      </c>
      <c r="H583" s="15" t="str">
        <v>Cover for drying recess</v>
      </c>
    </row>
    <row r="584" spans="3:8" x14ac:dyDescent="0.25">
      <c r="C584" s="15">
        <v>3</v>
      </c>
      <c r="D584" s="5" t="s">
        <v>74</v>
      </c>
      <c r="H584" s="15" t="str">
        <v xml:space="preserve">Vitrifrigo 2 drawer front-opening fridge/freezer </v>
      </c>
    </row>
    <row r="585" spans="3:8" x14ac:dyDescent="0.25">
      <c r="C585" s="15">
        <v>3</v>
      </c>
      <c r="D585" s="5" t="s">
        <v>327</v>
      </c>
      <c r="H585" s="15" t="str">
        <v>Ice maker</v>
      </c>
    </row>
    <row r="586" spans="3:8" x14ac:dyDescent="0.25">
      <c r="C586" s="15">
        <v>3</v>
      </c>
      <c r="D586" s="5" t="s">
        <v>328</v>
      </c>
      <c r="H586" s="15" t="str">
        <v>Wine cooler</v>
      </c>
    </row>
    <row r="587" spans="3:8" x14ac:dyDescent="0.25">
      <c r="C587" s="15">
        <v>3</v>
      </c>
      <c r="D587" s="5" t="s">
        <v>390</v>
      </c>
      <c r="H587" s="15" t="str">
        <v>Burner gas hob</v>
      </c>
    </row>
    <row r="588" spans="3:8" x14ac:dyDescent="0.25">
      <c r="C588" s="15">
        <v>3</v>
      </c>
      <c r="D588" s="5" t="s">
        <v>391</v>
      </c>
      <c r="H588" s="15" t="str">
        <v>Gas oven</v>
      </c>
    </row>
    <row r="589" spans="3:8" x14ac:dyDescent="0.25">
      <c r="C589" s="15">
        <v>3</v>
      </c>
      <c r="D589" s="5" t="s">
        <v>77</v>
      </c>
      <c r="H589" s="15" t="str">
        <v>Gas solenoid shut-off valve with control &amp; warning light at cooker</v>
      </c>
    </row>
    <row r="590" spans="3:8" x14ac:dyDescent="0.25">
      <c r="C590" s="15">
        <v>3</v>
      </c>
      <c r="D590" s="5" t="s">
        <v>378</v>
      </c>
      <c r="H590" s="15" t="str">
        <v xml:space="preserve">Formica steps </v>
      </c>
    </row>
    <row r="591" spans="3:8" x14ac:dyDescent="0.25">
      <c r="C591" s="15">
        <v>3</v>
      </c>
      <c r="D591" s="5" t="s">
        <v>78</v>
      </c>
      <c r="H591" s="15" t="str">
        <v>Gas detectors in each hull connected to alarm in saloon</v>
      </c>
    </row>
    <row r="592" spans="3:8" x14ac:dyDescent="0.25">
      <c r="C592" s="15">
        <v>3</v>
      </c>
      <c r="D592" s="5" t="s">
        <v>86</v>
      </c>
      <c r="H592" s="15" t="str">
        <v>Smoke detector/alarm</v>
      </c>
    </row>
    <row r="593" spans="3:8" x14ac:dyDescent="0.25">
      <c r="C593" s="15">
        <v>3</v>
      </c>
      <c r="D593" s="6" t="s">
        <v>53</v>
      </c>
      <c r="H593" s="15" t="str">
        <v>LED overhead lighting</v>
      </c>
    </row>
    <row r="594" spans="3:8" x14ac:dyDescent="0.25">
      <c r="C594" s="15">
        <v>3</v>
      </c>
      <c r="D594" s="70" t="s">
        <v>358</v>
      </c>
      <c r="H594" s="15" t="str">
        <v>CABIN/ STUDY/PASSAGE</v>
      </c>
    </row>
    <row r="595" spans="3:8" x14ac:dyDescent="0.25">
      <c r="C595" s="15">
        <v>3</v>
      </c>
      <c r="D595" s="5" t="s">
        <v>332</v>
      </c>
      <c r="H595" s="15" t="str">
        <v>Inspection lids</v>
      </c>
    </row>
    <row r="596" spans="3:8" x14ac:dyDescent="0.25">
      <c r="C596" s="15">
        <v>3</v>
      </c>
      <c r="D596" s="5" t="s">
        <v>333</v>
      </c>
      <c r="H596" s="15" t="str">
        <v>Vinyl panels</v>
      </c>
    </row>
    <row r="597" spans="3:8" x14ac:dyDescent="0.25">
      <c r="C597" s="15">
        <v>3</v>
      </c>
      <c r="D597" s="5" t="s">
        <v>334</v>
      </c>
      <c r="H597" s="15" t="str">
        <v>Stairs</v>
      </c>
    </row>
    <row r="598" spans="3:8" x14ac:dyDescent="0.25">
      <c r="C598" s="15">
        <v>3</v>
      </c>
      <c r="D598" s="5" t="s">
        <v>379</v>
      </c>
      <c r="H598" s="15" t="str">
        <v>Bedside table outboard</v>
      </c>
    </row>
    <row r="599" spans="3:8" x14ac:dyDescent="0.25">
      <c r="C599" s="15">
        <v>3</v>
      </c>
      <c r="D599" s="5" t="s">
        <v>93</v>
      </c>
      <c r="H599" s="15" t="str">
        <v>Bedside cave locker inboard</v>
      </c>
    </row>
    <row r="600" spans="3:8" x14ac:dyDescent="0.25">
      <c r="C600" s="15">
        <v>3</v>
      </c>
      <c r="D600" s="5" t="s">
        <v>94</v>
      </c>
      <c r="H600" s="15" t="str">
        <v>Bunktop/Double berth</v>
      </c>
    </row>
    <row r="601" spans="3:8" x14ac:dyDescent="0.25">
      <c r="C601" s="15">
        <v>3</v>
      </c>
      <c r="D601" s="5" t="s">
        <v>377</v>
      </c>
      <c r="H601" s="15" t="str">
        <v>Hanging locker</v>
      </c>
    </row>
    <row r="602" spans="3:8" x14ac:dyDescent="0.25">
      <c r="C602" s="15">
        <v>3</v>
      </c>
      <c r="D602" s="5" t="s">
        <v>336</v>
      </c>
      <c r="H602" s="15" t="str">
        <v>Bunk Drawers</v>
      </c>
    </row>
    <row r="603" spans="3:8" x14ac:dyDescent="0.25">
      <c r="C603" s="15">
        <v>3</v>
      </c>
      <c r="D603" s="5" t="s">
        <v>335</v>
      </c>
      <c r="H603" s="15" t="str">
        <v>Cabin Door</v>
      </c>
    </row>
    <row r="604" spans="3:8" x14ac:dyDescent="0.25">
      <c r="C604" s="15">
        <v>3</v>
      </c>
      <c r="D604" s="5" t="s">
        <v>365</v>
      </c>
      <c r="H604" s="15" t="str">
        <v>Door frames</v>
      </c>
    </row>
    <row r="605" spans="3:8" x14ac:dyDescent="0.25">
      <c r="C605" s="15">
        <v>3</v>
      </c>
      <c r="D605" s="5" t="s">
        <v>373</v>
      </c>
      <c r="H605" s="15" t="str">
        <v>Fiddles</v>
      </c>
    </row>
    <row r="606" spans="3:8" x14ac:dyDescent="0.25">
      <c r="C606" s="15">
        <v>3</v>
      </c>
      <c r="D606" s="5" t="s">
        <v>337</v>
      </c>
      <c r="H606" s="15" t="str">
        <v>Fan</v>
      </c>
    </row>
    <row r="607" spans="3:8" x14ac:dyDescent="0.25">
      <c r="C607" s="15">
        <v>3</v>
      </c>
      <c r="D607" s="5" t="s">
        <v>338</v>
      </c>
      <c r="H607" s="15" t="str">
        <v>Hatch</v>
      </c>
    </row>
    <row r="608" spans="3:8" x14ac:dyDescent="0.25">
      <c r="C608" s="15">
        <v>3</v>
      </c>
      <c r="D608" s="5" t="s">
        <v>339</v>
      </c>
      <c r="H608" s="15" t="str">
        <v>2 x LED reading lamps over bunk</v>
      </c>
    </row>
    <row r="609" spans="3:8" x14ac:dyDescent="0.25">
      <c r="C609" s="15">
        <v>3</v>
      </c>
      <c r="D609" s="5" t="s">
        <v>104</v>
      </c>
      <c r="H609" s="15" t="str">
        <v>Vanity table/desk with storage locker and mirror under lid</v>
      </c>
    </row>
    <row r="610" spans="3:8" x14ac:dyDescent="0.25">
      <c r="C610" s="15">
        <v>3</v>
      </c>
      <c r="D610" s="5" t="s">
        <v>97</v>
      </c>
      <c r="H610" s="15" t="str">
        <v>Fold up vanity mirror</v>
      </c>
    </row>
    <row r="611" spans="3:8" x14ac:dyDescent="0.25">
      <c r="C611" s="15">
        <v>3</v>
      </c>
      <c r="D611" s="5" t="s">
        <v>98</v>
      </c>
      <c r="H611" s="15" t="str">
        <v>Sliding entrance door with lock</v>
      </c>
    </row>
    <row r="612" spans="3:8" x14ac:dyDescent="0.25">
      <c r="C612" s="15">
        <v>3</v>
      </c>
      <c r="D612" s="5" t="s">
        <v>100</v>
      </c>
      <c r="H612" s="15" t="str">
        <v>Doors</v>
      </c>
    </row>
    <row r="613" spans="3:8" x14ac:dyDescent="0.25">
      <c r="C613" s="15">
        <v>3</v>
      </c>
      <c r="D613" s="5" t="s">
        <v>284</v>
      </c>
      <c r="H613" s="15" t="str">
        <v>Large mirror behind sliding entrance door</v>
      </c>
    </row>
    <row r="614" spans="3:8" x14ac:dyDescent="0.25">
      <c r="C614" s="15">
        <v>3</v>
      </c>
      <c r="D614" s="5" t="s">
        <v>101</v>
      </c>
      <c r="H614" s="15" t="str">
        <v xml:space="preserve">HEADS </v>
      </c>
    </row>
    <row r="615" spans="3:8" x14ac:dyDescent="0.25">
      <c r="C615" s="15">
        <v>3</v>
      </c>
      <c r="D615" s="70" t="s">
        <v>340</v>
      </c>
      <c r="H615" s="15" t="str">
        <v>Under-basin locker with toilet roll holder</v>
      </c>
    </row>
    <row r="616" spans="3:8" x14ac:dyDescent="0.25">
      <c r="C616" s="15">
        <v>3</v>
      </c>
      <c r="D616" s="5" t="s">
        <v>109</v>
      </c>
      <c r="H616" s="15" t="str">
        <v>Vanity locker with mirror</v>
      </c>
    </row>
    <row r="617" spans="3:8" x14ac:dyDescent="0.25">
      <c r="C617" s="15">
        <v>3</v>
      </c>
      <c r="D617" s="5" t="s">
        <v>110</v>
      </c>
      <c r="H617" s="15" t="str">
        <v>Double towel rail</v>
      </c>
    </row>
    <row r="618" spans="3:8" x14ac:dyDescent="0.25">
      <c r="C618" s="15">
        <v>3</v>
      </c>
      <c r="D618" s="5" t="s">
        <v>111</v>
      </c>
      <c r="H618" s="15" t="str">
        <v>Sliding or hinged heads door</v>
      </c>
    </row>
    <row r="619" spans="3:8" x14ac:dyDescent="0.25">
      <c r="C619" s="15">
        <v>3</v>
      </c>
      <c r="D619" s="5" t="s">
        <v>112</v>
      </c>
      <c r="H619" s="15" t="str">
        <v>Washing machine locker</v>
      </c>
    </row>
    <row r="620" spans="3:8" x14ac:dyDescent="0.25">
      <c r="C620" s="15">
        <v>3</v>
      </c>
      <c r="D620" s="5" t="s">
        <v>392</v>
      </c>
      <c r="H620" s="15" t="str">
        <v>Dedicated trashcan locker</v>
      </c>
    </row>
    <row r="621" spans="3:8" x14ac:dyDescent="0.25">
      <c r="C621" s="15">
        <v>3</v>
      </c>
      <c r="D621" s="5" t="s">
        <v>113</v>
      </c>
      <c r="H621" s="15" t="str">
        <v>Coat hook</v>
      </c>
    </row>
    <row r="622" spans="3:8" x14ac:dyDescent="0.25">
      <c r="C622" s="15">
        <v>3</v>
      </c>
      <c r="D622" s="5" t="s">
        <v>116</v>
      </c>
      <c r="H622" s="15" t="str">
        <v>Waste tank</v>
      </c>
    </row>
    <row r="623" spans="3:8" x14ac:dyDescent="0.25">
      <c r="C623" s="15">
        <v>3</v>
      </c>
      <c r="D623" s="5" t="s">
        <v>366</v>
      </c>
      <c r="H623" s="15" t="str">
        <v>Forepeak panel</v>
      </c>
    </row>
    <row r="624" spans="3:8" x14ac:dyDescent="0.25">
      <c r="C624" s="15">
        <v>3</v>
      </c>
      <c r="D624" s="5" t="s">
        <v>359</v>
      </c>
      <c r="H624" s="15" t="str">
        <v>Portlight with roller blind</v>
      </c>
    </row>
    <row r="625" spans="3:8" x14ac:dyDescent="0.25">
      <c r="C625" s="15">
        <v>3</v>
      </c>
      <c r="D625" s="5" t="s">
        <v>375</v>
      </c>
      <c r="H625" s="15" t="str">
        <v>Overhead roller blinds for privacy</v>
      </c>
    </row>
    <row r="626" spans="3:8" x14ac:dyDescent="0.25">
      <c r="C626" s="15">
        <v>3</v>
      </c>
      <c r="D626" s="5" t="s">
        <v>117</v>
      </c>
      <c r="H626" s="15" t="str">
        <v>DECKFITTING</v>
      </c>
    </row>
    <row r="627" spans="3:8" x14ac:dyDescent="0.25">
      <c r="C627" s="15">
        <v>3</v>
      </c>
      <c r="D627" s="20" t="s">
        <v>118</v>
      </c>
      <c r="H627" s="15" t="str">
        <v>Guard wires with stanchions, bases, port &amp; starboard side gates</v>
      </c>
    </row>
    <row r="628" spans="3:8" x14ac:dyDescent="0.25">
      <c r="C628" s="15">
        <v>4</v>
      </c>
      <c r="D628" s="71" t="s">
        <v>342</v>
      </c>
      <c r="H628" s="15" t="str">
        <v>Guard wires across bow and stern</v>
      </c>
    </row>
    <row r="629" spans="3:8" x14ac:dyDescent="0.25">
      <c r="C629" s="15">
        <v>4</v>
      </c>
      <c r="D629" s="5" t="s">
        <v>120</v>
      </c>
      <c r="H629" s="15" t="str">
        <v>Windlass, 10mm gypsy &amp; hand-held remote</v>
      </c>
    </row>
    <row r="630" spans="3:8" x14ac:dyDescent="0.25">
      <c r="C630" s="15">
        <v>4</v>
      </c>
      <c r="D630" s="5" t="s">
        <v>121</v>
      </c>
      <c r="H630" s="15" t="str">
        <v>Anchor bow roller fitting</v>
      </c>
    </row>
    <row r="631" spans="3:8" x14ac:dyDescent="0.25">
      <c r="C631" s="15">
        <v>4</v>
      </c>
      <c r="D631" s="5" t="s">
        <v>393</v>
      </c>
      <c r="H631" s="15" t="str">
        <v>Anchor chain stopper</v>
      </c>
    </row>
    <row r="632" spans="3:8" x14ac:dyDescent="0.25">
      <c r="C632" s="15">
        <v>4</v>
      </c>
      <c r="D632" s="5" t="s">
        <v>123</v>
      </c>
      <c r="H632" s="15" t="str">
        <v>Life raft locker with convertible fore/aft seat bolster</v>
      </c>
    </row>
    <row r="633" spans="3:8" x14ac:dyDescent="0.25">
      <c r="C633" s="15">
        <v>4</v>
      </c>
      <c r="D633" s="5" t="s">
        <v>124</v>
      </c>
      <c r="H633" s="15" t="str">
        <v>Backrest s/s railing</v>
      </c>
    </row>
    <row r="634" spans="3:8" x14ac:dyDescent="0.25">
      <c r="C634" s="15">
        <v>4</v>
      </c>
      <c r="D634" s="5" t="s">
        <v>125</v>
      </c>
      <c r="H634" s="15" t="str">
        <v>Sliding companionway door/window</v>
      </c>
    </row>
    <row r="635" spans="3:8" x14ac:dyDescent="0.25">
      <c r="C635" s="15">
        <v>4</v>
      </c>
      <c r="D635" s="6" t="s">
        <v>89</v>
      </c>
      <c r="H635" s="15" t="str">
        <v>Sliding hatch over forward cockpit steps</v>
      </c>
    </row>
    <row r="636" spans="3:8" x14ac:dyDescent="0.25">
      <c r="C636" s="15">
        <v>4</v>
      </c>
      <c r="D636" s="5" t="s">
        <v>126</v>
      </c>
      <c r="H636" s="15" t="str">
        <v>Hardtop over forward and aft cockpit complete with LED lighting</v>
      </c>
    </row>
    <row r="637" spans="3:8" x14ac:dyDescent="0.25">
      <c r="C637" s="15">
        <v>4</v>
      </c>
      <c r="D637" s="5" t="s">
        <v>127</v>
      </c>
      <c r="H637" s="15" t="str">
        <v>Hardtop bimini over helm with supports and LED light</v>
      </c>
    </row>
    <row r="638" spans="3:8" x14ac:dyDescent="0.25">
      <c r="C638" s="15">
        <v>4</v>
      </c>
      <c r="D638" s="5" t="s">
        <v>128</v>
      </c>
      <c r="H638" s="15" t="str">
        <v>Hull windows</v>
      </c>
    </row>
    <row r="639" spans="3:8" x14ac:dyDescent="0.25">
      <c r="C639" s="15">
        <v>4</v>
      </c>
      <c r="D639" s="5" t="s">
        <v>129</v>
      </c>
      <c r="H639" s="15" t="str">
        <v>Folding swimming ladder c/w teak steps</v>
      </c>
    </row>
    <row r="640" spans="3:8" x14ac:dyDescent="0.25">
      <c r="C640" s="15">
        <v>4</v>
      </c>
      <c r="D640" s="5" t="s">
        <v>386</v>
      </c>
      <c r="H640" s="15" t="str">
        <v>Emergency ladder on port transom</v>
      </c>
    </row>
    <row r="641" spans="3:8" x14ac:dyDescent="0.25">
      <c r="C641" s="15">
        <v>4</v>
      </c>
      <c r="D641" s="5" t="s">
        <v>130</v>
      </c>
      <c r="H641" s="15" t="str">
        <v>Aft Cockpit table</v>
      </c>
    </row>
    <row r="642" spans="3:8" x14ac:dyDescent="0.25">
      <c r="C642" s="15">
        <v>4</v>
      </c>
      <c r="D642" s="5" t="s">
        <v>131</v>
      </c>
      <c r="H642" s="15" t="str">
        <v>Wetbar</v>
      </c>
    </row>
    <row r="643" spans="3:8" x14ac:dyDescent="0.25">
      <c r="C643" s="15">
        <v>4</v>
      </c>
      <c r="D643" s="5" t="s">
        <v>132</v>
      </c>
      <c r="H643" s="15" t="str">
        <v>Fold down Forward Cockpit table</v>
      </c>
    </row>
    <row r="644" spans="3:8" x14ac:dyDescent="0.25">
      <c r="C644" s="15">
        <v>4</v>
      </c>
      <c r="D644" s="5" t="s">
        <v>364</v>
      </c>
      <c r="H644" s="15" t="str">
        <v>Mainsheet system</v>
      </c>
    </row>
    <row r="645" spans="3:8" x14ac:dyDescent="0.25">
      <c r="C645" s="15">
        <v>4</v>
      </c>
      <c r="D645" s="5" t="s">
        <v>133</v>
      </c>
      <c r="H645" s="15" t="str">
        <v xml:space="preserve">Trampoline </v>
      </c>
    </row>
    <row r="646" spans="3:8" x14ac:dyDescent="0.25">
      <c r="C646" s="15">
        <v>4</v>
      </c>
      <c r="D646" s="5" t="s">
        <v>134</v>
      </c>
      <c r="H646" s="15" t="str">
        <v>Helm seat with upholstered backrest</v>
      </c>
    </row>
    <row r="647" spans="3:8" x14ac:dyDescent="0.25">
      <c r="C647" s="15">
        <v>4</v>
      </c>
      <c r="D647" s="5" t="s">
        <v>44</v>
      </c>
      <c r="H647" s="15" t="str">
        <v>Acrylic smoke grey tinted windows</v>
      </c>
    </row>
    <row r="648" spans="3:8" x14ac:dyDescent="0.25">
      <c r="C648" s="15">
        <v>4</v>
      </c>
      <c r="D648" s="5" t="s">
        <v>136</v>
      </c>
      <c r="H648" s="15" t="str">
        <v>Hardtop supports</v>
      </c>
    </row>
    <row r="649" spans="3:8" x14ac:dyDescent="0.25">
      <c r="C649" s="15">
        <v>4</v>
      </c>
      <c r="D649" s="5" t="s">
        <v>137</v>
      </c>
      <c r="H649" s="15" t="str">
        <v>Flush Hatch over heads</v>
      </c>
    </row>
    <row r="650" spans="3:8" x14ac:dyDescent="0.25">
      <c r="C650" s="15">
        <v>4</v>
      </c>
      <c r="D650" s="5" t="s">
        <v>138</v>
      </c>
      <c r="H650" s="15" t="str">
        <v>Flush Hatch over cabins</v>
      </c>
    </row>
    <row r="651" spans="3:8" x14ac:dyDescent="0.25">
      <c r="C651" s="15">
        <v>4</v>
      </c>
      <c r="D651" s="5" t="s">
        <v>240</v>
      </c>
      <c r="H651" s="15" t="str">
        <v>Flush Hatch over port forepeak (includes mushroom cowl)</v>
      </c>
    </row>
    <row r="652" spans="3:8" x14ac:dyDescent="0.25">
      <c r="C652" s="15">
        <v>4</v>
      </c>
      <c r="D652" s="5" t="s">
        <v>140</v>
      </c>
      <c r="H652" s="15" t="str">
        <v>Portlight windscreen</v>
      </c>
    </row>
    <row r="653" spans="3:8" x14ac:dyDescent="0.25">
      <c r="C653" s="15">
        <v>4</v>
      </c>
      <c r="D653" s="5" t="s">
        <v>141</v>
      </c>
      <c r="H653" s="15" t="str">
        <v>chain plate</v>
      </c>
    </row>
    <row r="654" spans="3:8" x14ac:dyDescent="0.25">
      <c r="C654" s="15">
        <v>4</v>
      </c>
      <c r="D654" s="5" t="s">
        <v>239</v>
      </c>
      <c r="H654" s="15" t="str">
        <v>chafe plate</v>
      </c>
    </row>
    <row r="655" spans="3:8" x14ac:dyDescent="0.25">
      <c r="C655" s="15">
        <v>4</v>
      </c>
      <c r="D655" s="5" t="s">
        <v>406</v>
      </c>
      <c r="H655" s="15" t="str">
        <v>Portlight hull side</v>
      </c>
    </row>
    <row r="656" spans="3:8" x14ac:dyDescent="0.25">
      <c r="C656" s="15">
        <v>4</v>
      </c>
      <c r="D656" s="5" t="s">
        <v>408</v>
      </c>
      <c r="H656" s="15" t="str">
        <v>Stbd hull side</v>
      </c>
    </row>
    <row r="657" spans="3:8" x14ac:dyDescent="0.25">
      <c r="C657" s="15">
        <v>4</v>
      </c>
      <c r="D657" s="5" t="s">
        <v>238</v>
      </c>
      <c r="H657" s="15" t="str">
        <v>Portlight  in transom</v>
      </c>
    </row>
    <row r="658" spans="3:8" x14ac:dyDescent="0.25">
      <c r="C658" s="15">
        <v>4</v>
      </c>
      <c r="D658" s="5" t="s">
        <v>361</v>
      </c>
      <c r="H658" s="15" t="str">
        <v>Anchor chain bin</v>
      </c>
    </row>
    <row r="659" spans="3:8" x14ac:dyDescent="0.25">
      <c r="C659" s="15">
        <v>4</v>
      </c>
      <c r="D659" s="5" t="s">
        <v>142</v>
      </c>
      <c r="H659" s="15" t="str">
        <v>Anchor/windlass locker</v>
      </c>
    </row>
    <row r="660" spans="3:8" x14ac:dyDescent="0.25">
      <c r="C660" s="15">
        <v>4</v>
      </c>
      <c r="D660" s="5" t="s">
        <v>143</v>
      </c>
      <c r="H660" s="15" t="str">
        <v>Foredeck/forward cockpit lockers</v>
      </c>
    </row>
    <row r="661" spans="3:8" x14ac:dyDescent="0.25">
      <c r="C661" s="15">
        <v>4</v>
      </c>
      <c r="D661" s="5" t="s">
        <v>144</v>
      </c>
      <c r="H661" s="15" t="str">
        <v>Forward access to foredeck c/w watertight Lewmar door</v>
      </c>
    </row>
    <row r="662" spans="3:8" x14ac:dyDescent="0.25">
      <c r="C662" s="15">
        <v>4</v>
      </c>
      <c r="D662" s="5" t="s">
        <v>145</v>
      </c>
      <c r="H662" s="15" t="str">
        <v>S/S cupholder</v>
      </c>
    </row>
    <row r="663" spans="3:8" x14ac:dyDescent="0.25">
      <c r="C663" s="15">
        <v>4</v>
      </c>
      <c r="D663" s="5" t="s">
        <v>146</v>
      </c>
      <c r="H663" s="15" t="str">
        <v>Pulpits with seats</v>
      </c>
    </row>
    <row r="664" spans="3:8" x14ac:dyDescent="0.25">
      <c r="C664" s="15">
        <v>4</v>
      </c>
      <c r="D664" s="5" t="s">
        <v>398</v>
      </c>
      <c r="H664" s="15" t="str">
        <v>Pushpits</v>
      </c>
    </row>
    <row r="665" spans="3:8" x14ac:dyDescent="0.25">
      <c r="C665" s="15">
        <v>4</v>
      </c>
      <c r="D665" s="5" t="s">
        <v>147</v>
      </c>
      <c r="H665" s="15" t="str">
        <v>Coachroof handrails</v>
      </c>
    </row>
    <row r="666" spans="3:8" x14ac:dyDescent="0.25">
      <c r="C666" s="15">
        <v>4</v>
      </c>
      <c r="D666" s="5" t="s">
        <v>148</v>
      </c>
      <c r="H666" s="15" t="str">
        <v>Hardtop grab handles</v>
      </c>
    </row>
    <row r="667" spans="3:8" x14ac:dyDescent="0.25">
      <c r="C667" s="15">
        <v>4</v>
      </c>
      <c r="D667" s="5" t="s">
        <v>149</v>
      </c>
      <c r="H667" s="15" t="str">
        <v>Transom grab handles</v>
      </c>
    </row>
    <row r="668" spans="3:8" x14ac:dyDescent="0.25">
      <c r="C668" s="15">
        <v>4</v>
      </c>
      <c r="D668" s="5" t="s">
        <v>237</v>
      </c>
      <c r="H668" s="15" t="str">
        <v>Mooring cleats</v>
      </c>
    </row>
    <row r="669" spans="3:8" x14ac:dyDescent="0.25">
      <c r="C669" s="15">
        <v>4</v>
      </c>
      <c r="D669" s="5" t="s">
        <v>150</v>
      </c>
      <c r="H669" s="15" t="str">
        <v>Lewmar winch handles</v>
      </c>
    </row>
    <row r="670" spans="3:8" x14ac:dyDescent="0.25">
      <c r="C670" s="15">
        <v>4</v>
      </c>
      <c r="D670" s="5" t="s">
        <v>236</v>
      </c>
      <c r="H670" s="15" t="str">
        <v xml:space="preserve">Primary electric winches </v>
      </c>
    </row>
    <row r="671" spans="3:8" x14ac:dyDescent="0.25">
      <c r="C671" s="15">
        <v>4</v>
      </c>
      <c r="D671" s="5" t="s">
        <v>235</v>
      </c>
      <c r="H671" s="15" t="str">
        <v xml:space="preserve">Mainsheet winch </v>
      </c>
    </row>
    <row r="672" spans="3:8" x14ac:dyDescent="0.25">
      <c r="C672" s="15">
        <v>4</v>
      </c>
      <c r="D672" s="5" t="s">
        <v>234</v>
      </c>
      <c r="H672" s="15" t="str">
        <v>Lewmar genoa cars with pin stop</v>
      </c>
    </row>
    <row r="673" spans="3:8" x14ac:dyDescent="0.25">
      <c r="C673" s="15">
        <v>4</v>
      </c>
      <c r="D673" s="5" t="s">
        <v>151</v>
      </c>
      <c r="H673" s="15" t="str">
        <v>Lewmar genoa tracks</v>
      </c>
    </row>
    <row r="674" spans="3:8" x14ac:dyDescent="0.25">
      <c r="C674" s="15">
        <v>4</v>
      </c>
      <c r="D674" s="5" t="s">
        <v>152</v>
      </c>
      <c r="H674" s="15" t="str">
        <v>Halyard clutch at helm (mainsail)</v>
      </c>
    </row>
    <row r="675" spans="3:8" x14ac:dyDescent="0.25">
      <c r="C675" s="15">
        <v>4</v>
      </c>
      <c r="D675" s="5" t="s">
        <v>343</v>
      </c>
      <c r="H675" s="15" t="str">
        <v>Halyard clutch at helm (gennaker)</v>
      </c>
    </row>
    <row r="676" spans="3:8" x14ac:dyDescent="0.25">
      <c r="C676" s="15">
        <v>4</v>
      </c>
      <c r="D676" s="5" t="s">
        <v>154</v>
      </c>
      <c r="H676" s="15" t="str">
        <v>Genoa sheet clutch at helm</v>
      </c>
    </row>
    <row r="677" spans="3:8" x14ac:dyDescent="0.25">
      <c r="C677" s="15">
        <v>4</v>
      </c>
      <c r="D677" s="5" t="s">
        <v>155</v>
      </c>
      <c r="H677" s="15" t="str">
        <v>Main sheet clutch at helm</v>
      </c>
    </row>
    <row r="678" spans="3:8" x14ac:dyDescent="0.25">
      <c r="C678" s="15">
        <v>4</v>
      </c>
      <c r="D678" s="5" t="s">
        <v>344</v>
      </c>
      <c r="H678" s="15" t="str">
        <v>Reef clutch at helm</v>
      </c>
    </row>
    <row r="679" spans="3:8" x14ac:dyDescent="0.25">
      <c r="C679" s="15">
        <v>4</v>
      </c>
      <c r="D679" s="5" t="s">
        <v>157</v>
      </c>
      <c r="H679" s="15" t="str">
        <v>Clutch and cleat on mast for genoa halyard</v>
      </c>
    </row>
    <row r="680" spans="3:8" x14ac:dyDescent="0.25">
      <c r="C680" s="15">
        <v>4</v>
      </c>
      <c r="D680" s="5" t="s">
        <v>233</v>
      </c>
      <c r="H680" s="15" t="str">
        <v>Furler clutch</v>
      </c>
    </row>
    <row r="681" spans="3:8" x14ac:dyDescent="0.25">
      <c r="C681" s="15">
        <v>4</v>
      </c>
      <c r="D681" s="5" t="s">
        <v>158</v>
      </c>
      <c r="H681" s="15" t="str">
        <v>Drinks holders - 2 in fwd cockpit and 1 at helm</v>
      </c>
    </row>
    <row r="682" spans="3:8" x14ac:dyDescent="0.25">
      <c r="C682" s="15">
        <v>4</v>
      </c>
      <c r="D682" s="5" t="s">
        <v>231</v>
      </c>
      <c r="H682" s="15" t="str">
        <v>Rope bag at helm with integral winch handle pocket</v>
      </c>
    </row>
    <row r="683" spans="3:8" x14ac:dyDescent="0.25">
      <c r="C683" s="15">
        <v>4</v>
      </c>
      <c r="D683" s="5" t="s">
        <v>232</v>
      </c>
      <c r="H683" s="15" t="str">
        <v>Natural anodized mast</v>
      </c>
    </row>
    <row r="684" spans="3:8" x14ac:dyDescent="0.25">
      <c r="C684" s="15">
        <v>4</v>
      </c>
      <c r="D684" s="5" t="s">
        <v>159</v>
      </c>
      <c r="H684" s="15" t="str">
        <v>Natural anodized crossbeam c/w mooring cleats</v>
      </c>
    </row>
    <row r="685" spans="3:8" x14ac:dyDescent="0.25">
      <c r="C685" s="15">
        <v>4</v>
      </c>
      <c r="D685" s="5" t="s">
        <v>161</v>
      </c>
      <c r="H685" s="15" t="str">
        <v>Wind indicator</v>
      </c>
    </row>
    <row r="686" spans="3:8" x14ac:dyDescent="0.25">
      <c r="C686" s="15">
        <v>4</v>
      </c>
      <c r="D686" s="5" t="s">
        <v>162</v>
      </c>
      <c r="H686" s="15" t="str">
        <v>Genoa furler</v>
      </c>
    </row>
    <row r="687" spans="3:8" x14ac:dyDescent="0.25">
      <c r="C687" s="15">
        <v>4</v>
      </c>
      <c r="D687" s="5" t="s">
        <v>163</v>
      </c>
      <c r="H687" s="15" t="str">
        <v>Mainsail full battened c/w 2 rows reefs</v>
      </c>
    </row>
    <row r="688" spans="3:8" x14ac:dyDescent="0.25">
      <c r="C688" s="15">
        <v>4</v>
      </c>
      <c r="D688" s="5" t="s">
        <v>164</v>
      </c>
      <c r="H688" s="15" t="str">
        <v>Furling genoa</v>
      </c>
    </row>
    <row r="689" spans="3:8" x14ac:dyDescent="0.25">
      <c r="C689" s="15">
        <v>4</v>
      </c>
      <c r="D689" s="5" t="s">
        <v>165</v>
      </c>
      <c r="H689" s="15" t="str">
        <v>2 x Additional spare 12v wires in mast</v>
      </c>
    </row>
    <row r="690" spans="3:8" x14ac:dyDescent="0.25">
      <c r="C690" s="15">
        <v>4</v>
      </c>
      <c r="D690" s="5" t="s">
        <v>166</v>
      </c>
      <c r="H690" s="15" t="str">
        <v>Additional spare conduit with messenger in mast</v>
      </c>
    </row>
    <row r="691" spans="3:8" x14ac:dyDescent="0.25">
      <c r="C691" s="15">
        <v>4</v>
      </c>
      <c r="D691" s="5" t="s">
        <v>167</v>
      </c>
      <c r="H691" s="15" t="str">
        <v xml:space="preserve">Main sheets </v>
      </c>
    </row>
    <row r="692" spans="3:8" x14ac:dyDescent="0.25">
      <c r="C692" s="15">
        <v>4</v>
      </c>
      <c r="D692" s="5" t="s">
        <v>168</v>
      </c>
      <c r="H692" s="15" t="str">
        <v>Genoa sheets</v>
      </c>
    </row>
    <row r="693" spans="3:8" x14ac:dyDescent="0.25">
      <c r="C693" s="15">
        <v>4</v>
      </c>
      <c r="D693" s="5" t="s">
        <v>207</v>
      </c>
      <c r="H693" s="15" t="str">
        <v>Halyards (main, genoa &amp; spare)</v>
      </c>
    </row>
    <row r="694" spans="3:8" x14ac:dyDescent="0.25">
      <c r="C694" s="15">
        <v>4</v>
      </c>
      <c r="D694" s="5" t="s">
        <v>208</v>
      </c>
      <c r="H694" s="15" t="str">
        <v>Engine Room</v>
      </c>
    </row>
    <row r="695" spans="3:8" x14ac:dyDescent="0.25">
      <c r="C695" s="15">
        <v>4</v>
      </c>
      <c r="D695" s="5" t="s">
        <v>209</v>
      </c>
      <c r="H695" s="15" t="str">
        <v>Single line reefs lead aft</v>
      </c>
    </row>
    <row r="696" spans="3:8" x14ac:dyDescent="0.25">
      <c r="C696" s="15">
        <v>4</v>
      </c>
      <c r="D696" s="5" t="s">
        <v>360</v>
      </c>
      <c r="H696" s="15" t="str">
        <v xml:space="preserve">BBQ </v>
      </c>
    </row>
    <row r="697" spans="3:8" x14ac:dyDescent="0.25">
      <c r="C697" s="15">
        <v>4</v>
      </c>
      <c r="D697" s="5" t="s">
        <v>210</v>
      </c>
      <c r="H697" s="15" t="str">
        <v>Step ladder</v>
      </c>
    </row>
    <row r="698" spans="3:8" x14ac:dyDescent="0.25">
      <c r="C698" s="15">
        <v>4</v>
      </c>
      <c r="D698" s="5" t="s">
        <v>371</v>
      </c>
      <c r="H698" s="15" t="str">
        <v>Pop up lights</v>
      </c>
    </row>
    <row r="699" spans="3:8" x14ac:dyDescent="0.25">
      <c r="C699" s="15">
        <v>4</v>
      </c>
      <c r="D699" s="5" t="s">
        <v>368</v>
      </c>
      <c r="H699" s="15" t="str">
        <v>Main boom topping lift</v>
      </c>
    </row>
    <row r="700" spans="3:8" x14ac:dyDescent="0.25">
      <c r="C700" s="15">
        <v>4</v>
      </c>
      <c r="D700" s="5" t="s">
        <v>370</v>
      </c>
      <c r="H700" s="15" t="str">
        <v>PLUMBING</v>
      </c>
    </row>
    <row r="701" spans="3:8" x14ac:dyDescent="0.25">
      <c r="C701" s="15">
        <v>4</v>
      </c>
      <c r="D701" s="5" t="s">
        <v>211</v>
      </c>
      <c r="H701" s="15" t="str">
        <v>Hot and cold pressurized fresh water system consisting of:</v>
      </c>
    </row>
    <row r="702" spans="3:8" x14ac:dyDescent="0.25">
      <c r="C702" s="15">
        <v>5</v>
      </c>
      <c r="D702" s="70" t="s">
        <v>345</v>
      </c>
      <c r="H702" s="15" t="str">
        <v>Water tanks,total capacity with level reading and gauges</v>
      </c>
    </row>
    <row r="703" spans="3:8" x14ac:dyDescent="0.25">
      <c r="C703" s="15">
        <v>5</v>
      </c>
      <c r="D703" s="5" t="s">
        <v>170</v>
      </c>
      <c r="H703" s="15" t="str">
        <v>Fresh water pressure pump with accumulator tank</v>
      </c>
    </row>
    <row r="704" spans="3:8" x14ac:dyDescent="0.25">
      <c r="C704" s="15">
        <v>5</v>
      </c>
      <c r="D704" s="5" t="s">
        <v>241</v>
      </c>
      <c r="H704" s="15" t="str">
        <v>Hot water cylinders/waterheaters</v>
      </c>
    </row>
    <row r="705" spans="3:8" x14ac:dyDescent="0.25">
      <c r="C705" s="15">
        <v>5</v>
      </c>
      <c r="D705" s="5" t="s">
        <v>171</v>
      </c>
      <c r="H705" s="15" t="str">
        <v>Transom shower (cold only)</v>
      </c>
    </row>
    <row r="706" spans="3:8" x14ac:dyDescent="0.25">
      <c r="C706" s="15">
        <v>5</v>
      </c>
      <c r="D706" s="5" t="s">
        <v>346</v>
      </c>
      <c r="H706" s="15" t="str">
        <v xml:space="preserve">Automatic shower drain pumps </v>
      </c>
    </row>
    <row r="707" spans="3:8" x14ac:dyDescent="0.25">
      <c r="C707" s="15">
        <v>5</v>
      </c>
      <c r="D707" s="5" t="s">
        <v>173</v>
      </c>
      <c r="H707" s="15" t="str">
        <v>Holding tanks</v>
      </c>
    </row>
    <row r="708" spans="3:8" x14ac:dyDescent="0.25">
      <c r="C708" s="15">
        <v>5</v>
      </c>
      <c r="D708" s="5" t="s">
        <v>174</v>
      </c>
      <c r="H708" s="15" t="str">
        <v>Electric bilge pumps (keel sump) with float switches and alarm at switch panel</v>
      </c>
    </row>
    <row r="709" spans="3:8" x14ac:dyDescent="0.25">
      <c r="C709" s="15">
        <v>5</v>
      </c>
      <c r="D709" s="5" t="s">
        <v>175</v>
      </c>
      <c r="H709" s="15" t="str">
        <v>Manual bilge pumps with (keel sump)</v>
      </c>
    </row>
    <row r="710" spans="3:8" x14ac:dyDescent="0.25">
      <c r="C710" s="15">
        <v>5</v>
      </c>
      <c r="D710" s="5" t="s">
        <v>242</v>
      </c>
      <c r="H710" s="15" t="str">
        <v>High water bilge float switches with alarm at switch panel</v>
      </c>
    </row>
    <row r="711" spans="3:8" x14ac:dyDescent="0.25">
      <c r="C711" s="15">
        <v>5</v>
      </c>
      <c r="D711" s="5" t="s">
        <v>243</v>
      </c>
      <c r="H711" s="15" t="str">
        <v>Electric bilge pumps (engine room) with float switch and warning light at switch panel</v>
      </c>
    </row>
    <row r="712" spans="3:8" x14ac:dyDescent="0.25">
      <c r="C712" s="15">
        <v>5</v>
      </c>
      <c r="D712" s="5" t="s">
        <v>244</v>
      </c>
      <c r="H712" s="15" t="str">
        <v>Water purifying filter system (Purifying water tap located at galley)</v>
      </c>
    </row>
    <row r="713" spans="3:8" x14ac:dyDescent="0.25">
      <c r="C713" s="15">
        <v>5</v>
      </c>
      <c r="D713" s="5" t="s">
        <v>245</v>
      </c>
      <c r="H713" s="15" t="str">
        <v>LPG label</v>
      </c>
    </row>
    <row r="714" spans="3:8" x14ac:dyDescent="0.25">
      <c r="C714" s="15">
        <v>5</v>
      </c>
      <c r="D714" s="5" t="s">
        <v>176</v>
      </c>
      <c r="H714" s="15" t="str">
        <v>Aircon unit</v>
      </c>
    </row>
    <row r="715" spans="3:8" x14ac:dyDescent="0.25">
      <c r="C715" s="15">
        <v>5</v>
      </c>
      <c r="D715" s="5" t="s">
        <v>400</v>
      </c>
      <c r="H715" s="15" t="str">
        <v>Ducting</v>
      </c>
    </row>
    <row r="716" spans="3:8" x14ac:dyDescent="0.25">
      <c r="C716" s="15">
        <v>5</v>
      </c>
      <c r="D716" s="3" t="s">
        <v>283</v>
      </c>
      <c r="H716" s="15" t="str">
        <v>Electric sea water flush toilet</v>
      </c>
    </row>
    <row r="717" spans="3:8" x14ac:dyDescent="0.25">
      <c r="C717" s="15">
        <v>5</v>
      </c>
      <c r="D717" s="3" t="s">
        <v>282</v>
      </c>
      <c r="H717" s="15" t="str">
        <v>Single lever mixer faucet with pull-out sprayer</v>
      </c>
    </row>
    <row r="718" spans="3:8" x14ac:dyDescent="0.25">
      <c r="C718" s="15">
        <v>5</v>
      </c>
      <c r="D718" s="3" t="s">
        <v>360</v>
      </c>
      <c r="H718" s="15" t="str">
        <v>Gas cylinder regulator in dedicated LPG locker</v>
      </c>
    </row>
    <row r="719" spans="3:8" x14ac:dyDescent="0.25">
      <c r="C719" s="15">
        <v>5</v>
      </c>
      <c r="D719" s="5" t="s">
        <v>139</v>
      </c>
      <c r="H719" s="15" t="str">
        <v>Washbasins with basin mixer</v>
      </c>
    </row>
    <row r="720" spans="3:8" x14ac:dyDescent="0.25">
      <c r="C720" s="15">
        <v>5</v>
      </c>
      <c r="D720" s="5" t="s">
        <v>70</v>
      </c>
      <c r="H720" s="15" t="str">
        <v>Shower compartment c/w lever mixer and adjustable shower rose</v>
      </c>
    </row>
    <row r="721" spans="3:8" x14ac:dyDescent="0.25">
      <c r="C721" s="15">
        <v>5</v>
      </c>
      <c r="D721" s="5" t="s">
        <v>79</v>
      </c>
      <c r="H721" s="15" t="str">
        <v>Shower sump with automatic drainage system</v>
      </c>
    </row>
    <row r="722" spans="3:8" x14ac:dyDescent="0.25">
      <c r="C722" s="15">
        <v>5</v>
      </c>
      <c r="D722" s="5" t="s">
        <v>341</v>
      </c>
      <c r="H722" s="15" t="str">
        <v>MECHANICAL</v>
      </c>
    </row>
    <row r="723" spans="3:8" x14ac:dyDescent="0.25">
      <c r="C723" s="15">
        <v>5</v>
      </c>
      <c r="D723" s="5" t="s">
        <v>114</v>
      </c>
      <c r="H723" s="15" t="str">
        <v>Double lever throttle / gearshift control</v>
      </c>
    </row>
    <row r="724" spans="3:8" x14ac:dyDescent="0.25">
      <c r="C724" s="15">
        <v>5</v>
      </c>
      <c r="D724" s="5" t="s">
        <v>115</v>
      </c>
      <c r="H724" s="15" t="str">
        <v>Sound deadening panels in engine room</v>
      </c>
    </row>
    <row r="725" spans="3:8" x14ac:dyDescent="0.25">
      <c r="C725" s="15">
        <v>6</v>
      </c>
      <c r="D725" s="70" t="s">
        <v>347</v>
      </c>
      <c r="H725" s="15" t="str">
        <v>Engine room ventilation fans</v>
      </c>
    </row>
    <row r="726" spans="3:8" x14ac:dyDescent="0.25">
      <c r="C726" s="15">
        <v>6</v>
      </c>
      <c r="D726" s="5" t="s">
        <v>178</v>
      </c>
      <c r="H726" s="15" t="str">
        <v>Yanmar 57hp diesel engines with sail drives</v>
      </c>
    </row>
    <row r="727" spans="3:8" x14ac:dyDescent="0.25">
      <c r="C727" s="15">
        <v>6</v>
      </c>
      <c r="D727" s="5" t="s">
        <v>179</v>
      </c>
      <c r="H727" s="15" t="str">
        <v>Propellers – fixed blade</v>
      </c>
    </row>
    <row r="728" spans="3:8" x14ac:dyDescent="0.25">
      <c r="C728" s="15">
        <v>6</v>
      </c>
      <c r="D728" s="5" t="s">
        <v>180</v>
      </c>
      <c r="H728" s="15" t="str">
        <v>Fuel deck fillers</v>
      </c>
    </row>
    <row r="729" spans="3:8" x14ac:dyDescent="0.25">
      <c r="C729" s="15">
        <v>6</v>
      </c>
      <c r="D729" s="5" t="s">
        <v>181</v>
      </c>
      <c r="H729" s="15" t="str">
        <v>Fuel filter / water separators</v>
      </c>
    </row>
    <row r="730" spans="3:8" x14ac:dyDescent="0.25">
      <c r="C730" s="15">
        <v>6</v>
      </c>
      <c r="D730" s="5" t="s">
        <v>182</v>
      </c>
      <c r="H730" s="15" t="str">
        <v>Fuel tank</v>
      </c>
    </row>
    <row r="731" spans="3:8" x14ac:dyDescent="0.25">
      <c r="C731" s="15">
        <v>6</v>
      </c>
      <c r="D731" s="5" t="s">
        <v>183</v>
      </c>
      <c r="H731" s="15" t="str">
        <v>Exhaust skin fittings (s/s)</v>
      </c>
    </row>
    <row r="732" spans="3:8" x14ac:dyDescent="0.25">
      <c r="C732" s="15">
        <v>6</v>
      </c>
      <c r="D732" s="5" t="s">
        <v>246</v>
      </c>
      <c r="H732" s="15" t="str">
        <v>2 x Exhaust water locks/mufflers</v>
      </c>
    </row>
    <row r="733" spans="3:8" x14ac:dyDescent="0.25">
      <c r="C733" s="15">
        <v>6</v>
      </c>
      <c r="D733" s="5" t="s">
        <v>360</v>
      </c>
      <c r="H733" s="15" t="str">
        <v>Cooling water inlet strainers</v>
      </c>
    </row>
    <row r="734" spans="3:8" x14ac:dyDescent="0.25">
      <c r="C734" s="15">
        <v>6</v>
      </c>
      <c r="D734" s="5" t="s">
        <v>184</v>
      </c>
      <c r="H734" s="15" t="str">
        <v>Exhaust cooling water temperature sensors with audible alarms at helm</v>
      </c>
    </row>
    <row r="735" spans="3:8" x14ac:dyDescent="0.25">
      <c r="C735" s="15">
        <v>6</v>
      </c>
      <c r="D735" s="5" t="s">
        <v>185</v>
      </c>
      <c r="H735" s="15" t="str">
        <v>Engine start batteries - 96Ah lead Acid type</v>
      </c>
    </row>
    <row r="736" spans="3:8" x14ac:dyDescent="0.25">
      <c r="C736" s="15">
        <v>6</v>
      </c>
      <c r="D736" s="5" t="s">
        <v>186</v>
      </c>
      <c r="H736" s="15" t="str">
        <v>High performance spade rudders</v>
      </c>
    </row>
    <row r="737" spans="3:8" x14ac:dyDescent="0.25">
      <c r="C737" s="15">
        <v>6</v>
      </c>
      <c r="D737" s="5" t="s">
        <v>187</v>
      </c>
      <c r="H737" s="15" t="str">
        <v>Self-aligning bearings</v>
      </c>
    </row>
    <row r="738" spans="3:8" x14ac:dyDescent="0.25">
      <c r="C738" s="15">
        <v>6</v>
      </c>
      <c r="D738" s="5" t="s">
        <v>188</v>
      </c>
      <c r="H738" s="15" t="str">
        <v>Chain-and-wire steering system c/w bulkhead steering unit and brake</v>
      </c>
    </row>
    <row r="739" spans="3:8" x14ac:dyDescent="0.25">
      <c r="C739" s="15">
        <v>6</v>
      </c>
      <c r="D739" s="5" t="s">
        <v>247</v>
      </c>
      <c r="H739" s="15" t="str">
        <v>Destroyer-type steering wheel</v>
      </c>
    </row>
    <row r="740" spans="3:8" x14ac:dyDescent="0.25">
      <c r="C740" s="15">
        <v>6</v>
      </c>
      <c r="D740" s="5" t="s">
        <v>190</v>
      </c>
      <c r="H740" s="15" t="str">
        <v>Emergency tiller (s/s)</v>
      </c>
    </row>
    <row r="741" spans="3:8" x14ac:dyDescent="0.25">
      <c r="C741" s="15">
        <v>6</v>
      </c>
      <c r="D741" s="5" t="s">
        <v>191</v>
      </c>
      <c r="H741" s="15" t="str">
        <v>Compass at helm position</v>
      </c>
    </row>
    <row r="742" spans="3:8" x14ac:dyDescent="0.25">
      <c r="C742" s="15">
        <v>6</v>
      </c>
      <c r="D742" s="5" t="s">
        <v>192</v>
      </c>
      <c r="H742" s="15" t="str">
        <v xml:space="preserve">ELECTRICAL </v>
      </c>
    </row>
    <row r="743" spans="3:8" x14ac:dyDescent="0.25">
      <c r="C743" s="15">
        <v>6</v>
      </c>
      <c r="D743" s="5" t="s">
        <v>193</v>
      </c>
      <c r="H743" s="15" t="str">
        <v>Digital monitoring with 7" Multi-function Dispaly</v>
      </c>
    </row>
    <row r="744" spans="3:8" x14ac:dyDescent="0.25">
      <c r="C744" s="15">
        <v>6</v>
      </c>
      <c r="D744" s="5" t="s">
        <v>194</v>
      </c>
      <c r="H744" s="15" t="str">
        <v>LED Courtesy lights at stairways</v>
      </c>
    </row>
    <row r="745" spans="3:8" x14ac:dyDescent="0.25">
      <c r="C745" s="15">
        <v>6</v>
      </c>
      <c r="D745" s="5" t="s">
        <v>205</v>
      </c>
      <c r="H745" s="15" t="str">
        <v>Bi-colour &amp; stern navigation lights</v>
      </c>
    </row>
    <row r="746" spans="3:8" x14ac:dyDescent="0.25">
      <c r="C746" s="15">
        <v>7</v>
      </c>
      <c r="D746" s="70" t="s">
        <v>348</v>
      </c>
      <c r="H746" s="15" t="str">
        <v>12v outlet socket at helm station</v>
      </c>
    </row>
    <row r="747" spans="3:8" x14ac:dyDescent="0.25">
      <c r="C747" s="15">
        <v>7</v>
      </c>
      <c r="D747" s="5" t="s">
        <v>196</v>
      </c>
      <c r="H747" s="15" t="str">
        <v>USB outlets at chart table QC</v>
      </c>
    </row>
    <row r="748" spans="3:8" x14ac:dyDescent="0.25">
      <c r="C748" s="15">
        <v>7</v>
      </c>
      <c r="D748" s="5" t="s">
        <v>197</v>
      </c>
      <c r="H748" s="15" t="str">
        <v>USB outlets at fridge locker</v>
      </c>
    </row>
    <row r="749" spans="3:8" x14ac:dyDescent="0.25">
      <c r="C749" s="15">
        <v>7</v>
      </c>
      <c r="D749" s="5" t="s">
        <v>198</v>
      </c>
      <c r="H749" s="15" t="str">
        <v>USB outlets at saloon settee</v>
      </c>
    </row>
    <row r="750" spans="3:8" x14ac:dyDescent="0.25">
      <c r="C750" s="15">
        <v>7</v>
      </c>
      <c r="D750" s="5" t="s">
        <v>199</v>
      </c>
      <c r="H750" s="15" t="str">
        <v>USB outlets in each cabin</v>
      </c>
    </row>
    <row r="751" spans="3:8" x14ac:dyDescent="0.25">
      <c r="C751" s="15">
        <v>7</v>
      </c>
      <c r="D751" s="5" t="s">
        <v>248</v>
      </c>
      <c r="H751" s="15" t="str">
        <v xml:space="preserve">House batteries </v>
      </c>
    </row>
    <row r="752" spans="3:8" x14ac:dyDescent="0.25">
      <c r="C752" s="15">
        <v>7</v>
      </c>
      <c r="D752" s="5" t="s">
        <v>200</v>
      </c>
      <c r="H752" s="15" t="str">
        <v>House battery isolator switch QC</v>
      </c>
    </row>
    <row r="753" spans="3:8" x14ac:dyDescent="0.25">
      <c r="C753" s="15">
        <v>7</v>
      </c>
      <c r="D753" s="5" t="s">
        <v>228</v>
      </c>
      <c r="H753" s="15" t="str">
        <v>Lewmar</v>
      </c>
    </row>
    <row r="754" spans="3:8" x14ac:dyDescent="0.25">
      <c r="C754" s="15">
        <v>7</v>
      </c>
      <c r="D754" s="5" t="s">
        <v>227</v>
      </c>
      <c r="H754" s="15" t="str">
        <v>Engine starter battery isolator switches</v>
      </c>
    </row>
    <row r="755" spans="3:8" x14ac:dyDescent="0.25">
      <c r="C755" s="15">
        <v>7</v>
      </c>
      <c r="D755" s="5" t="s">
        <v>201</v>
      </c>
      <c r="H755" s="15" t="str">
        <v>Alternators, standard with engines</v>
      </c>
    </row>
    <row r="756" spans="3:8" x14ac:dyDescent="0.25">
      <c r="C756" s="15">
        <v>7</v>
      </c>
      <c r="D756" s="5" t="s">
        <v>229</v>
      </c>
      <c r="H756" s="15" t="str">
        <v>Electrical spares kit: fuses, relays, fuse holders</v>
      </c>
    </row>
    <row r="757" spans="3:8" x14ac:dyDescent="0.25">
      <c r="C757" s="15">
        <v>7</v>
      </c>
      <c r="D757" s="5" t="s">
        <v>396</v>
      </c>
      <c r="H757" s="15" t="str">
        <v>Light switch</v>
      </c>
    </row>
    <row r="758" spans="3:8" x14ac:dyDescent="0.25">
      <c r="C758" s="15">
        <v>7</v>
      </c>
      <c r="D758" s="5" t="s">
        <v>360</v>
      </c>
      <c r="H758" s="15" t="str">
        <v>PERSPEX</v>
      </c>
    </row>
    <row r="759" spans="3:8" x14ac:dyDescent="0.25">
      <c r="C759" s="15">
        <v>7</v>
      </c>
      <c r="D759" s="5" t="s">
        <v>202</v>
      </c>
      <c r="H759" s="15" t="str">
        <v>corian</v>
      </c>
    </row>
    <row r="760" spans="3:8" x14ac:dyDescent="0.25">
      <c r="C760" s="15">
        <v>7</v>
      </c>
      <c r="D760" s="5" t="s">
        <v>230</v>
      </c>
      <c r="H760" s="15" t="str">
        <v>Dividers</v>
      </c>
    </row>
    <row r="761" spans="3:8" x14ac:dyDescent="0.25">
      <c r="C761" s="15">
        <v>7</v>
      </c>
      <c r="D761" s="5" t="s">
        <v>203</v>
      </c>
      <c r="H761" s="15" t="str">
        <v>Portlight</v>
      </c>
    </row>
    <row r="762" spans="3:8" x14ac:dyDescent="0.25">
      <c r="C762" s="15">
        <v>7</v>
      </c>
      <c r="D762" s="5" t="s">
        <v>374</v>
      </c>
      <c r="H762" s="15" t="str">
        <v>SPRAY PAINTING</v>
      </c>
    </row>
    <row r="763" spans="3:8" x14ac:dyDescent="0.25">
      <c r="C763" s="15">
        <v>7</v>
      </c>
      <c r="D763" s="5" t="s">
        <v>205</v>
      </c>
      <c r="H763" s="15" t="str">
        <v>Solids</v>
      </c>
    </row>
    <row r="764" spans="3:8" x14ac:dyDescent="0.25">
      <c r="C764" s="15">
        <v>8</v>
      </c>
      <c r="D764" s="72" t="s">
        <v>349</v>
      </c>
      <c r="H764" s="15" t="str">
        <v>Frame</v>
      </c>
    </row>
    <row r="765" spans="3:8" x14ac:dyDescent="0.25">
      <c r="C765" s="15">
        <v>8</v>
      </c>
      <c r="D765" s="53" t="s">
        <v>284</v>
      </c>
      <c r="H765" s="15" t="str">
        <v>CLEANING</v>
      </c>
    </row>
    <row r="766" spans="3:8" x14ac:dyDescent="0.25">
      <c r="C766" s="15">
        <v>8</v>
      </c>
      <c r="D766" s="53" t="s">
        <v>399</v>
      </c>
      <c r="H766" s="15" t="str">
        <v>Formica</v>
      </c>
    </row>
    <row r="767" spans="3:8" x14ac:dyDescent="0.25">
      <c r="C767" s="15">
        <v>8</v>
      </c>
      <c r="D767" s="58" t="s">
        <v>384</v>
      </c>
      <c r="H767" s="15" t="str">
        <v>GRP</v>
      </c>
    </row>
    <row r="768" spans="3:8" x14ac:dyDescent="0.25">
      <c r="C768" s="15">
        <v>8</v>
      </c>
      <c r="D768" s="58" t="s">
        <v>385</v>
      </c>
      <c r="H768" s="15" t="str">
        <v>Vinyl</v>
      </c>
    </row>
    <row r="769" spans="3:8" x14ac:dyDescent="0.25">
      <c r="C769" s="15">
        <v>8</v>
      </c>
      <c r="D769" s="53" t="s">
        <v>309</v>
      </c>
      <c r="H769" s="15" t="str">
        <v>Stainlesteel</v>
      </c>
    </row>
    <row r="770" spans="3:8" x14ac:dyDescent="0.25">
      <c r="C770" s="15">
        <v>9</v>
      </c>
      <c r="D770" s="69" t="s">
        <v>350</v>
      </c>
      <c r="H770" s="15" t="str">
        <v>Stickers/tape/residue</v>
      </c>
    </row>
    <row r="771" spans="3:8" x14ac:dyDescent="0.25">
      <c r="C771" s="15">
        <v>9</v>
      </c>
      <c r="D771" s="3" t="s">
        <v>382</v>
      </c>
    </row>
    <row r="772" spans="3:8" x14ac:dyDescent="0.25">
      <c r="C772" s="15">
        <v>9</v>
      </c>
      <c r="D772" s="3" t="s">
        <v>380</v>
      </c>
    </row>
    <row r="773" spans="3:8" x14ac:dyDescent="0.25">
      <c r="C773" s="15">
        <v>9</v>
      </c>
      <c r="D773" s="3" t="s">
        <v>381</v>
      </c>
    </row>
    <row r="774" spans="3:8" x14ac:dyDescent="0.25">
      <c r="C774" s="15">
        <v>10</v>
      </c>
      <c r="D774" s="72" t="s">
        <v>351</v>
      </c>
    </row>
    <row r="775" spans="3:8" x14ac:dyDescent="0.25">
      <c r="C775" s="15">
        <v>10</v>
      </c>
      <c r="D775" s="53" t="s">
        <v>383</v>
      </c>
    </row>
    <row r="776" spans="3:8" x14ac:dyDescent="0.25">
      <c r="C776" s="15">
        <v>10</v>
      </c>
      <c r="D776" s="58" t="s">
        <v>225</v>
      </c>
    </row>
    <row r="777" spans="3:8" x14ac:dyDescent="0.25">
      <c r="C777" s="15">
        <v>10</v>
      </c>
      <c r="D777" s="53" t="s">
        <v>290</v>
      </c>
    </row>
    <row r="778" spans="3:8" x14ac:dyDescent="0.25">
      <c r="C778" s="15">
        <v>10</v>
      </c>
      <c r="D778" s="58" t="s">
        <v>291</v>
      </c>
    </row>
    <row r="779" spans="3:8" x14ac:dyDescent="0.25">
      <c r="C779" s="15">
        <v>10</v>
      </c>
      <c r="D779" s="65" t="s">
        <v>376</v>
      </c>
    </row>
    <row r="780" spans="3:8" x14ac:dyDescent="0.25">
      <c r="C780" s="15">
        <v>10</v>
      </c>
      <c r="D780" s="5" t="s">
        <v>280</v>
      </c>
    </row>
    <row r="781" spans="3:8" x14ac:dyDescent="0.25">
      <c r="C781" s="15">
        <v>10</v>
      </c>
      <c r="D781" s="5" t="s">
        <v>279</v>
      </c>
    </row>
    <row r="782" spans="3:8" x14ac:dyDescent="0.25">
      <c r="C782" s="15">
        <v>10</v>
      </c>
      <c r="D782" s="15" t="s">
        <v>369</v>
      </c>
    </row>
  </sheetData>
  <conditionalFormatting sqref="B10:B51">
    <cfRule type="dataBar" priority="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{4FF45AEA-1963-46F0-AADE-154C0377E138}</x14:id>
        </ext>
      </extLst>
    </cfRule>
  </conditionalFormatting>
  <pageMargins left="0.7" right="0.7" top="0.75" bottom="0.75" header="0.3" footer="0.3"/>
  <pageSetup orientation="portrait" horizontalDpi="1200" verticalDpi="1200" r:id="rId1"/>
  <legacyDrawing r:id="rId2"/>
  <tableParts count="5">
    <tablePart r:id="rId3"/>
    <tablePart r:id="rId4"/>
    <tablePart r:id="rId5"/>
    <tablePart r:id="rId6"/>
    <tablePart r:id="rId7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FF45AEA-1963-46F0-AADE-154C0377E13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B10:B51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A4F0C-2404-4282-BD24-252B5FDB98D1}">
  <dimension ref="A1:CP841"/>
  <sheetViews>
    <sheetView tabSelected="1" zoomScale="90" zoomScaleNormal="90" workbookViewId="0">
      <selection activeCell="G12" sqref="G12"/>
    </sheetView>
  </sheetViews>
  <sheetFormatPr defaultRowHeight="15" x14ac:dyDescent="0.25"/>
  <cols>
    <col min="1" max="1" width="5.7109375" style="1" customWidth="1"/>
    <col min="2" max="2" width="16.7109375" style="110" bestFit="1" customWidth="1"/>
    <col min="3" max="3" width="5.7109375" style="1" customWidth="1"/>
    <col min="4" max="4" width="24.42578125" customWidth="1"/>
    <col min="5" max="5" width="13.7109375" customWidth="1"/>
    <col min="6" max="6" width="13.7109375" hidden="1" customWidth="1"/>
    <col min="7" max="7" width="37" style="94" customWidth="1"/>
    <col min="8" max="8" width="10" customWidth="1"/>
    <col min="9" max="9" width="9.28515625" customWidth="1"/>
    <col min="10" max="10" width="9" customWidth="1"/>
    <col min="12" max="12" width="9.42578125" customWidth="1"/>
    <col min="13" max="13" width="17" hidden="1" customWidth="1"/>
    <col min="14" max="92" width="9.140625" hidden="1" customWidth="1"/>
    <col min="93" max="102" width="0" hidden="1" customWidth="1"/>
  </cols>
  <sheetData>
    <row r="1" spans="1:94" ht="15" customHeight="1" x14ac:dyDescent="0.25">
      <c r="A1" s="127" t="s">
        <v>0</v>
      </c>
      <c r="B1" s="127" t="s">
        <v>1</v>
      </c>
      <c r="C1" s="129" t="s">
        <v>2</v>
      </c>
      <c r="D1" s="129" t="s">
        <v>3</v>
      </c>
      <c r="E1" s="129" t="s">
        <v>4</v>
      </c>
      <c r="F1" s="129" t="s">
        <v>410</v>
      </c>
      <c r="G1" s="139" t="s">
        <v>216</v>
      </c>
      <c r="H1" s="139" t="s">
        <v>6</v>
      </c>
      <c r="I1" s="139" t="s">
        <v>7</v>
      </c>
      <c r="J1" s="137" t="s">
        <v>8</v>
      </c>
      <c r="K1" s="138" t="s">
        <v>9</v>
      </c>
      <c r="L1" s="138"/>
      <c r="M1" t="e" cm="1" vm="1">
        <f t="array" ref="M1">TRANSPOSE(_xlfn.UNIQUE(_xlfn._xlws.FILTER(Table4[Discipine Area],(Table4[Discipline No.]=C1)*(Table4[Discipline No.]=C1))))</f>
        <v>#VALUE!</v>
      </c>
    </row>
    <row r="2" spans="1:94" ht="15" customHeight="1" x14ac:dyDescent="0.25">
      <c r="A2" s="128"/>
      <c r="B2" s="128"/>
      <c r="C2" s="130"/>
      <c r="D2" s="130"/>
      <c r="E2" s="130"/>
      <c r="F2" s="130"/>
      <c r="G2" s="140"/>
      <c r="H2" s="140"/>
      <c r="I2" s="140"/>
      <c r="J2" s="137"/>
      <c r="K2" s="78" t="s">
        <v>10</v>
      </c>
      <c r="L2" s="78" t="s">
        <v>11</v>
      </c>
      <c r="M2" t="e" cm="1" vm="1">
        <f t="array" ref="M2">TRANSPOSE(_xlfn.UNIQUE(_xlfn._xlws.FILTER(Table4[Discipine Area],(Table4[Discipline No.]=C2)*(Table4[Discipline No.]=C2))))</f>
        <v>#VALUE!</v>
      </c>
      <c r="CP2" s="77"/>
    </row>
    <row r="3" spans="1:94" ht="22.5" customHeight="1" x14ac:dyDescent="0.25">
      <c r="A3" s="9"/>
      <c r="B3" s="111" t="s">
        <v>352</v>
      </c>
      <c r="C3" s="9"/>
      <c r="D3" s="73"/>
      <c r="E3" s="73"/>
      <c r="F3" s="74"/>
      <c r="G3" s="74"/>
      <c r="H3" s="74"/>
      <c r="I3" s="73"/>
      <c r="J3" s="3"/>
      <c r="K3" s="3"/>
      <c r="L3" s="3"/>
      <c r="M3" t="e" cm="1" vm="1">
        <f t="array" ref="M3">TRANSPOSE(_xlfn.UNIQUE(_xlfn._xlws.FILTER(Table4[Discipine Area],(Table4[Discipline No.]=C3)*(Table4[Discipline No.]=C3))))</f>
        <v>#VALUE!</v>
      </c>
    </row>
    <row r="4" spans="1:94" ht="26.25" customHeight="1" x14ac:dyDescent="0.25">
      <c r="A4" s="9"/>
      <c r="B4" s="115"/>
      <c r="C4" s="9">
        <v>9</v>
      </c>
      <c r="D4" s="73" t="s">
        <v>308</v>
      </c>
      <c r="E4" s="73" t="s">
        <v>298</v>
      </c>
      <c r="F4" s="74"/>
      <c r="G4" s="74" t="s">
        <v>432</v>
      </c>
      <c r="H4" s="74"/>
      <c r="I4" s="73"/>
      <c r="J4" s="3"/>
      <c r="K4" s="3"/>
      <c r="L4" s="3"/>
      <c r="M4" t="str" cm="1">
        <f t="array" ref="M4:P4">TRANSPOSE(_xlfn.UNIQUE(_xlfn._xlws.FILTER(Table4[Discipine Area],(Table4[Discipline No.]=C4)*(Table4[Discipline No.]=C4))))</f>
        <v>SPRAY PAINTING</v>
      </c>
      <c r="N4" t="str">
        <v>Solids</v>
      </c>
      <c r="O4" t="str">
        <v>Frame</v>
      </c>
      <c r="P4" t="str">
        <v>Vents</v>
      </c>
    </row>
    <row r="5" spans="1:94" x14ac:dyDescent="0.25">
      <c r="A5" s="9"/>
      <c r="B5" s="118"/>
      <c r="C5" s="9">
        <v>4</v>
      </c>
      <c r="D5" s="73" t="s">
        <v>308</v>
      </c>
      <c r="E5" s="73" t="s">
        <v>301</v>
      </c>
      <c r="F5" s="74"/>
      <c r="G5" s="74" t="s">
        <v>418</v>
      </c>
      <c r="H5" s="74"/>
      <c r="I5" s="73"/>
      <c r="J5" s="3"/>
      <c r="K5" s="3"/>
      <c r="L5" s="3"/>
      <c r="M5" t="str" cm="1">
        <f t="array" ref="M5:CH5">TRANSPOSE(_xlfn.UNIQUE(_xlfn._xlws.FILTER(Table4[Discipine Area],(Table4[Discipline No.]=C5)*(Table4[Discipline No.]=C5))))</f>
        <v>DECKFITTING</v>
      </c>
      <c r="N5" t="str">
        <v>Guard wires with stanchions, bases, port &amp; starboard side gates</v>
      </c>
      <c r="O5" t="str">
        <v>Guard wires across bow and stern</v>
      </c>
      <c r="P5" t="str">
        <v>Windlass, 10mm gypsy &amp; hand-held remote</v>
      </c>
      <c r="Q5" t="str">
        <v>Anchor bow roller fitting</v>
      </c>
      <c r="R5" t="str">
        <v>Anchor chain stopper</v>
      </c>
      <c r="S5" t="str">
        <v>Life raft locker with convertible fore/aft seat bolster</v>
      </c>
      <c r="T5" t="str">
        <v>Backrest s/s railing</v>
      </c>
      <c r="U5" t="str">
        <v>Sliding companionway door/window</v>
      </c>
      <c r="V5" t="str">
        <v>Sliding hatch over forward cockpit steps</v>
      </c>
      <c r="W5" t="str">
        <v>Hardtop over forward and aft cockpit complete with LED lighting</v>
      </c>
      <c r="X5" t="str">
        <v>Hardtop bimini over helm with supports and LED light</v>
      </c>
      <c r="Y5" t="str">
        <v>Hull windows</v>
      </c>
      <c r="Z5" t="str">
        <v>Folding swimming ladder c/w teak steps</v>
      </c>
      <c r="AA5" t="str">
        <v>Emergency ladder on port transom</v>
      </c>
      <c r="AB5" t="str">
        <v>Aft Cockpit table</v>
      </c>
      <c r="AC5" t="str">
        <v>Wetbar</v>
      </c>
      <c r="AD5" t="str">
        <v>Fold down Forward Cockpit table</v>
      </c>
      <c r="AE5" t="str">
        <v>Mainsheet system</v>
      </c>
      <c r="AF5" t="str">
        <v xml:space="preserve">Trampoline </v>
      </c>
      <c r="AG5" t="str">
        <v>Helm seat with upholstered backrest</v>
      </c>
      <c r="AH5" t="str">
        <v>Acrylic smoke grey tinted windows</v>
      </c>
      <c r="AI5" t="str">
        <v>Hardtop supports</v>
      </c>
      <c r="AJ5" t="str">
        <v>Flush Hatch over heads</v>
      </c>
      <c r="AK5" t="str">
        <v>Flush Hatch over cabins</v>
      </c>
      <c r="AL5" t="str">
        <v>Flush Hatch over port forepeak (includes mushroom cowl)</v>
      </c>
      <c r="AM5" t="str">
        <v>Portlight windscreen</v>
      </c>
      <c r="AN5" t="str">
        <v>chain plate</v>
      </c>
      <c r="AO5" t="str">
        <v>chafe plate</v>
      </c>
      <c r="AP5" t="str">
        <v>Portlight hull side</v>
      </c>
      <c r="AQ5" t="str">
        <v>Stbd hull side</v>
      </c>
      <c r="AR5" t="str">
        <v>Portlight  in transom</v>
      </c>
      <c r="AS5" t="str">
        <v>Anchor chain bin</v>
      </c>
      <c r="AT5" t="str">
        <v>Anchor/windlass locker</v>
      </c>
      <c r="AU5" t="str">
        <v>Foredeck/forward cockpit lockers</v>
      </c>
      <c r="AV5" t="str">
        <v>Forward access to foredeck c/w watertight Lewmar door</v>
      </c>
      <c r="AW5" t="str">
        <v>S/S cupholder</v>
      </c>
      <c r="AX5" t="str">
        <v>Pulpits with seats</v>
      </c>
      <c r="AY5" t="str">
        <v>Pushpits</v>
      </c>
      <c r="AZ5" t="str">
        <v>Coachroof handrails</v>
      </c>
      <c r="BA5" t="str">
        <v>Hardtop grab handles</v>
      </c>
      <c r="BB5" t="str">
        <v>Transom grab handles</v>
      </c>
      <c r="BC5" t="str">
        <v>Mooring cleats</v>
      </c>
      <c r="BD5" t="str">
        <v>Lewmar winch handles</v>
      </c>
      <c r="BE5" t="str">
        <v xml:space="preserve">Primary electric winches </v>
      </c>
      <c r="BF5" t="str">
        <v xml:space="preserve">Mainsheet winch </v>
      </c>
      <c r="BG5" t="str">
        <v>Lewmar genoa cars with pin stop</v>
      </c>
      <c r="BH5" t="str">
        <v>Lewmar genoa tracks</v>
      </c>
      <c r="BI5" t="str">
        <v>Halyard clutch at helm (mainsail)</v>
      </c>
      <c r="BJ5" t="str">
        <v>Halyard clutch at helm (gennaker)</v>
      </c>
      <c r="BK5" t="str">
        <v>Genoa sheet clutch at helm</v>
      </c>
      <c r="BL5" t="str">
        <v>Main sheet clutch at helm</v>
      </c>
      <c r="BM5" t="str">
        <v>Reef clutch at helm</v>
      </c>
      <c r="BN5" t="str">
        <v>Clutch and cleat on mast for genoa halyard</v>
      </c>
      <c r="BO5" t="str">
        <v>Furler clutch</v>
      </c>
      <c r="BP5" t="str">
        <v>Drinks holders - 2 in fwd cockpit and 1 at helm</v>
      </c>
      <c r="BQ5" t="str">
        <v>Rope bag at helm with integral winch handle pocket</v>
      </c>
      <c r="BR5" t="str">
        <v>Natural anodized mast</v>
      </c>
      <c r="BS5" t="str">
        <v>Natural anodized crossbeam c/w mooring cleats</v>
      </c>
      <c r="BT5" t="str">
        <v>Wind indicator</v>
      </c>
      <c r="BU5" t="str">
        <v>Genoa furler</v>
      </c>
      <c r="BV5" t="str">
        <v>Mainsail full battened c/w 2 rows reefs</v>
      </c>
      <c r="BW5" t="str">
        <v>Furling genoa</v>
      </c>
      <c r="BX5" t="str">
        <v>2 x Additional spare 12v wires in mast</v>
      </c>
      <c r="BY5" t="str">
        <v>Additional spare conduit with messenger in mast</v>
      </c>
      <c r="BZ5" t="str">
        <v xml:space="preserve">Main sheets </v>
      </c>
      <c r="CA5" t="str">
        <v>Genoa sheets</v>
      </c>
      <c r="CB5" t="str">
        <v>Halyards (main, genoa &amp; spare)</v>
      </c>
      <c r="CC5" t="str">
        <v>Engine Room</v>
      </c>
      <c r="CD5" t="str">
        <v>Single line reefs lead aft</v>
      </c>
      <c r="CE5" t="str">
        <v xml:space="preserve">BBQ </v>
      </c>
      <c r="CF5" t="str">
        <v>Step ladder</v>
      </c>
      <c r="CG5" t="str">
        <v>Pop up lights</v>
      </c>
      <c r="CH5" t="str">
        <v>Main boom topping lift</v>
      </c>
    </row>
    <row r="6" spans="1:94" x14ac:dyDescent="0.25">
      <c r="A6" s="9"/>
      <c r="B6" s="118"/>
      <c r="C6" s="9">
        <v>3</v>
      </c>
      <c r="D6" s="73" t="s">
        <v>308</v>
      </c>
      <c r="E6" s="73" t="s">
        <v>299</v>
      </c>
      <c r="F6" s="74"/>
      <c r="G6" s="74" t="s">
        <v>419</v>
      </c>
      <c r="H6" s="74"/>
      <c r="I6" s="73"/>
      <c r="J6" s="3"/>
      <c r="K6" s="3"/>
      <c r="L6" s="3"/>
    </row>
    <row r="7" spans="1:94" ht="30" x14ac:dyDescent="0.25">
      <c r="A7" s="9"/>
      <c r="B7" s="118"/>
      <c r="C7" s="9">
        <v>3</v>
      </c>
      <c r="D7" s="73" t="s">
        <v>308</v>
      </c>
      <c r="E7" s="73" t="s">
        <v>301</v>
      </c>
      <c r="F7" s="74"/>
      <c r="G7" s="74" t="s">
        <v>420</v>
      </c>
      <c r="H7" s="74"/>
      <c r="I7" s="73"/>
      <c r="J7" s="3"/>
      <c r="K7" s="3"/>
      <c r="L7" s="3"/>
      <c r="M7" t="str" cm="1">
        <f t="array" ref="M7:CD7">TRANSPOSE(_xlfn.UNIQUE(_xlfn._xlws.FILTER(Table4[Discipine Area],(Table4[Discipline No.]=C7)*(Table4[Discipline No.]=C7))))</f>
        <v>SALOON</v>
      </c>
      <c r="N7" t="str">
        <v>Companion door</v>
      </c>
      <c r="O7" t="str">
        <v>Fwd cockpit door</v>
      </c>
      <c r="P7" t="str">
        <v>Windows</v>
      </c>
      <c r="Q7" t="str">
        <v>U shape settee</v>
      </c>
      <c r="R7" t="str">
        <v>Saloon table</v>
      </c>
      <c r="S7" t="str">
        <v>Formica Bulkheads</v>
      </c>
      <c r="T7" t="str">
        <v>Magazine locker/shelf locker</v>
      </c>
      <c r="U7" t="str">
        <v>Vents</v>
      </c>
      <c r="V7" t="str">
        <v>Hullside vinyl panels</v>
      </c>
      <c r="W7" t="str">
        <v>Window blinds</v>
      </c>
      <c r="X7" t="str">
        <v>Nav desk</v>
      </c>
      <c r="Y7" t="str">
        <v>Chart table with storage locker under hinged lid</v>
      </c>
      <c r="Z7" t="str">
        <v>Storage locker under chart table</v>
      </c>
      <c r="AA7" t="str">
        <v xml:space="preserve">AC Outlets </v>
      </c>
      <c r="AB7" t="str">
        <v>Ottoman</v>
      </c>
      <c r="AC7" t="str">
        <v>Galley lockers</v>
      </c>
      <c r="AD7" t="str">
        <v>Stove locker</v>
      </c>
      <c r="AE7" t="str">
        <v>Draw locker</v>
      </c>
      <c r="AF7" t="str">
        <v>Fridge/Freezer locker</v>
      </c>
      <c r="AG7" t="str">
        <v>Microwave locker</v>
      </c>
      <c r="AH7" t="str">
        <v>Tv locker</v>
      </c>
      <c r="AI7" t="str">
        <v>AC/DC locker</v>
      </c>
      <c r="AJ7" t="str">
        <v>Vinyl ceiling</v>
      </c>
      <c r="AK7" t="str">
        <v>Floor</v>
      </c>
      <c r="AL7" t="str">
        <v>Large bowl s/s sink</v>
      </c>
      <c r="AM7" t="str">
        <v>Dish and cutlery drying recess with drainage</v>
      </c>
      <c r="AN7" t="str">
        <v>Cover for drying recess</v>
      </c>
      <c r="AO7" t="str">
        <v xml:space="preserve">Vitrifrigo 2 drawer front-opening fridge/freezer </v>
      </c>
      <c r="AP7" t="str">
        <v>Ice maker</v>
      </c>
      <c r="AQ7" t="str">
        <v>Wine cooler</v>
      </c>
      <c r="AR7" t="str">
        <v>Burner gas hob</v>
      </c>
      <c r="AS7" t="str">
        <v>Gas oven</v>
      </c>
      <c r="AT7" t="str">
        <v>Gas solenoid shut-off valve with control &amp; warning light at cooker</v>
      </c>
      <c r="AU7" t="str">
        <v xml:space="preserve">Formica steps </v>
      </c>
      <c r="AV7" t="str">
        <v>Gas detectors in each hull connected to alarm in saloon</v>
      </c>
      <c r="AW7" t="str">
        <v>Smoke detector/alarm</v>
      </c>
      <c r="AX7" t="str">
        <v>LED overhead lighting</v>
      </c>
      <c r="AY7" t="str">
        <v>CABIN/ STUDY/PASSAGE</v>
      </c>
      <c r="AZ7" t="str">
        <v>Inspection lids</v>
      </c>
      <c r="BA7" t="str">
        <v>Vinyl panels</v>
      </c>
      <c r="BB7" t="str">
        <v>Stairs</v>
      </c>
      <c r="BC7" t="str">
        <v>Bedside table outboard</v>
      </c>
      <c r="BD7" t="str">
        <v>Bedside cave locker inboard</v>
      </c>
      <c r="BE7" t="str">
        <v>Bunktop/Double berth</v>
      </c>
      <c r="BF7" t="str">
        <v>Hanging locker</v>
      </c>
      <c r="BG7" t="str">
        <v>Bunk Drawers</v>
      </c>
      <c r="BH7" t="str">
        <v>Cabin Door</v>
      </c>
      <c r="BI7" t="str">
        <v>Door frames</v>
      </c>
      <c r="BJ7" t="str">
        <v>Fiddles</v>
      </c>
      <c r="BK7" t="str">
        <v>Fan</v>
      </c>
      <c r="BL7" t="str">
        <v>Hatch</v>
      </c>
      <c r="BM7" t="str">
        <v>2 x LED reading lamps over bunk</v>
      </c>
      <c r="BN7" t="str">
        <v>Vanity table/desk with storage locker and mirror under lid</v>
      </c>
      <c r="BO7" t="str">
        <v>Fold up vanity mirror</v>
      </c>
      <c r="BP7" t="str">
        <v>Sliding entrance door with lock</v>
      </c>
      <c r="BQ7" t="str">
        <v>Doors</v>
      </c>
      <c r="BR7" t="str">
        <v>Large mirror behind sliding entrance door</v>
      </c>
      <c r="BS7" t="str">
        <v xml:space="preserve">HEADS </v>
      </c>
      <c r="BT7" t="str">
        <v>Under-basin locker with toilet roll holder</v>
      </c>
      <c r="BU7" t="str">
        <v>Vanity locker with mirror</v>
      </c>
      <c r="BV7" t="str">
        <v>Double towel rail</v>
      </c>
      <c r="BW7" t="str">
        <v>Sliding or hinged heads door</v>
      </c>
      <c r="BX7" t="str">
        <v>Washing machine locker</v>
      </c>
      <c r="BY7" t="str">
        <v>Dedicated trashcan locker</v>
      </c>
      <c r="BZ7" t="str">
        <v>Coat hook</v>
      </c>
      <c r="CA7" t="str">
        <v>Waste tank</v>
      </c>
      <c r="CB7" t="str">
        <v>Forepeak panel</v>
      </c>
      <c r="CC7" t="str">
        <v>Portlight with roller blind</v>
      </c>
      <c r="CD7" t="str">
        <v>Overhead roller blinds for privacy</v>
      </c>
    </row>
    <row r="8" spans="1:94" x14ac:dyDescent="0.25">
      <c r="A8" s="9"/>
      <c r="B8" s="118"/>
      <c r="C8" s="9">
        <v>3</v>
      </c>
      <c r="D8" s="73" t="s">
        <v>388</v>
      </c>
      <c r="E8" s="73" t="s">
        <v>298</v>
      </c>
      <c r="F8" s="74"/>
      <c r="G8" s="74" t="s">
        <v>421</v>
      </c>
      <c r="H8" s="74"/>
      <c r="I8" s="73"/>
      <c r="J8" s="3"/>
      <c r="K8" s="3"/>
      <c r="L8" s="3"/>
      <c r="M8" t="str" cm="1">
        <f t="array" ref="M8:CD8">TRANSPOSE(_xlfn.UNIQUE(_xlfn._xlws.FILTER(Table4[Discipine Area],(Table4[Discipline No.]=C8)*(Table4[Discipline No.]=C8))))</f>
        <v>SALOON</v>
      </c>
      <c r="N8" t="str">
        <v>Companion door</v>
      </c>
      <c r="O8" t="str">
        <v>Fwd cockpit door</v>
      </c>
      <c r="P8" t="str">
        <v>Windows</v>
      </c>
      <c r="Q8" t="str">
        <v>U shape settee</v>
      </c>
      <c r="R8" t="str">
        <v>Saloon table</v>
      </c>
      <c r="S8" t="str">
        <v>Formica Bulkheads</v>
      </c>
      <c r="T8" t="str">
        <v>Magazine locker/shelf locker</v>
      </c>
      <c r="U8" t="str">
        <v>Vents</v>
      </c>
      <c r="V8" t="str">
        <v>Hullside vinyl panels</v>
      </c>
      <c r="W8" t="str">
        <v>Window blinds</v>
      </c>
      <c r="X8" t="str">
        <v>Nav desk</v>
      </c>
      <c r="Y8" t="str">
        <v>Chart table with storage locker under hinged lid</v>
      </c>
      <c r="Z8" t="str">
        <v>Storage locker under chart table</v>
      </c>
      <c r="AA8" t="str">
        <v xml:space="preserve">AC Outlets </v>
      </c>
      <c r="AB8" t="str">
        <v>Ottoman</v>
      </c>
      <c r="AC8" t="str">
        <v>Galley lockers</v>
      </c>
      <c r="AD8" t="str">
        <v>Stove locker</v>
      </c>
      <c r="AE8" t="str">
        <v>Draw locker</v>
      </c>
      <c r="AF8" t="str">
        <v>Fridge/Freezer locker</v>
      </c>
      <c r="AG8" t="str">
        <v>Microwave locker</v>
      </c>
      <c r="AH8" t="str">
        <v>Tv locker</v>
      </c>
      <c r="AI8" t="str">
        <v>AC/DC locker</v>
      </c>
      <c r="AJ8" t="str">
        <v>Vinyl ceiling</v>
      </c>
      <c r="AK8" t="str">
        <v>Floor</v>
      </c>
      <c r="AL8" t="str">
        <v>Large bowl s/s sink</v>
      </c>
      <c r="AM8" t="str">
        <v>Dish and cutlery drying recess with drainage</v>
      </c>
      <c r="AN8" t="str">
        <v>Cover for drying recess</v>
      </c>
      <c r="AO8" t="str">
        <v xml:space="preserve">Vitrifrigo 2 drawer front-opening fridge/freezer </v>
      </c>
      <c r="AP8" t="str">
        <v>Ice maker</v>
      </c>
      <c r="AQ8" t="str">
        <v>Wine cooler</v>
      </c>
      <c r="AR8" t="str">
        <v>Burner gas hob</v>
      </c>
      <c r="AS8" t="str">
        <v>Gas oven</v>
      </c>
      <c r="AT8" t="str">
        <v>Gas solenoid shut-off valve with control &amp; warning light at cooker</v>
      </c>
      <c r="AU8" t="str">
        <v xml:space="preserve">Formica steps </v>
      </c>
      <c r="AV8" t="str">
        <v>Gas detectors in each hull connected to alarm in saloon</v>
      </c>
      <c r="AW8" t="str">
        <v>Smoke detector/alarm</v>
      </c>
      <c r="AX8" t="str">
        <v>LED overhead lighting</v>
      </c>
      <c r="AY8" t="str">
        <v>CABIN/ STUDY/PASSAGE</v>
      </c>
      <c r="AZ8" t="str">
        <v>Inspection lids</v>
      </c>
      <c r="BA8" t="str">
        <v>Vinyl panels</v>
      </c>
      <c r="BB8" t="str">
        <v>Stairs</v>
      </c>
      <c r="BC8" t="str">
        <v>Bedside table outboard</v>
      </c>
      <c r="BD8" t="str">
        <v>Bedside cave locker inboard</v>
      </c>
      <c r="BE8" t="str">
        <v>Bunktop/Double berth</v>
      </c>
      <c r="BF8" t="str">
        <v>Hanging locker</v>
      </c>
      <c r="BG8" t="str">
        <v>Bunk Drawers</v>
      </c>
      <c r="BH8" t="str">
        <v>Cabin Door</v>
      </c>
      <c r="BI8" t="str">
        <v>Door frames</v>
      </c>
      <c r="BJ8" t="str">
        <v>Fiddles</v>
      </c>
      <c r="BK8" t="str">
        <v>Fan</v>
      </c>
      <c r="BL8" t="str">
        <v>Hatch</v>
      </c>
      <c r="BM8" t="str">
        <v>2 x LED reading lamps over bunk</v>
      </c>
      <c r="BN8" t="str">
        <v>Vanity table/desk with storage locker and mirror under lid</v>
      </c>
      <c r="BO8" t="str">
        <v>Fold up vanity mirror</v>
      </c>
      <c r="BP8" t="str">
        <v>Sliding entrance door with lock</v>
      </c>
      <c r="BQ8" t="str">
        <v>Doors</v>
      </c>
      <c r="BR8" t="str">
        <v>Large mirror behind sliding entrance door</v>
      </c>
      <c r="BS8" t="str">
        <v xml:space="preserve">HEADS </v>
      </c>
      <c r="BT8" t="str">
        <v>Under-basin locker with toilet roll holder</v>
      </c>
      <c r="BU8" t="str">
        <v>Vanity locker with mirror</v>
      </c>
      <c r="BV8" t="str">
        <v>Double towel rail</v>
      </c>
      <c r="BW8" t="str">
        <v>Sliding or hinged heads door</v>
      </c>
      <c r="BX8" t="str">
        <v>Washing machine locker</v>
      </c>
      <c r="BY8" t="str">
        <v>Dedicated trashcan locker</v>
      </c>
      <c r="BZ8" t="str">
        <v>Coat hook</v>
      </c>
      <c r="CA8" t="str">
        <v>Waste tank</v>
      </c>
      <c r="CB8" t="str">
        <v>Forepeak panel</v>
      </c>
      <c r="CC8" t="str">
        <v>Portlight with roller blind</v>
      </c>
      <c r="CD8" t="str">
        <v>Overhead roller blinds for privacy</v>
      </c>
    </row>
    <row r="9" spans="1:94" x14ac:dyDescent="0.25">
      <c r="A9" s="9"/>
      <c r="B9" s="115"/>
      <c r="C9" s="9">
        <v>3</v>
      </c>
      <c r="D9" s="73" t="s">
        <v>388</v>
      </c>
      <c r="E9" s="73" t="s">
        <v>298</v>
      </c>
      <c r="F9" s="74"/>
      <c r="G9" s="74" t="s">
        <v>433</v>
      </c>
      <c r="H9" s="74"/>
      <c r="I9" s="73"/>
      <c r="J9" s="3"/>
      <c r="K9" s="3"/>
      <c r="L9" s="3"/>
      <c r="M9" t="str" cm="1">
        <f t="array" ref="M9:CD9">TRANSPOSE(_xlfn.UNIQUE(_xlfn._xlws.FILTER(Table4[Discipine Area],(Table4[Discipline No.]=C9)*(Table4[Discipline No.]=C9))))</f>
        <v>SALOON</v>
      </c>
      <c r="N9" t="str">
        <v>Companion door</v>
      </c>
      <c r="O9" t="str">
        <v>Fwd cockpit door</v>
      </c>
      <c r="P9" t="str">
        <v>Windows</v>
      </c>
      <c r="Q9" t="str">
        <v>U shape settee</v>
      </c>
      <c r="R9" t="str">
        <v>Saloon table</v>
      </c>
      <c r="S9" t="str">
        <v>Formica Bulkheads</v>
      </c>
      <c r="T9" t="str">
        <v>Magazine locker/shelf locker</v>
      </c>
      <c r="U9" t="str">
        <v>Vents</v>
      </c>
      <c r="V9" t="str">
        <v>Hullside vinyl panels</v>
      </c>
      <c r="W9" t="str">
        <v>Window blinds</v>
      </c>
      <c r="X9" t="str">
        <v>Nav desk</v>
      </c>
      <c r="Y9" t="str">
        <v>Chart table with storage locker under hinged lid</v>
      </c>
      <c r="Z9" t="str">
        <v>Storage locker under chart table</v>
      </c>
      <c r="AA9" t="str">
        <v xml:space="preserve">AC Outlets </v>
      </c>
      <c r="AB9" t="str">
        <v>Ottoman</v>
      </c>
      <c r="AC9" t="str">
        <v>Galley lockers</v>
      </c>
      <c r="AD9" t="str">
        <v>Stove locker</v>
      </c>
      <c r="AE9" t="str">
        <v>Draw locker</v>
      </c>
      <c r="AF9" t="str">
        <v>Fridge/Freezer locker</v>
      </c>
      <c r="AG9" t="str">
        <v>Microwave locker</v>
      </c>
      <c r="AH9" t="str">
        <v>Tv locker</v>
      </c>
      <c r="AI9" t="str">
        <v>AC/DC locker</v>
      </c>
      <c r="AJ9" t="str">
        <v>Vinyl ceiling</v>
      </c>
      <c r="AK9" t="str">
        <v>Floor</v>
      </c>
      <c r="AL9" t="str">
        <v>Large bowl s/s sink</v>
      </c>
      <c r="AM9" t="str">
        <v>Dish and cutlery drying recess with drainage</v>
      </c>
      <c r="AN9" t="str">
        <v>Cover for drying recess</v>
      </c>
      <c r="AO9" t="str">
        <v xml:space="preserve">Vitrifrigo 2 drawer front-opening fridge/freezer </v>
      </c>
      <c r="AP9" t="str">
        <v>Ice maker</v>
      </c>
      <c r="AQ9" t="str">
        <v>Wine cooler</v>
      </c>
      <c r="AR9" t="str">
        <v>Burner gas hob</v>
      </c>
      <c r="AS9" t="str">
        <v>Gas oven</v>
      </c>
      <c r="AT9" t="str">
        <v>Gas solenoid shut-off valve with control &amp; warning light at cooker</v>
      </c>
      <c r="AU9" t="str">
        <v xml:space="preserve">Formica steps </v>
      </c>
      <c r="AV9" t="str">
        <v>Gas detectors in each hull connected to alarm in saloon</v>
      </c>
      <c r="AW9" t="str">
        <v>Smoke detector/alarm</v>
      </c>
      <c r="AX9" t="str">
        <v>LED overhead lighting</v>
      </c>
      <c r="AY9" t="str">
        <v>CABIN/ STUDY/PASSAGE</v>
      </c>
      <c r="AZ9" t="str">
        <v>Inspection lids</v>
      </c>
      <c r="BA9" t="str">
        <v>Vinyl panels</v>
      </c>
      <c r="BB9" t="str">
        <v>Stairs</v>
      </c>
      <c r="BC9" t="str">
        <v>Bedside table outboard</v>
      </c>
      <c r="BD9" t="str">
        <v>Bedside cave locker inboard</v>
      </c>
      <c r="BE9" t="str">
        <v>Bunktop/Double berth</v>
      </c>
      <c r="BF9" t="str">
        <v>Hanging locker</v>
      </c>
      <c r="BG9" t="str">
        <v>Bunk Drawers</v>
      </c>
      <c r="BH9" t="str">
        <v>Cabin Door</v>
      </c>
      <c r="BI9" t="str">
        <v>Door frames</v>
      </c>
      <c r="BJ9" t="str">
        <v>Fiddles</v>
      </c>
      <c r="BK9" t="str">
        <v>Fan</v>
      </c>
      <c r="BL9" t="str">
        <v>Hatch</v>
      </c>
      <c r="BM9" t="str">
        <v>2 x LED reading lamps over bunk</v>
      </c>
      <c r="BN9" t="str">
        <v>Vanity table/desk with storage locker and mirror under lid</v>
      </c>
      <c r="BO9" t="str">
        <v>Fold up vanity mirror</v>
      </c>
      <c r="BP9" t="str">
        <v>Sliding entrance door with lock</v>
      </c>
      <c r="BQ9" t="str">
        <v>Doors</v>
      </c>
      <c r="BR9" t="str">
        <v>Large mirror behind sliding entrance door</v>
      </c>
      <c r="BS9" t="str">
        <v xml:space="preserve">HEADS </v>
      </c>
      <c r="BT9" t="str">
        <v>Under-basin locker with toilet roll holder</v>
      </c>
      <c r="BU9" t="str">
        <v>Vanity locker with mirror</v>
      </c>
      <c r="BV9" t="str">
        <v>Double towel rail</v>
      </c>
      <c r="BW9" t="str">
        <v>Sliding or hinged heads door</v>
      </c>
      <c r="BX9" t="str">
        <v>Washing machine locker</v>
      </c>
      <c r="BY9" t="str">
        <v>Dedicated trashcan locker</v>
      </c>
      <c r="BZ9" t="str">
        <v>Coat hook</v>
      </c>
      <c r="CA9" t="str">
        <v>Waste tank</v>
      </c>
      <c r="CB9" t="str">
        <v>Forepeak panel</v>
      </c>
      <c r="CC9" t="str">
        <v>Portlight with roller blind</v>
      </c>
      <c r="CD9" t="str">
        <v>Overhead roller blinds for privacy</v>
      </c>
    </row>
    <row r="10" spans="1:94" x14ac:dyDescent="0.25">
      <c r="A10" s="9"/>
      <c r="B10" s="118"/>
      <c r="C10" s="9">
        <v>3</v>
      </c>
      <c r="D10" s="73" t="s">
        <v>388</v>
      </c>
      <c r="E10" s="73" t="s">
        <v>298</v>
      </c>
      <c r="F10" s="74"/>
      <c r="G10" s="74" t="s">
        <v>434</v>
      </c>
      <c r="H10" s="74"/>
      <c r="I10" s="73"/>
      <c r="J10" s="3"/>
      <c r="K10" s="3"/>
      <c r="L10" s="3"/>
      <c r="M10" t="str" cm="1">
        <f t="array" ref="M10:CD10">TRANSPOSE(_xlfn.UNIQUE(_xlfn._xlws.FILTER(Table4[Discipine Area],(Table4[Discipline No.]=C10)*(Table4[Discipline No.]=C10))))</f>
        <v>SALOON</v>
      </c>
      <c r="N10" t="str">
        <v>Companion door</v>
      </c>
      <c r="O10" t="str">
        <v>Fwd cockpit door</v>
      </c>
      <c r="P10" t="str">
        <v>Windows</v>
      </c>
      <c r="Q10" t="str">
        <v>U shape settee</v>
      </c>
      <c r="R10" t="str">
        <v>Saloon table</v>
      </c>
      <c r="S10" t="str">
        <v>Formica Bulkheads</v>
      </c>
      <c r="T10" t="str">
        <v>Magazine locker/shelf locker</v>
      </c>
      <c r="U10" t="str">
        <v>Vents</v>
      </c>
      <c r="V10" t="str">
        <v>Hullside vinyl panels</v>
      </c>
      <c r="W10" t="str">
        <v>Window blinds</v>
      </c>
      <c r="X10" t="str">
        <v>Nav desk</v>
      </c>
      <c r="Y10" t="str">
        <v>Chart table with storage locker under hinged lid</v>
      </c>
      <c r="Z10" t="str">
        <v>Storage locker under chart table</v>
      </c>
      <c r="AA10" t="str">
        <v xml:space="preserve">AC Outlets </v>
      </c>
      <c r="AB10" t="str">
        <v>Ottoman</v>
      </c>
      <c r="AC10" t="str">
        <v>Galley lockers</v>
      </c>
      <c r="AD10" t="str">
        <v>Stove locker</v>
      </c>
      <c r="AE10" t="str">
        <v>Draw locker</v>
      </c>
      <c r="AF10" t="str">
        <v>Fridge/Freezer locker</v>
      </c>
      <c r="AG10" t="str">
        <v>Microwave locker</v>
      </c>
      <c r="AH10" t="str">
        <v>Tv locker</v>
      </c>
      <c r="AI10" t="str">
        <v>AC/DC locker</v>
      </c>
      <c r="AJ10" t="str">
        <v>Vinyl ceiling</v>
      </c>
      <c r="AK10" t="str">
        <v>Floor</v>
      </c>
      <c r="AL10" t="str">
        <v>Large bowl s/s sink</v>
      </c>
      <c r="AM10" t="str">
        <v>Dish and cutlery drying recess with drainage</v>
      </c>
      <c r="AN10" t="str">
        <v>Cover for drying recess</v>
      </c>
      <c r="AO10" t="str">
        <v xml:space="preserve">Vitrifrigo 2 drawer front-opening fridge/freezer </v>
      </c>
      <c r="AP10" t="str">
        <v>Ice maker</v>
      </c>
      <c r="AQ10" t="str">
        <v>Wine cooler</v>
      </c>
      <c r="AR10" t="str">
        <v>Burner gas hob</v>
      </c>
      <c r="AS10" t="str">
        <v>Gas oven</v>
      </c>
      <c r="AT10" t="str">
        <v>Gas solenoid shut-off valve with control &amp; warning light at cooker</v>
      </c>
      <c r="AU10" t="str">
        <v xml:space="preserve">Formica steps </v>
      </c>
      <c r="AV10" t="str">
        <v>Gas detectors in each hull connected to alarm in saloon</v>
      </c>
      <c r="AW10" t="str">
        <v>Smoke detector/alarm</v>
      </c>
      <c r="AX10" t="str">
        <v>LED overhead lighting</v>
      </c>
      <c r="AY10" t="str">
        <v>CABIN/ STUDY/PASSAGE</v>
      </c>
      <c r="AZ10" t="str">
        <v>Inspection lids</v>
      </c>
      <c r="BA10" t="str">
        <v>Vinyl panels</v>
      </c>
      <c r="BB10" t="str">
        <v>Stairs</v>
      </c>
      <c r="BC10" t="str">
        <v>Bedside table outboard</v>
      </c>
      <c r="BD10" t="str">
        <v>Bedside cave locker inboard</v>
      </c>
      <c r="BE10" t="str">
        <v>Bunktop/Double berth</v>
      </c>
      <c r="BF10" t="str">
        <v>Hanging locker</v>
      </c>
      <c r="BG10" t="str">
        <v>Bunk Drawers</v>
      </c>
      <c r="BH10" t="str">
        <v>Cabin Door</v>
      </c>
      <c r="BI10" t="str">
        <v>Door frames</v>
      </c>
      <c r="BJ10" t="str">
        <v>Fiddles</v>
      </c>
      <c r="BK10" t="str">
        <v>Fan</v>
      </c>
      <c r="BL10" t="str">
        <v>Hatch</v>
      </c>
      <c r="BM10" t="str">
        <v>2 x LED reading lamps over bunk</v>
      </c>
      <c r="BN10" t="str">
        <v>Vanity table/desk with storage locker and mirror under lid</v>
      </c>
      <c r="BO10" t="str">
        <v>Fold up vanity mirror</v>
      </c>
      <c r="BP10" t="str">
        <v>Sliding entrance door with lock</v>
      </c>
      <c r="BQ10" t="str">
        <v>Doors</v>
      </c>
      <c r="BR10" t="str">
        <v>Large mirror behind sliding entrance door</v>
      </c>
      <c r="BS10" t="str">
        <v xml:space="preserve">HEADS </v>
      </c>
      <c r="BT10" t="str">
        <v>Under-basin locker with toilet roll holder</v>
      </c>
      <c r="BU10" t="str">
        <v>Vanity locker with mirror</v>
      </c>
      <c r="BV10" t="str">
        <v>Double towel rail</v>
      </c>
      <c r="BW10" t="str">
        <v>Sliding or hinged heads door</v>
      </c>
      <c r="BX10" t="str">
        <v>Washing machine locker</v>
      </c>
      <c r="BY10" t="str">
        <v>Dedicated trashcan locker</v>
      </c>
      <c r="BZ10" t="str">
        <v>Coat hook</v>
      </c>
      <c r="CA10" t="str">
        <v>Waste tank</v>
      </c>
      <c r="CB10" t="str">
        <v>Forepeak panel</v>
      </c>
      <c r="CC10" t="str">
        <v>Portlight with roller blind</v>
      </c>
      <c r="CD10" t="str">
        <v>Overhead roller blinds for privacy</v>
      </c>
    </row>
    <row r="11" spans="1:94" x14ac:dyDescent="0.25">
      <c r="A11" s="9"/>
      <c r="B11" s="118"/>
      <c r="C11" s="76">
        <v>3</v>
      </c>
      <c r="D11" s="3" t="s">
        <v>388</v>
      </c>
      <c r="E11" s="3" t="s">
        <v>301</v>
      </c>
      <c r="F11" s="74"/>
      <c r="G11" s="75" t="s">
        <v>422</v>
      </c>
      <c r="H11" s="74"/>
      <c r="I11" s="73"/>
      <c r="J11" s="3"/>
      <c r="K11" s="3"/>
      <c r="L11" s="3"/>
      <c r="M11" t="str" cm="1">
        <f t="array" ref="M11:CD11">TRANSPOSE(_xlfn.UNIQUE(_xlfn._xlws.FILTER(Table4[Discipine Area],(Table4[Discipline No.]=C11)*(Table4[Discipline No.]=C11))))</f>
        <v>SALOON</v>
      </c>
      <c r="N11" t="str">
        <v>Companion door</v>
      </c>
      <c r="O11" t="str">
        <v>Fwd cockpit door</v>
      </c>
      <c r="P11" t="str">
        <v>Windows</v>
      </c>
      <c r="Q11" t="str">
        <v>U shape settee</v>
      </c>
      <c r="R11" t="str">
        <v>Saloon table</v>
      </c>
      <c r="S11" t="str">
        <v>Formica Bulkheads</v>
      </c>
      <c r="T11" t="str">
        <v>Magazine locker/shelf locker</v>
      </c>
      <c r="U11" t="str">
        <v>Vents</v>
      </c>
      <c r="V11" t="str">
        <v>Hullside vinyl panels</v>
      </c>
      <c r="W11" t="str">
        <v>Window blinds</v>
      </c>
      <c r="X11" t="str">
        <v>Nav desk</v>
      </c>
      <c r="Y11" t="str">
        <v>Chart table with storage locker under hinged lid</v>
      </c>
      <c r="Z11" t="str">
        <v>Storage locker under chart table</v>
      </c>
      <c r="AA11" t="str">
        <v xml:space="preserve">AC Outlets </v>
      </c>
      <c r="AB11" t="str">
        <v>Ottoman</v>
      </c>
      <c r="AC11" t="str">
        <v>Galley lockers</v>
      </c>
      <c r="AD11" t="str">
        <v>Stove locker</v>
      </c>
      <c r="AE11" t="str">
        <v>Draw locker</v>
      </c>
      <c r="AF11" t="str">
        <v>Fridge/Freezer locker</v>
      </c>
      <c r="AG11" t="str">
        <v>Microwave locker</v>
      </c>
      <c r="AH11" t="str">
        <v>Tv locker</v>
      </c>
      <c r="AI11" t="str">
        <v>AC/DC locker</v>
      </c>
      <c r="AJ11" t="str">
        <v>Vinyl ceiling</v>
      </c>
      <c r="AK11" t="str">
        <v>Floor</v>
      </c>
      <c r="AL11" t="str">
        <v>Large bowl s/s sink</v>
      </c>
      <c r="AM11" t="str">
        <v>Dish and cutlery drying recess with drainage</v>
      </c>
      <c r="AN11" t="str">
        <v>Cover for drying recess</v>
      </c>
      <c r="AO11" t="str">
        <v xml:space="preserve">Vitrifrigo 2 drawer front-opening fridge/freezer </v>
      </c>
      <c r="AP11" t="str">
        <v>Ice maker</v>
      </c>
      <c r="AQ11" t="str">
        <v>Wine cooler</v>
      </c>
      <c r="AR11" t="str">
        <v>Burner gas hob</v>
      </c>
      <c r="AS11" t="str">
        <v>Gas oven</v>
      </c>
      <c r="AT11" t="str">
        <v>Gas solenoid shut-off valve with control &amp; warning light at cooker</v>
      </c>
      <c r="AU11" t="str">
        <v xml:space="preserve">Formica steps </v>
      </c>
      <c r="AV11" t="str">
        <v>Gas detectors in each hull connected to alarm in saloon</v>
      </c>
      <c r="AW11" t="str">
        <v>Smoke detector/alarm</v>
      </c>
      <c r="AX11" t="str">
        <v>LED overhead lighting</v>
      </c>
      <c r="AY11" t="str">
        <v>CABIN/ STUDY/PASSAGE</v>
      </c>
      <c r="AZ11" t="str">
        <v>Inspection lids</v>
      </c>
      <c r="BA11" t="str">
        <v>Vinyl panels</v>
      </c>
      <c r="BB11" t="str">
        <v>Stairs</v>
      </c>
      <c r="BC11" t="str">
        <v>Bedside table outboard</v>
      </c>
      <c r="BD11" t="str">
        <v>Bedside cave locker inboard</v>
      </c>
      <c r="BE11" t="str">
        <v>Bunktop/Double berth</v>
      </c>
      <c r="BF11" t="str">
        <v>Hanging locker</v>
      </c>
      <c r="BG11" t="str">
        <v>Bunk Drawers</v>
      </c>
      <c r="BH11" t="str">
        <v>Cabin Door</v>
      </c>
      <c r="BI11" t="str">
        <v>Door frames</v>
      </c>
      <c r="BJ11" t="str">
        <v>Fiddles</v>
      </c>
      <c r="BK11" t="str">
        <v>Fan</v>
      </c>
      <c r="BL11" t="str">
        <v>Hatch</v>
      </c>
      <c r="BM11" t="str">
        <v>2 x LED reading lamps over bunk</v>
      </c>
      <c r="BN11" t="str">
        <v>Vanity table/desk with storage locker and mirror under lid</v>
      </c>
      <c r="BO11" t="str">
        <v>Fold up vanity mirror</v>
      </c>
      <c r="BP11" t="str">
        <v>Sliding entrance door with lock</v>
      </c>
      <c r="BQ11" t="str">
        <v>Doors</v>
      </c>
      <c r="BR11" t="str">
        <v>Large mirror behind sliding entrance door</v>
      </c>
      <c r="BS11" t="str">
        <v xml:space="preserve">HEADS </v>
      </c>
      <c r="BT11" t="str">
        <v>Under-basin locker with toilet roll holder</v>
      </c>
      <c r="BU11" t="str">
        <v>Vanity locker with mirror</v>
      </c>
      <c r="BV11" t="str">
        <v>Double towel rail</v>
      </c>
      <c r="BW11" t="str">
        <v>Sliding or hinged heads door</v>
      </c>
      <c r="BX11" t="str">
        <v>Washing machine locker</v>
      </c>
      <c r="BY11" t="str">
        <v>Dedicated trashcan locker</v>
      </c>
      <c r="BZ11" t="str">
        <v>Coat hook</v>
      </c>
      <c r="CA11" t="str">
        <v>Waste tank</v>
      </c>
      <c r="CB11" t="str">
        <v>Forepeak panel</v>
      </c>
      <c r="CC11" t="str">
        <v>Portlight with roller blind</v>
      </c>
      <c r="CD11" t="str">
        <v>Overhead roller blinds for privacy</v>
      </c>
    </row>
    <row r="12" spans="1:94" ht="30" x14ac:dyDescent="0.25">
      <c r="A12" s="9"/>
      <c r="B12" s="115"/>
      <c r="C12" s="9">
        <v>3</v>
      </c>
      <c r="D12" s="73" t="s">
        <v>262</v>
      </c>
      <c r="E12" s="73" t="s">
        <v>215</v>
      </c>
      <c r="F12" s="74"/>
      <c r="G12" s="81" t="s">
        <v>423</v>
      </c>
      <c r="H12" s="73"/>
      <c r="I12" s="73"/>
      <c r="J12" s="3"/>
      <c r="K12" s="3"/>
      <c r="L12" s="3"/>
      <c r="M12" t="str" cm="1">
        <f t="array" ref="M12:CD12">TRANSPOSE(_xlfn.UNIQUE(_xlfn._xlws.FILTER(Table4[Discipine Area],(Table4[Discipline No.]=C12)*(Table4[Discipline No.]=C12))))</f>
        <v>SALOON</v>
      </c>
      <c r="N12" t="str">
        <v>Companion door</v>
      </c>
      <c r="O12" t="str">
        <v>Fwd cockpit door</v>
      </c>
      <c r="P12" t="str">
        <v>Windows</v>
      </c>
      <c r="Q12" t="str">
        <v>U shape settee</v>
      </c>
      <c r="R12" t="str">
        <v>Saloon table</v>
      </c>
      <c r="S12" t="str">
        <v>Formica Bulkheads</v>
      </c>
      <c r="T12" t="str">
        <v>Magazine locker/shelf locker</v>
      </c>
      <c r="U12" t="str">
        <v>Vents</v>
      </c>
      <c r="V12" t="str">
        <v>Hullside vinyl panels</v>
      </c>
      <c r="W12" t="str">
        <v>Window blinds</v>
      </c>
      <c r="X12" t="str">
        <v>Nav desk</v>
      </c>
      <c r="Y12" t="str">
        <v>Chart table with storage locker under hinged lid</v>
      </c>
      <c r="Z12" t="str">
        <v>Storage locker under chart table</v>
      </c>
      <c r="AA12" t="str">
        <v xml:space="preserve">AC Outlets </v>
      </c>
      <c r="AB12" t="str">
        <v>Ottoman</v>
      </c>
      <c r="AC12" t="str">
        <v>Galley lockers</v>
      </c>
      <c r="AD12" t="str">
        <v>Stove locker</v>
      </c>
      <c r="AE12" t="str">
        <v>Draw locker</v>
      </c>
      <c r="AF12" t="str">
        <v>Fridge/Freezer locker</v>
      </c>
      <c r="AG12" t="str">
        <v>Microwave locker</v>
      </c>
      <c r="AH12" t="str">
        <v>Tv locker</v>
      </c>
      <c r="AI12" t="str">
        <v>AC/DC locker</v>
      </c>
      <c r="AJ12" t="str">
        <v>Vinyl ceiling</v>
      </c>
      <c r="AK12" t="str">
        <v>Floor</v>
      </c>
      <c r="AL12" t="str">
        <v>Large bowl s/s sink</v>
      </c>
      <c r="AM12" t="str">
        <v>Dish and cutlery drying recess with drainage</v>
      </c>
      <c r="AN12" t="str">
        <v>Cover for drying recess</v>
      </c>
      <c r="AO12" t="str">
        <v xml:space="preserve">Vitrifrigo 2 drawer front-opening fridge/freezer </v>
      </c>
      <c r="AP12" t="str">
        <v>Ice maker</v>
      </c>
      <c r="AQ12" t="str">
        <v>Wine cooler</v>
      </c>
      <c r="AR12" t="str">
        <v>Burner gas hob</v>
      </c>
      <c r="AS12" t="str">
        <v>Gas oven</v>
      </c>
      <c r="AT12" t="str">
        <v>Gas solenoid shut-off valve with control &amp; warning light at cooker</v>
      </c>
      <c r="AU12" t="str">
        <v xml:space="preserve">Formica steps </v>
      </c>
      <c r="AV12" t="str">
        <v>Gas detectors in each hull connected to alarm in saloon</v>
      </c>
      <c r="AW12" t="str">
        <v>Smoke detector/alarm</v>
      </c>
      <c r="AX12" t="str">
        <v>LED overhead lighting</v>
      </c>
      <c r="AY12" t="str">
        <v>CABIN/ STUDY/PASSAGE</v>
      </c>
      <c r="AZ12" t="str">
        <v>Inspection lids</v>
      </c>
      <c r="BA12" t="str">
        <v>Vinyl panels</v>
      </c>
      <c r="BB12" t="str">
        <v>Stairs</v>
      </c>
      <c r="BC12" t="str">
        <v>Bedside table outboard</v>
      </c>
      <c r="BD12" t="str">
        <v>Bedside cave locker inboard</v>
      </c>
      <c r="BE12" t="str">
        <v>Bunktop/Double berth</v>
      </c>
      <c r="BF12" t="str">
        <v>Hanging locker</v>
      </c>
      <c r="BG12" t="str">
        <v>Bunk Drawers</v>
      </c>
      <c r="BH12" t="str">
        <v>Cabin Door</v>
      </c>
      <c r="BI12" t="str">
        <v>Door frames</v>
      </c>
      <c r="BJ12" t="str">
        <v>Fiddles</v>
      </c>
      <c r="BK12" t="str">
        <v>Fan</v>
      </c>
      <c r="BL12" t="str">
        <v>Hatch</v>
      </c>
      <c r="BM12" t="str">
        <v>2 x LED reading lamps over bunk</v>
      </c>
      <c r="BN12" t="str">
        <v>Vanity table/desk with storage locker and mirror under lid</v>
      </c>
      <c r="BO12" t="str">
        <v>Fold up vanity mirror</v>
      </c>
      <c r="BP12" t="str">
        <v>Sliding entrance door with lock</v>
      </c>
      <c r="BQ12" t="str">
        <v>Doors</v>
      </c>
      <c r="BR12" t="str">
        <v>Large mirror behind sliding entrance door</v>
      </c>
      <c r="BS12" t="str">
        <v xml:space="preserve">HEADS </v>
      </c>
      <c r="BT12" t="str">
        <v>Under-basin locker with toilet roll holder</v>
      </c>
      <c r="BU12" t="str">
        <v>Vanity locker with mirror</v>
      </c>
      <c r="BV12" t="str">
        <v>Double towel rail</v>
      </c>
      <c r="BW12" t="str">
        <v>Sliding or hinged heads door</v>
      </c>
      <c r="BX12" t="str">
        <v>Washing machine locker</v>
      </c>
      <c r="BY12" t="str">
        <v>Dedicated trashcan locker</v>
      </c>
      <c r="BZ12" t="str">
        <v>Coat hook</v>
      </c>
      <c r="CA12" t="str">
        <v>Waste tank</v>
      </c>
      <c r="CB12" t="str">
        <v>Forepeak panel</v>
      </c>
      <c r="CC12" t="str">
        <v>Portlight with roller blind</v>
      </c>
      <c r="CD12" t="str">
        <v>Overhead roller blinds for privacy</v>
      </c>
    </row>
    <row r="13" spans="1:94" ht="30" x14ac:dyDescent="0.25">
      <c r="A13" s="9"/>
      <c r="B13" s="118"/>
      <c r="C13" s="9">
        <v>1</v>
      </c>
      <c r="D13" s="73" t="s">
        <v>283</v>
      </c>
      <c r="E13" s="73" t="s">
        <v>222</v>
      </c>
      <c r="F13" s="74"/>
      <c r="G13" s="74" t="s">
        <v>435</v>
      </c>
      <c r="H13" s="73"/>
      <c r="I13" s="73"/>
      <c r="J13" s="3"/>
      <c r="K13" s="3"/>
      <c r="L13" s="3"/>
    </row>
    <row r="14" spans="1:94" x14ac:dyDescent="0.25">
      <c r="A14" s="126"/>
      <c r="B14" s="115"/>
      <c r="C14" s="9">
        <v>10</v>
      </c>
      <c r="D14" s="73" t="s">
        <v>309</v>
      </c>
      <c r="E14" s="73" t="s">
        <v>217</v>
      </c>
      <c r="F14" s="74"/>
      <c r="G14" s="74" t="s">
        <v>451</v>
      </c>
      <c r="H14" s="73"/>
      <c r="I14" s="73"/>
      <c r="J14" s="3"/>
      <c r="K14" s="3"/>
      <c r="L14" s="3"/>
      <c r="M14" t="str" cm="1">
        <f t="array" ref="M14:U14">TRANSPOSE(_xlfn.UNIQUE(_xlfn._xlws.FILTER(Table4[Discipine Area],(Table4[Discipline No.]=C14)*(Table4[Discipline No.]=C14))))</f>
        <v>CLEANING</v>
      </c>
      <c r="N14" t="str">
        <v>Formica</v>
      </c>
      <c r="O14" t="str">
        <v>GRP</v>
      </c>
      <c r="P14" t="str">
        <v>Vinyl</v>
      </c>
      <c r="Q14" t="str">
        <v>Stainlesteel</v>
      </c>
      <c r="R14" t="str">
        <v>Stickers/tape/residue</v>
      </c>
      <c r="S14" t="str">
        <v>Bilges</v>
      </c>
      <c r="T14" t="str">
        <v>Lockers</v>
      </c>
      <c r="U14" t="str">
        <v>Perspex</v>
      </c>
    </row>
    <row r="15" spans="1:94" ht="30" x14ac:dyDescent="0.25">
      <c r="A15" s="126"/>
      <c r="B15" s="118"/>
      <c r="C15" s="9">
        <v>10</v>
      </c>
      <c r="D15" s="73" t="s">
        <v>283</v>
      </c>
      <c r="E15" s="73" t="s">
        <v>217</v>
      </c>
      <c r="F15" s="74"/>
      <c r="G15" s="74" t="s">
        <v>424</v>
      </c>
      <c r="H15" s="73"/>
      <c r="I15" s="73"/>
      <c r="J15" s="3"/>
      <c r="K15" s="3"/>
      <c r="L15" s="3"/>
    </row>
    <row r="16" spans="1:94" ht="30" x14ac:dyDescent="0.25">
      <c r="A16" s="126"/>
      <c r="B16" s="115"/>
      <c r="C16" s="9">
        <v>10</v>
      </c>
      <c r="D16" s="73" t="s">
        <v>314</v>
      </c>
      <c r="E16" s="73" t="s">
        <v>217</v>
      </c>
      <c r="F16" s="74"/>
      <c r="G16" s="74" t="s">
        <v>436</v>
      </c>
      <c r="H16" s="73"/>
      <c r="I16" s="73"/>
      <c r="J16" s="3"/>
      <c r="K16" s="3"/>
      <c r="L16" s="3"/>
    </row>
    <row r="17" spans="1:86" x14ac:dyDescent="0.25">
      <c r="A17" s="9"/>
      <c r="B17" s="115"/>
      <c r="C17" s="9">
        <v>1</v>
      </c>
      <c r="D17" s="73" t="s">
        <v>20</v>
      </c>
      <c r="E17" s="73" t="s">
        <v>296</v>
      </c>
      <c r="F17" s="74"/>
      <c r="G17" s="74" t="s">
        <v>425</v>
      </c>
      <c r="H17" s="73"/>
      <c r="I17" s="73"/>
      <c r="J17" s="3"/>
      <c r="K17" s="3"/>
      <c r="L17" s="3"/>
    </row>
    <row r="18" spans="1:86" ht="17.25" customHeight="1" x14ac:dyDescent="0.25">
      <c r="A18" s="9"/>
      <c r="B18" s="118"/>
      <c r="C18" s="9">
        <v>1</v>
      </c>
      <c r="D18" s="74" t="s">
        <v>20</v>
      </c>
      <c r="E18" s="73" t="s">
        <v>296</v>
      </c>
      <c r="F18" s="74"/>
      <c r="G18" s="81" t="s">
        <v>426</v>
      </c>
      <c r="H18" s="73"/>
      <c r="I18" s="73"/>
      <c r="J18" s="3"/>
      <c r="K18" s="3"/>
      <c r="L18" s="3"/>
    </row>
    <row r="19" spans="1:86" ht="30" x14ac:dyDescent="0.25">
      <c r="A19" s="9"/>
      <c r="B19" s="115"/>
      <c r="C19" s="9">
        <v>3</v>
      </c>
      <c r="D19" s="74" t="s">
        <v>316</v>
      </c>
      <c r="E19" s="73" t="s">
        <v>437</v>
      </c>
      <c r="F19" s="74"/>
      <c r="G19" s="74" t="s">
        <v>438</v>
      </c>
      <c r="H19" s="73"/>
      <c r="I19" s="73"/>
      <c r="J19" s="3"/>
      <c r="K19" s="3"/>
      <c r="L19" s="3"/>
    </row>
    <row r="20" spans="1:86" x14ac:dyDescent="0.25">
      <c r="A20" s="9"/>
      <c r="B20" s="118"/>
      <c r="C20" s="9">
        <v>4</v>
      </c>
      <c r="D20" s="74" t="s">
        <v>439</v>
      </c>
      <c r="E20" s="73" t="s">
        <v>298</v>
      </c>
      <c r="F20" s="74"/>
      <c r="G20" s="74" t="s">
        <v>427</v>
      </c>
      <c r="H20" s="73"/>
      <c r="I20" s="73"/>
      <c r="J20" s="3"/>
      <c r="K20" s="3"/>
      <c r="L20" s="3"/>
    </row>
    <row r="21" spans="1:86" x14ac:dyDescent="0.25">
      <c r="A21" s="126"/>
      <c r="B21" s="115"/>
      <c r="C21" s="9">
        <v>10</v>
      </c>
      <c r="D21" s="74" t="s">
        <v>316</v>
      </c>
      <c r="E21" s="73" t="s">
        <v>217</v>
      </c>
      <c r="F21" s="74"/>
      <c r="G21" s="74" t="s">
        <v>428</v>
      </c>
      <c r="H21" s="73"/>
      <c r="I21" s="73"/>
      <c r="J21" s="3"/>
      <c r="K21" s="3"/>
      <c r="L21" s="3"/>
    </row>
    <row r="22" spans="1:86" ht="30" x14ac:dyDescent="0.25">
      <c r="A22" s="9"/>
      <c r="B22" s="115"/>
      <c r="C22" s="9">
        <v>3</v>
      </c>
      <c r="D22" s="73" t="s">
        <v>310</v>
      </c>
      <c r="E22" s="73" t="s">
        <v>300</v>
      </c>
      <c r="F22" s="74"/>
      <c r="G22" s="74" t="s">
        <v>429</v>
      </c>
      <c r="H22" s="73"/>
      <c r="I22" s="73"/>
      <c r="J22" s="3"/>
      <c r="K22" s="3"/>
      <c r="L22" s="3"/>
    </row>
    <row r="23" spans="1:86" x14ac:dyDescent="0.25">
      <c r="A23" s="9"/>
      <c r="B23" s="115"/>
      <c r="C23" s="9">
        <v>3</v>
      </c>
      <c r="D23" s="73" t="s">
        <v>12</v>
      </c>
      <c r="E23" s="73" t="s">
        <v>215</v>
      </c>
      <c r="F23" s="74"/>
      <c r="G23" s="74" t="s">
        <v>449</v>
      </c>
      <c r="H23" s="73"/>
      <c r="I23" s="73"/>
      <c r="J23" s="3"/>
      <c r="K23" s="3"/>
      <c r="L23" s="3"/>
    </row>
    <row r="24" spans="1:86" ht="29.25" customHeight="1" x14ac:dyDescent="0.25">
      <c r="A24" s="126"/>
      <c r="B24" s="115"/>
      <c r="C24" s="9">
        <v>3</v>
      </c>
      <c r="D24" s="73" t="s">
        <v>450</v>
      </c>
      <c r="E24" s="73" t="s">
        <v>299</v>
      </c>
      <c r="F24" s="74"/>
      <c r="G24" s="74" t="s">
        <v>445</v>
      </c>
      <c r="H24" s="73"/>
      <c r="I24" s="73"/>
      <c r="J24" s="3"/>
      <c r="K24" s="3"/>
      <c r="L24" s="3"/>
    </row>
    <row r="25" spans="1:86" ht="30" x14ac:dyDescent="0.25">
      <c r="A25" s="76"/>
      <c r="B25" s="115"/>
      <c r="C25" s="9">
        <v>4</v>
      </c>
      <c r="D25" s="73" t="s">
        <v>308</v>
      </c>
      <c r="E25" s="73" t="s">
        <v>300</v>
      </c>
      <c r="F25" s="74"/>
      <c r="G25" s="74" t="s">
        <v>459</v>
      </c>
      <c r="H25" s="73"/>
      <c r="I25" s="3"/>
      <c r="J25" s="3"/>
      <c r="K25" s="3"/>
      <c r="L25" s="3"/>
      <c r="M25" t="str" cm="1">
        <f t="array" ref="M25:CH25">TRANSPOSE(_xlfn.UNIQUE(_xlfn._xlws.FILTER(Table4[Discipine Area],(Table4[Discipline No.]=C25)*(Table4[Discipline No.]=C25))))</f>
        <v>DECKFITTING</v>
      </c>
      <c r="N25" t="str">
        <v>Guard wires with stanchions, bases, port &amp; starboard side gates</v>
      </c>
      <c r="O25" t="str">
        <v>Guard wires across bow and stern</v>
      </c>
      <c r="P25" t="str">
        <v>Windlass, 10mm gypsy &amp; hand-held remote</v>
      </c>
      <c r="Q25" t="str">
        <v>Anchor bow roller fitting</v>
      </c>
      <c r="R25" t="str">
        <v>Anchor chain stopper</v>
      </c>
      <c r="S25" t="str">
        <v>Life raft locker with convertible fore/aft seat bolster</v>
      </c>
      <c r="T25" t="str">
        <v>Backrest s/s railing</v>
      </c>
      <c r="U25" t="str">
        <v>Sliding companionway door/window</v>
      </c>
      <c r="V25" t="str">
        <v>Sliding hatch over forward cockpit steps</v>
      </c>
      <c r="W25" t="str">
        <v>Hardtop over forward and aft cockpit complete with LED lighting</v>
      </c>
      <c r="X25" t="str">
        <v>Hardtop bimini over helm with supports and LED light</v>
      </c>
      <c r="Y25" t="str">
        <v>Hull windows</v>
      </c>
      <c r="Z25" t="str">
        <v>Folding swimming ladder c/w teak steps</v>
      </c>
      <c r="AA25" t="str">
        <v>Emergency ladder on port transom</v>
      </c>
      <c r="AB25" t="str">
        <v>Aft Cockpit table</v>
      </c>
      <c r="AC25" t="str">
        <v>Wetbar</v>
      </c>
      <c r="AD25" t="str">
        <v>Fold down Forward Cockpit table</v>
      </c>
      <c r="AE25" t="str">
        <v>Mainsheet system</v>
      </c>
      <c r="AF25" t="str">
        <v xml:space="preserve">Trampoline </v>
      </c>
      <c r="AG25" t="str">
        <v>Helm seat with upholstered backrest</v>
      </c>
      <c r="AH25" t="str">
        <v>Acrylic smoke grey tinted windows</v>
      </c>
      <c r="AI25" t="str">
        <v>Hardtop supports</v>
      </c>
      <c r="AJ25" t="str">
        <v>Flush Hatch over heads</v>
      </c>
      <c r="AK25" t="str">
        <v>Flush Hatch over cabins</v>
      </c>
      <c r="AL25" t="str">
        <v>Flush Hatch over port forepeak (includes mushroom cowl)</v>
      </c>
      <c r="AM25" t="str">
        <v>Portlight windscreen</v>
      </c>
      <c r="AN25" t="str">
        <v>chain plate</v>
      </c>
      <c r="AO25" t="str">
        <v>chafe plate</v>
      </c>
      <c r="AP25" t="str">
        <v>Portlight hull side</v>
      </c>
      <c r="AQ25" t="str">
        <v>Stbd hull side</v>
      </c>
      <c r="AR25" t="str">
        <v>Portlight  in transom</v>
      </c>
      <c r="AS25" t="str">
        <v>Anchor chain bin</v>
      </c>
      <c r="AT25" t="str">
        <v>Anchor/windlass locker</v>
      </c>
      <c r="AU25" t="str">
        <v>Foredeck/forward cockpit lockers</v>
      </c>
      <c r="AV25" t="str">
        <v>Forward access to foredeck c/w watertight Lewmar door</v>
      </c>
      <c r="AW25" t="str">
        <v>S/S cupholder</v>
      </c>
      <c r="AX25" t="str">
        <v>Pulpits with seats</v>
      </c>
      <c r="AY25" t="str">
        <v>Pushpits</v>
      </c>
      <c r="AZ25" t="str">
        <v>Coachroof handrails</v>
      </c>
      <c r="BA25" t="str">
        <v>Hardtop grab handles</v>
      </c>
      <c r="BB25" t="str">
        <v>Transom grab handles</v>
      </c>
      <c r="BC25" t="str">
        <v>Mooring cleats</v>
      </c>
      <c r="BD25" t="str">
        <v>Lewmar winch handles</v>
      </c>
      <c r="BE25" t="str">
        <v xml:space="preserve">Primary electric winches </v>
      </c>
      <c r="BF25" t="str">
        <v xml:space="preserve">Mainsheet winch </v>
      </c>
      <c r="BG25" t="str">
        <v>Lewmar genoa cars with pin stop</v>
      </c>
      <c r="BH25" t="str">
        <v>Lewmar genoa tracks</v>
      </c>
      <c r="BI25" t="str">
        <v>Halyard clutch at helm (mainsail)</v>
      </c>
      <c r="BJ25" t="str">
        <v>Halyard clutch at helm (gennaker)</v>
      </c>
      <c r="BK25" t="str">
        <v>Genoa sheet clutch at helm</v>
      </c>
      <c r="BL25" t="str">
        <v>Main sheet clutch at helm</v>
      </c>
      <c r="BM25" t="str">
        <v>Reef clutch at helm</v>
      </c>
      <c r="BN25" t="str">
        <v>Clutch and cleat on mast for genoa halyard</v>
      </c>
      <c r="BO25" t="str">
        <v>Furler clutch</v>
      </c>
      <c r="BP25" t="str">
        <v>Drinks holders - 2 in fwd cockpit and 1 at helm</v>
      </c>
      <c r="BQ25" t="str">
        <v>Rope bag at helm with integral winch handle pocket</v>
      </c>
      <c r="BR25" t="str">
        <v>Natural anodized mast</v>
      </c>
      <c r="BS25" t="str">
        <v>Natural anodized crossbeam c/w mooring cleats</v>
      </c>
      <c r="BT25" t="str">
        <v>Wind indicator</v>
      </c>
      <c r="BU25" t="str">
        <v>Genoa furler</v>
      </c>
      <c r="BV25" t="str">
        <v>Mainsail full battened c/w 2 rows reefs</v>
      </c>
      <c r="BW25" t="str">
        <v>Furling genoa</v>
      </c>
      <c r="BX25" t="str">
        <v>2 x Additional spare 12v wires in mast</v>
      </c>
      <c r="BY25" t="str">
        <v>Additional spare conduit with messenger in mast</v>
      </c>
      <c r="BZ25" t="str">
        <v xml:space="preserve">Main sheets </v>
      </c>
      <c r="CA25" t="str">
        <v>Genoa sheets</v>
      </c>
      <c r="CB25" t="str">
        <v>Halyards (main, genoa &amp; spare)</v>
      </c>
      <c r="CC25" t="str">
        <v>Engine Room</v>
      </c>
      <c r="CD25" t="str">
        <v>Single line reefs lead aft</v>
      </c>
      <c r="CE25" t="str">
        <v xml:space="preserve">BBQ </v>
      </c>
      <c r="CF25" t="str">
        <v>Step ladder</v>
      </c>
      <c r="CG25" t="str">
        <v>Pop up lights</v>
      </c>
      <c r="CH25" t="str">
        <v>Main boom topping lift</v>
      </c>
    </row>
    <row r="26" spans="1:86" x14ac:dyDescent="0.25">
      <c r="A26" s="9"/>
      <c r="B26" s="119"/>
      <c r="C26" s="9"/>
      <c r="D26" s="73"/>
      <c r="E26" s="73"/>
      <c r="F26" s="74"/>
      <c r="G26" s="74"/>
      <c r="H26" s="73"/>
      <c r="I26" s="3"/>
      <c r="J26" s="3"/>
      <c r="K26" s="3"/>
      <c r="L26" s="3"/>
      <c r="M26" t="e" cm="1" vm="1">
        <f t="array" ref="M26">TRANSPOSE(_xlfn.UNIQUE(_xlfn._xlws.FILTER(Table4[Discipine Area],(Table4[Discipline No.]=C26)*(Table4[Discipline No.]=C26))))</f>
        <v>#VALUE!</v>
      </c>
    </row>
    <row r="27" spans="1:86" x14ac:dyDescent="0.25">
      <c r="A27" s="9"/>
      <c r="B27" s="97"/>
      <c r="C27" s="9"/>
      <c r="D27" s="73"/>
      <c r="E27" s="73"/>
      <c r="F27" s="74"/>
      <c r="G27" s="74"/>
      <c r="H27" s="73"/>
      <c r="I27" s="3"/>
      <c r="J27" s="3"/>
      <c r="K27" s="3"/>
      <c r="L27" s="3"/>
      <c r="M27" t="e" cm="1" vm="1">
        <f t="array" ref="M27">TRANSPOSE(_xlfn.UNIQUE(_xlfn._xlws.FILTER(Table4[Discipine Area],(Table4[Discipline No.]=C27)*(Table4[Discipline No.]=C27))))</f>
        <v>#VALUE!</v>
      </c>
    </row>
    <row r="28" spans="1:86" x14ac:dyDescent="0.25">
      <c r="A28" s="9"/>
      <c r="B28" s="97"/>
      <c r="C28" s="9"/>
      <c r="D28" s="75"/>
      <c r="E28" s="73"/>
      <c r="F28" s="74"/>
      <c r="G28" s="74"/>
      <c r="H28" s="73"/>
      <c r="I28" s="3"/>
      <c r="J28" s="3"/>
      <c r="K28" s="3"/>
      <c r="L28" s="3"/>
    </row>
    <row r="29" spans="1:86" ht="15" customHeight="1" x14ac:dyDescent="0.25">
      <c r="A29" s="131" t="s">
        <v>414</v>
      </c>
      <c r="B29" s="132"/>
      <c r="C29" s="132"/>
      <c r="D29" s="132"/>
      <c r="E29" s="132"/>
      <c r="F29" s="133"/>
      <c r="G29" s="3" t="s">
        <v>430</v>
      </c>
      <c r="H29" s="141"/>
      <c r="I29" s="142"/>
      <c r="J29" s="134" t="s">
        <v>431</v>
      </c>
      <c r="K29" s="135"/>
      <c r="L29" s="136"/>
      <c r="M29" t="e" cm="1" vm="1">
        <f t="array" ref="M29">TRANSPOSE(_xlfn.UNIQUE(_xlfn._xlws.FILTER(Table4[Discipine Area],(Table4[Discipline No.]=C29)*(Table4[Discipline No.]=C29))))</f>
        <v>#VALUE!</v>
      </c>
    </row>
    <row r="30" spans="1:86" ht="15" customHeight="1" x14ac:dyDescent="0.25">
      <c r="A30" s="127" t="s">
        <v>0</v>
      </c>
      <c r="B30" s="127" t="s">
        <v>1</v>
      </c>
      <c r="C30" s="129" t="s">
        <v>2</v>
      </c>
      <c r="D30" s="129" t="s">
        <v>3</v>
      </c>
      <c r="E30" s="129" t="s">
        <v>4</v>
      </c>
      <c r="F30" s="129" t="s">
        <v>410</v>
      </c>
      <c r="G30" s="139" t="s">
        <v>216</v>
      </c>
      <c r="H30" s="139" t="s">
        <v>6</v>
      </c>
      <c r="I30" s="139" t="s">
        <v>7</v>
      </c>
      <c r="J30" s="137" t="s">
        <v>8</v>
      </c>
      <c r="K30" s="138" t="s">
        <v>9</v>
      </c>
      <c r="L30" s="138"/>
      <c r="M30" t="e" cm="1" vm="1">
        <f t="array" ref="M30">TRANSPOSE(_xlfn.UNIQUE(_xlfn._xlws.FILTER(Table4[Discipine Area],(Table4[Discipline No.]=C30)*(Table4[Discipline No.]=C30))))</f>
        <v>#VALUE!</v>
      </c>
    </row>
    <row r="31" spans="1:86" ht="15" customHeight="1" x14ac:dyDescent="0.25">
      <c r="A31" s="128"/>
      <c r="B31" s="128"/>
      <c r="C31" s="130"/>
      <c r="D31" s="130"/>
      <c r="E31" s="130"/>
      <c r="F31" s="130"/>
      <c r="G31" s="140"/>
      <c r="H31" s="140"/>
      <c r="I31" s="140"/>
      <c r="J31" s="137"/>
      <c r="K31" s="78" t="s">
        <v>10</v>
      </c>
      <c r="L31" s="78" t="s">
        <v>11</v>
      </c>
      <c r="M31" t="e" cm="1" vm="1">
        <f t="array" ref="M31">TRANSPOSE(_xlfn.UNIQUE(_xlfn._xlws.FILTER(Table4[Discipine Area],(Table4[Discipline No.]=C31)*(Table4[Discipline No.]=C31))))</f>
        <v>#VALUE!</v>
      </c>
    </row>
    <row r="32" spans="1:86" ht="27.75" customHeight="1" x14ac:dyDescent="0.25">
      <c r="A32" s="76"/>
      <c r="B32" s="114" t="s">
        <v>452</v>
      </c>
      <c r="C32" s="9"/>
      <c r="D32" s="73"/>
      <c r="E32" s="73"/>
      <c r="F32" s="74"/>
      <c r="G32" s="74"/>
      <c r="H32" s="74"/>
      <c r="I32" s="73"/>
      <c r="J32" s="3"/>
      <c r="K32" s="3"/>
      <c r="L32" s="3"/>
      <c r="M32" t="e" cm="1" vm="1">
        <f t="array" ref="M32">TRANSPOSE(_xlfn.UNIQUE(_xlfn._xlws.FILTER(Table4[Discipine Area],(Table4[Discipline No.]=C32)*(Table4[Discipline No.]=C32))))</f>
        <v>#VALUE!</v>
      </c>
    </row>
    <row r="33" spans="1:82" ht="27.75" customHeight="1" x14ac:dyDescent="0.25">
      <c r="A33" s="76"/>
      <c r="B33" s="97"/>
      <c r="C33" s="9">
        <v>3</v>
      </c>
      <c r="D33" s="75" t="s">
        <v>316</v>
      </c>
      <c r="E33" s="73" t="s">
        <v>362</v>
      </c>
      <c r="F33" s="74"/>
      <c r="G33" s="74" t="s">
        <v>453</v>
      </c>
      <c r="H33" s="74"/>
      <c r="I33" s="73"/>
      <c r="J33" s="3"/>
      <c r="K33" s="3"/>
      <c r="L33" s="3"/>
      <c r="M33" t="str" cm="1">
        <f t="array" ref="M33:CD33">TRANSPOSE(_xlfn.UNIQUE(_xlfn._xlws.FILTER(Table4[Discipine Area],(Table4[Discipline No.]=C33)*(Table4[Discipline No.]=C33))))</f>
        <v>SALOON</v>
      </c>
      <c r="N33" t="str">
        <v>Companion door</v>
      </c>
      <c r="O33" t="str">
        <v>Fwd cockpit door</v>
      </c>
      <c r="P33" t="str">
        <v>Windows</v>
      </c>
      <c r="Q33" t="str">
        <v>U shape settee</v>
      </c>
      <c r="R33" t="str">
        <v>Saloon table</v>
      </c>
      <c r="S33" t="str">
        <v>Formica Bulkheads</v>
      </c>
      <c r="T33" t="str">
        <v>Magazine locker/shelf locker</v>
      </c>
      <c r="U33" t="str">
        <v>Vents</v>
      </c>
      <c r="V33" t="str">
        <v>Hullside vinyl panels</v>
      </c>
      <c r="W33" t="str">
        <v>Window blinds</v>
      </c>
      <c r="X33" t="str">
        <v>Nav desk</v>
      </c>
      <c r="Y33" t="str">
        <v>Chart table with storage locker under hinged lid</v>
      </c>
      <c r="Z33" t="str">
        <v>Storage locker under chart table</v>
      </c>
      <c r="AA33" t="str">
        <v xml:space="preserve">AC Outlets </v>
      </c>
      <c r="AB33" t="str">
        <v>Ottoman</v>
      </c>
      <c r="AC33" t="str">
        <v>Galley lockers</v>
      </c>
      <c r="AD33" t="str">
        <v>Stove locker</v>
      </c>
      <c r="AE33" t="str">
        <v>Draw locker</v>
      </c>
      <c r="AF33" t="str">
        <v>Fridge/Freezer locker</v>
      </c>
      <c r="AG33" t="str">
        <v>Microwave locker</v>
      </c>
      <c r="AH33" t="str">
        <v>Tv locker</v>
      </c>
      <c r="AI33" t="str">
        <v>AC/DC locker</v>
      </c>
      <c r="AJ33" t="str">
        <v>Vinyl ceiling</v>
      </c>
      <c r="AK33" t="str">
        <v>Floor</v>
      </c>
      <c r="AL33" t="str">
        <v>Large bowl s/s sink</v>
      </c>
      <c r="AM33" t="str">
        <v>Dish and cutlery drying recess with drainage</v>
      </c>
      <c r="AN33" t="str">
        <v>Cover for drying recess</v>
      </c>
      <c r="AO33" t="str">
        <v xml:space="preserve">Vitrifrigo 2 drawer front-opening fridge/freezer </v>
      </c>
      <c r="AP33" t="str">
        <v>Ice maker</v>
      </c>
      <c r="AQ33" t="str">
        <v>Wine cooler</v>
      </c>
      <c r="AR33" t="str">
        <v>Burner gas hob</v>
      </c>
      <c r="AS33" t="str">
        <v>Gas oven</v>
      </c>
      <c r="AT33" t="str">
        <v>Gas solenoid shut-off valve with control &amp; warning light at cooker</v>
      </c>
      <c r="AU33" t="str">
        <v xml:space="preserve">Formica steps </v>
      </c>
      <c r="AV33" t="str">
        <v>Gas detectors in each hull connected to alarm in saloon</v>
      </c>
      <c r="AW33" t="str">
        <v>Smoke detector/alarm</v>
      </c>
      <c r="AX33" t="str">
        <v>LED overhead lighting</v>
      </c>
      <c r="AY33" t="str">
        <v>CABIN/ STUDY/PASSAGE</v>
      </c>
      <c r="AZ33" t="str">
        <v>Inspection lids</v>
      </c>
      <c r="BA33" t="str">
        <v>Vinyl panels</v>
      </c>
      <c r="BB33" t="str">
        <v>Stairs</v>
      </c>
      <c r="BC33" t="str">
        <v>Bedside table outboard</v>
      </c>
      <c r="BD33" t="str">
        <v>Bedside cave locker inboard</v>
      </c>
      <c r="BE33" t="str">
        <v>Bunktop/Double berth</v>
      </c>
      <c r="BF33" t="str">
        <v>Hanging locker</v>
      </c>
      <c r="BG33" t="str">
        <v>Bunk Drawers</v>
      </c>
      <c r="BH33" t="str">
        <v>Cabin Door</v>
      </c>
      <c r="BI33" t="str">
        <v>Door frames</v>
      </c>
      <c r="BJ33" t="str">
        <v>Fiddles</v>
      </c>
      <c r="BK33" t="str">
        <v>Fan</v>
      </c>
      <c r="BL33" t="str">
        <v>Hatch</v>
      </c>
      <c r="BM33" t="str">
        <v>2 x LED reading lamps over bunk</v>
      </c>
      <c r="BN33" t="str">
        <v>Vanity table/desk with storage locker and mirror under lid</v>
      </c>
      <c r="BO33" t="str">
        <v>Fold up vanity mirror</v>
      </c>
      <c r="BP33" t="str">
        <v>Sliding entrance door with lock</v>
      </c>
      <c r="BQ33" t="str">
        <v>Doors</v>
      </c>
      <c r="BR33" t="str">
        <v>Large mirror behind sliding entrance door</v>
      </c>
      <c r="BS33" t="str">
        <v xml:space="preserve">HEADS </v>
      </c>
      <c r="BT33" t="str">
        <v>Under-basin locker with toilet roll holder</v>
      </c>
      <c r="BU33" t="str">
        <v>Vanity locker with mirror</v>
      </c>
      <c r="BV33" t="str">
        <v>Double towel rail</v>
      </c>
      <c r="BW33" t="str">
        <v>Sliding or hinged heads door</v>
      </c>
      <c r="BX33" t="str">
        <v>Washing machine locker</v>
      </c>
      <c r="BY33" t="str">
        <v>Dedicated trashcan locker</v>
      </c>
      <c r="BZ33" t="str">
        <v>Coat hook</v>
      </c>
      <c r="CA33" t="str">
        <v>Waste tank</v>
      </c>
      <c r="CB33" t="str">
        <v>Forepeak panel</v>
      </c>
      <c r="CC33" t="str">
        <v>Portlight with roller blind</v>
      </c>
      <c r="CD33" t="str">
        <v>Overhead roller blinds for privacy</v>
      </c>
    </row>
    <row r="34" spans="1:82" ht="30" x14ac:dyDescent="0.25">
      <c r="A34" s="76"/>
      <c r="B34" s="97"/>
      <c r="C34" s="9">
        <v>3</v>
      </c>
      <c r="D34" s="75" t="s">
        <v>316</v>
      </c>
      <c r="E34" s="73" t="s">
        <v>362</v>
      </c>
      <c r="F34" s="74"/>
      <c r="G34" s="74" t="s">
        <v>454</v>
      </c>
      <c r="H34" s="74"/>
      <c r="I34" s="73"/>
      <c r="J34" s="3"/>
      <c r="K34" s="3"/>
      <c r="L34" s="3"/>
      <c r="M34" t="str" cm="1">
        <f t="array" ref="M34:CD34">TRANSPOSE(_xlfn.UNIQUE(_xlfn._xlws.FILTER(Table4[Discipine Area],(Table4[Discipline No.]=C34)*(Table4[Discipline No.]=C34))))</f>
        <v>SALOON</v>
      </c>
      <c r="N34" t="str">
        <v>Companion door</v>
      </c>
      <c r="O34" t="str">
        <v>Fwd cockpit door</v>
      </c>
      <c r="P34" t="str">
        <v>Windows</v>
      </c>
      <c r="Q34" t="str">
        <v>U shape settee</v>
      </c>
      <c r="R34" t="str">
        <v>Saloon table</v>
      </c>
      <c r="S34" t="str">
        <v>Formica Bulkheads</v>
      </c>
      <c r="T34" t="str">
        <v>Magazine locker/shelf locker</v>
      </c>
      <c r="U34" t="str">
        <v>Vents</v>
      </c>
      <c r="V34" t="str">
        <v>Hullside vinyl panels</v>
      </c>
      <c r="W34" t="str">
        <v>Window blinds</v>
      </c>
      <c r="X34" t="str">
        <v>Nav desk</v>
      </c>
      <c r="Y34" t="str">
        <v>Chart table with storage locker under hinged lid</v>
      </c>
      <c r="Z34" t="str">
        <v>Storage locker under chart table</v>
      </c>
      <c r="AA34" t="str">
        <v xml:space="preserve">AC Outlets </v>
      </c>
      <c r="AB34" t="str">
        <v>Ottoman</v>
      </c>
      <c r="AC34" t="str">
        <v>Galley lockers</v>
      </c>
      <c r="AD34" t="str">
        <v>Stove locker</v>
      </c>
      <c r="AE34" t="str">
        <v>Draw locker</v>
      </c>
      <c r="AF34" t="str">
        <v>Fridge/Freezer locker</v>
      </c>
      <c r="AG34" t="str">
        <v>Microwave locker</v>
      </c>
      <c r="AH34" t="str">
        <v>Tv locker</v>
      </c>
      <c r="AI34" t="str">
        <v>AC/DC locker</v>
      </c>
      <c r="AJ34" t="str">
        <v>Vinyl ceiling</v>
      </c>
      <c r="AK34" t="str">
        <v>Floor</v>
      </c>
      <c r="AL34" t="str">
        <v>Large bowl s/s sink</v>
      </c>
      <c r="AM34" t="str">
        <v>Dish and cutlery drying recess with drainage</v>
      </c>
      <c r="AN34" t="str">
        <v>Cover for drying recess</v>
      </c>
      <c r="AO34" t="str">
        <v xml:space="preserve">Vitrifrigo 2 drawer front-opening fridge/freezer </v>
      </c>
      <c r="AP34" t="str">
        <v>Ice maker</v>
      </c>
      <c r="AQ34" t="str">
        <v>Wine cooler</v>
      </c>
      <c r="AR34" t="str">
        <v>Burner gas hob</v>
      </c>
      <c r="AS34" t="str">
        <v>Gas oven</v>
      </c>
      <c r="AT34" t="str">
        <v>Gas solenoid shut-off valve with control &amp; warning light at cooker</v>
      </c>
      <c r="AU34" t="str">
        <v xml:space="preserve">Formica steps </v>
      </c>
      <c r="AV34" t="str">
        <v>Gas detectors in each hull connected to alarm in saloon</v>
      </c>
      <c r="AW34" t="str">
        <v>Smoke detector/alarm</v>
      </c>
      <c r="AX34" t="str">
        <v>LED overhead lighting</v>
      </c>
      <c r="AY34" t="str">
        <v>CABIN/ STUDY/PASSAGE</v>
      </c>
      <c r="AZ34" t="str">
        <v>Inspection lids</v>
      </c>
      <c r="BA34" t="str">
        <v>Vinyl panels</v>
      </c>
      <c r="BB34" t="str">
        <v>Stairs</v>
      </c>
      <c r="BC34" t="str">
        <v>Bedside table outboard</v>
      </c>
      <c r="BD34" t="str">
        <v>Bedside cave locker inboard</v>
      </c>
      <c r="BE34" t="str">
        <v>Bunktop/Double berth</v>
      </c>
      <c r="BF34" t="str">
        <v>Hanging locker</v>
      </c>
      <c r="BG34" t="str">
        <v>Bunk Drawers</v>
      </c>
      <c r="BH34" t="str">
        <v>Cabin Door</v>
      </c>
      <c r="BI34" t="str">
        <v>Door frames</v>
      </c>
      <c r="BJ34" t="str">
        <v>Fiddles</v>
      </c>
      <c r="BK34" t="str">
        <v>Fan</v>
      </c>
      <c r="BL34" t="str">
        <v>Hatch</v>
      </c>
      <c r="BM34" t="str">
        <v>2 x LED reading lamps over bunk</v>
      </c>
      <c r="BN34" t="str">
        <v>Vanity table/desk with storage locker and mirror under lid</v>
      </c>
      <c r="BO34" t="str">
        <v>Fold up vanity mirror</v>
      </c>
      <c r="BP34" t="str">
        <v>Sliding entrance door with lock</v>
      </c>
      <c r="BQ34" t="str">
        <v>Doors</v>
      </c>
      <c r="BR34" t="str">
        <v>Large mirror behind sliding entrance door</v>
      </c>
      <c r="BS34" t="str">
        <v xml:space="preserve">HEADS </v>
      </c>
      <c r="BT34" t="str">
        <v>Under-basin locker with toilet roll holder</v>
      </c>
      <c r="BU34" t="str">
        <v>Vanity locker with mirror</v>
      </c>
      <c r="BV34" t="str">
        <v>Double towel rail</v>
      </c>
      <c r="BW34" t="str">
        <v>Sliding or hinged heads door</v>
      </c>
      <c r="BX34" t="str">
        <v>Washing machine locker</v>
      </c>
      <c r="BY34" t="str">
        <v>Dedicated trashcan locker</v>
      </c>
      <c r="BZ34" t="str">
        <v>Coat hook</v>
      </c>
      <c r="CA34" t="str">
        <v>Waste tank</v>
      </c>
      <c r="CB34" t="str">
        <v>Forepeak panel</v>
      </c>
      <c r="CC34" t="str">
        <v>Portlight with roller blind</v>
      </c>
      <c r="CD34" t="str">
        <v>Overhead roller blinds for privacy</v>
      </c>
    </row>
    <row r="35" spans="1:82" ht="18" customHeight="1" x14ac:dyDescent="0.25">
      <c r="A35" s="9"/>
      <c r="B35" s="116"/>
      <c r="C35" s="9">
        <v>3</v>
      </c>
      <c r="D35" s="75" t="s">
        <v>455</v>
      </c>
      <c r="E35" s="73" t="s">
        <v>300</v>
      </c>
      <c r="F35" s="74"/>
      <c r="G35" s="74" t="s">
        <v>440</v>
      </c>
      <c r="H35" s="74"/>
      <c r="I35" s="73"/>
      <c r="J35" s="3"/>
      <c r="K35" s="3"/>
      <c r="L35" s="3"/>
      <c r="M35" t="str" cm="1">
        <f t="array" ref="M35:CD35">TRANSPOSE(_xlfn.UNIQUE(_xlfn._xlws.FILTER(Table4[Discipine Area],(Table4[Discipline No.]=C35)*(Table4[Discipline No.]=C35))))</f>
        <v>SALOON</v>
      </c>
      <c r="N35" t="str">
        <v>Companion door</v>
      </c>
      <c r="O35" t="str">
        <v>Fwd cockpit door</v>
      </c>
      <c r="P35" t="str">
        <v>Windows</v>
      </c>
      <c r="Q35" t="str">
        <v>U shape settee</v>
      </c>
      <c r="R35" t="str">
        <v>Saloon table</v>
      </c>
      <c r="S35" t="str">
        <v>Formica Bulkheads</v>
      </c>
      <c r="T35" t="str">
        <v>Magazine locker/shelf locker</v>
      </c>
      <c r="U35" t="str">
        <v>Vents</v>
      </c>
      <c r="V35" t="str">
        <v>Hullside vinyl panels</v>
      </c>
      <c r="W35" t="str">
        <v>Window blinds</v>
      </c>
      <c r="X35" t="str">
        <v>Nav desk</v>
      </c>
      <c r="Y35" t="str">
        <v>Chart table with storage locker under hinged lid</v>
      </c>
      <c r="Z35" t="str">
        <v>Storage locker under chart table</v>
      </c>
      <c r="AA35" t="str">
        <v xml:space="preserve">AC Outlets </v>
      </c>
      <c r="AB35" t="str">
        <v>Ottoman</v>
      </c>
      <c r="AC35" t="str">
        <v>Galley lockers</v>
      </c>
      <c r="AD35" t="str">
        <v>Stove locker</v>
      </c>
      <c r="AE35" t="str">
        <v>Draw locker</v>
      </c>
      <c r="AF35" t="str">
        <v>Fridge/Freezer locker</v>
      </c>
      <c r="AG35" t="str">
        <v>Microwave locker</v>
      </c>
      <c r="AH35" t="str">
        <v>Tv locker</v>
      </c>
      <c r="AI35" t="str">
        <v>AC/DC locker</v>
      </c>
      <c r="AJ35" t="str">
        <v>Vinyl ceiling</v>
      </c>
      <c r="AK35" t="str">
        <v>Floor</v>
      </c>
      <c r="AL35" t="str">
        <v>Large bowl s/s sink</v>
      </c>
      <c r="AM35" t="str">
        <v>Dish and cutlery drying recess with drainage</v>
      </c>
      <c r="AN35" t="str">
        <v>Cover for drying recess</v>
      </c>
      <c r="AO35" t="str">
        <v xml:space="preserve">Vitrifrigo 2 drawer front-opening fridge/freezer </v>
      </c>
      <c r="AP35" t="str">
        <v>Ice maker</v>
      </c>
      <c r="AQ35" t="str">
        <v>Wine cooler</v>
      </c>
      <c r="AR35" t="str">
        <v>Burner gas hob</v>
      </c>
      <c r="AS35" t="str">
        <v>Gas oven</v>
      </c>
      <c r="AT35" t="str">
        <v>Gas solenoid shut-off valve with control &amp; warning light at cooker</v>
      </c>
      <c r="AU35" t="str">
        <v xml:space="preserve">Formica steps </v>
      </c>
      <c r="AV35" t="str">
        <v>Gas detectors in each hull connected to alarm in saloon</v>
      </c>
      <c r="AW35" t="str">
        <v>Smoke detector/alarm</v>
      </c>
      <c r="AX35" t="str">
        <v>LED overhead lighting</v>
      </c>
      <c r="AY35" t="str">
        <v>CABIN/ STUDY/PASSAGE</v>
      </c>
      <c r="AZ35" t="str">
        <v>Inspection lids</v>
      </c>
      <c r="BA35" t="str">
        <v>Vinyl panels</v>
      </c>
      <c r="BB35" t="str">
        <v>Stairs</v>
      </c>
      <c r="BC35" t="str">
        <v>Bedside table outboard</v>
      </c>
      <c r="BD35" t="str">
        <v>Bedside cave locker inboard</v>
      </c>
      <c r="BE35" t="str">
        <v>Bunktop/Double berth</v>
      </c>
      <c r="BF35" t="str">
        <v>Hanging locker</v>
      </c>
      <c r="BG35" t="str">
        <v>Bunk Drawers</v>
      </c>
      <c r="BH35" t="str">
        <v>Cabin Door</v>
      </c>
      <c r="BI35" t="str">
        <v>Door frames</v>
      </c>
      <c r="BJ35" t="str">
        <v>Fiddles</v>
      </c>
      <c r="BK35" t="str">
        <v>Fan</v>
      </c>
      <c r="BL35" t="str">
        <v>Hatch</v>
      </c>
      <c r="BM35" t="str">
        <v>2 x LED reading lamps over bunk</v>
      </c>
      <c r="BN35" t="str">
        <v>Vanity table/desk with storage locker and mirror under lid</v>
      </c>
      <c r="BO35" t="str">
        <v>Fold up vanity mirror</v>
      </c>
      <c r="BP35" t="str">
        <v>Sliding entrance door with lock</v>
      </c>
      <c r="BQ35" t="str">
        <v>Doors</v>
      </c>
      <c r="BR35" t="str">
        <v>Large mirror behind sliding entrance door</v>
      </c>
      <c r="BS35" t="str">
        <v xml:space="preserve">HEADS </v>
      </c>
      <c r="BT35" t="str">
        <v>Under-basin locker with toilet roll holder</v>
      </c>
      <c r="BU35" t="str">
        <v>Vanity locker with mirror</v>
      </c>
      <c r="BV35" t="str">
        <v>Double towel rail</v>
      </c>
      <c r="BW35" t="str">
        <v>Sliding or hinged heads door</v>
      </c>
      <c r="BX35" t="str">
        <v>Washing machine locker</v>
      </c>
      <c r="BY35" t="str">
        <v>Dedicated trashcan locker</v>
      </c>
      <c r="BZ35" t="str">
        <v>Coat hook</v>
      </c>
      <c r="CA35" t="str">
        <v>Waste tank</v>
      </c>
      <c r="CB35" t="str">
        <v>Forepeak panel</v>
      </c>
      <c r="CC35" t="str">
        <v>Portlight with roller blind</v>
      </c>
      <c r="CD35" t="str">
        <v>Overhead roller blinds for privacy</v>
      </c>
    </row>
    <row r="36" spans="1:82" ht="30" x14ac:dyDescent="0.25">
      <c r="A36" s="9"/>
      <c r="B36" s="116"/>
      <c r="C36" s="9">
        <v>3</v>
      </c>
      <c r="D36" s="75" t="s">
        <v>319</v>
      </c>
      <c r="E36" s="73" t="s">
        <v>300</v>
      </c>
      <c r="F36" s="74"/>
      <c r="G36" s="74" t="s">
        <v>441</v>
      </c>
      <c r="H36" s="74"/>
      <c r="I36" s="73"/>
      <c r="J36" s="3"/>
      <c r="K36" s="3"/>
      <c r="L36" s="3"/>
    </row>
    <row r="37" spans="1:82" x14ac:dyDescent="0.25">
      <c r="A37" s="126"/>
      <c r="B37" s="117"/>
      <c r="C37" s="9">
        <v>3</v>
      </c>
      <c r="D37" s="75" t="s">
        <v>456</v>
      </c>
      <c r="E37" s="73" t="s">
        <v>362</v>
      </c>
      <c r="F37" s="74"/>
      <c r="G37" s="74" t="s">
        <v>442</v>
      </c>
      <c r="H37" s="74"/>
      <c r="I37" s="73"/>
      <c r="J37" s="3"/>
      <c r="K37" s="3"/>
      <c r="L37" s="3"/>
    </row>
    <row r="38" spans="1:82" x14ac:dyDescent="0.25">
      <c r="A38" s="9"/>
      <c r="B38" s="118"/>
      <c r="C38" s="9">
        <v>3</v>
      </c>
      <c r="D38" s="75" t="s">
        <v>456</v>
      </c>
      <c r="E38" s="73" t="s">
        <v>362</v>
      </c>
      <c r="F38" s="74"/>
      <c r="G38" s="74" t="s">
        <v>443</v>
      </c>
      <c r="H38" s="74"/>
      <c r="I38" s="73"/>
      <c r="J38" s="3"/>
      <c r="K38" s="3"/>
      <c r="L38" s="3"/>
      <c r="M38" t="str" cm="1">
        <f t="array" ref="M38:CD38">TRANSPOSE(_xlfn.UNIQUE(_xlfn._xlws.FILTER(Table4[Discipine Area],(Table4[Discipline No.]=C38)*(Table4[Discipline No.]=C38))))</f>
        <v>SALOON</v>
      </c>
      <c r="N38" t="str">
        <v>Companion door</v>
      </c>
      <c r="O38" t="str">
        <v>Fwd cockpit door</v>
      </c>
      <c r="P38" t="str">
        <v>Windows</v>
      </c>
      <c r="Q38" t="str">
        <v>U shape settee</v>
      </c>
      <c r="R38" t="str">
        <v>Saloon table</v>
      </c>
      <c r="S38" t="str">
        <v>Formica Bulkheads</v>
      </c>
      <c r="T38" t="str">
        <v>Magazine locker/shelf locker</v>
      </c>
      <c r="U38" t="str">
        <v>Vents</v>
      </c>
      <c r="V38" t="str">
        <v>Hullside vinyl panels</v>
      </c>
      <c r="W38" t="str">
        <v>Window blinds</v>
      </c>
      <c r="X38" t="str">
        <v>Nav desk</v>
      </c>
      <c r="Y38" t="str">
        <v>Chart table with storage locker under hinged lid</v>
      </c>
      <c r="Z38" t="str">
        <v>Storage locker under chart table</v>
      </c>
      <c r="AA38" t="str">
        <v xml:space="preserve">AC Outlets </v>
      </c>
      <c r="AB38" t="str">
        <v>Ottoman</v>
      </c>
      <c r="AC38" t="str">
        <v>Galley lockers</v>
      </c>
      <c r="AD38" t="str">
        <v>Stove locker</v>
      </c>
      <c r="AE38" t="str">
        <v>Draw locker</v>
      </c>
      <c r="AF38" t="str">
        <v>Fridge/Freezer locker</v>
      </c>
      <c r="AG38" t="str">
        <v>Microwave locker</v>
      </c>
      <c r="AH38" t="str">
        <v>Tv locker</v>
      </c>
      <c r="AI38" t="str">
        <v>AC/DC locker</v>
      </c>
      <c r="AJ38" t="str">
        <v>Vinyl ceiling</v>
      </c>
      <c r="AK38" t="str">
        <v>Floor</v>
      </c>
      <c r="AL38" t="str">
        <v>Large bowl s/s sink</v>
      </c>
      <c r="AM38" t="str">
        <v>Dish and cutlery drying recess with drainage</v>
      </c>
      <c r="AN38" t="str">
        <v>Cover for drying recess</v>
      </c>
      <c r="AO38" t="str">
        <v xml:space="preserve">Vitrifrigo 2 drawer front-opening fridge/freezer </v>
      </c>
      <c r="AP38" t="str">
        <v>Ice maker</v>
      </c>
      <c r="AQ38" t="str">
        <v>Wine cooler</v>
      </c>
      <c r="AR38" t="str">
        <v>Burner gas hob</v>
      </c>
      <c r="AS38" t="str">
        <v>Gas oven</v>
      </c>
      <c r="AT38" t="str">
        <v>Gas solenoid shut-off valve with control &amp; warning light at cooker</v>
      </c>
      <c r="AU38" t="str">
        <v xml:space="preserve">Formica steps </v>
      </c>
      <c r="AV38" t="str">
        <v>Gas detectors in each hull connected to alarm in saloon</v>
      </c>
      <c r="AW38" t="str">
        <v>Smoke detector/alarm</v>
      </c>
      <c r="AX38" t="str">
        <v>LED overhead lighting</v>
      </c>
      <c r="AY38" t="str">
        <v>CABIN/ STUDY/PASSAGE</v>
      </c>
      <c r="AZ38" t="str">
        <v>Inspection lids</v>
      </c>
      <c r="BA38" t="str">
        <v>Vinyl panels</v>
      </c>
      <c r="BB38" t="str">
        <v>Stairs</v>
      </c>
      <c r="BC38" t="str">
        <v>Bedside table outboard</v>
      </c>
      <c r="BD38" t="str">
        <v>Bedside cave locker inboard</v>
      </c>
      <c r="BE38" t="str">
        <v>Bunktop/Double berth</v>
      </c>
      <c r="BF38" t="str">
        <v>Hanging locker</v>
      </c>
      <c r="BG38" t="str">
        <v>Bunk Drawers</v>
      </c>
      <c r="BH38" t="str">
        <v>Cabin Door</v>
      </c>
      <c r="BI38" t="str">
        <v>Door frames</v>
      </c>
      <c r="BJ38" t="str">
        <v>Fiddles</v>
      </c>
      <c r="BK38" t="str">
        <v>Fan</v>
      </c>
      <c r="BL38" t="str">
        <v>Hatch</v>
      </c>
      <c r="BM38" t="str">
        <v>2 x LED reading lamps over bunk</v>
      </c>
      <c r="BN38" t="str">
        <v>Vanity table/desk with storage locker and mirror under lid</v>
      </c>
      <c r="BO38" t="str">
        <v>Fold up vanity mirror</v>
      </c>
      <c r="BP38" t="str">
        <v>Sliding entrance door with lock</v>
      </c>
      <c r="BQ38" t="str">
        <v>Doors</v>
      </c>
      <c r="BR38" t="str">
        <v>Large mirror behind sliding entrance door</v>
      </c>
      <c r="BS38" t="str">
        <v xml:space="preserve">HEADS </v>
      </c>
      <c r="BT38" t="str">
        <v>Under-basin locker with toilet roll holder</v>
      </c>
      <c r="BU38" t="str">
        <v>Vanity locker with mirror</v>
      </c>
      <c r="BV38" t="str">
        <v>Double towel rail</v>
      </c>
      <c r="BW38" t="str">
        <v>Sliding or hinged heads door</v>
      </c>
      <c r="BX38" t="str">
        <v>Washing machine locker</v>
      </c>
      <c r="BY38" t="str">
        <v>Dedicated trashcan locker</v>
      </c>
      <c r="BZ38" t="str">
        <v>Coat hook</v>
      </c>
      <c r="CA38" t="str">
        <v>Waste tank</v>
      </c>
      <c r="CB38" t="str">
        <v>Forepeak panel</v>
      </c>
      <c r="CC38" t="str">
        <v>Portlight with roller blind</v>
      </c>
      <c r="CD38" t="str">
        <v>Overhead roller blinds for privacy</v>
      </c>
    </row>
    <row r="39" spans="1:82" ht="30" x14ac:dyDescent="0.25">
      <c r="A39" s="9"/>
      <c r="B39" s="115"/>
      <c r="C39" s="9">
        <v>3</v>
      </c>
      <c r="D39" s="73" t="s">
        <v>279</v>
      </c>
      <c r="E39" s="73" t="s">
        <v>299</v>
      </c>
      <c r="F39" s="74"/>
      <c r="G39" s="74" t="s">
        <v>444</v>
      </c>
      <c r="H39" s="74"/>
      <c r="I39" s="73"/>
      <c r="J39" s="3"/>
      <c r="K39" s="3"/>
      <c r="L39" s="3"/>
      <c r="M39" t="str" cm="1">
        <f t="array" ref="M39:CD39">TRANSPOSE(_xlfn.UNIQUE(_xlfn._xlws.FILTER(Table4[Discipine Area],(Table4[Discipline No.]=C39)*(Table4[Discipline No.]=C39))))</f>
        <v>SALOON</v>
      </c>
      <c r="N39" t="str">
        <v>Companion door</v>
      </c>
      <c r="O39" t="str">
        <v>Fwd cockpit door</v>
      </c>
      <c r="P39" t="str">
        <v>Windows</v>
      </c>
      <c r="Q39" t="str">
        <v>U shape settee</v>
      </c>
      <c r="R39" t="str">
        <v>Saloon table</v>
      </c>
      <c r="S39" t="str">
        <v>Formica Bulkheads</v>
      </c>
      <c r="T39" t="str">
        <v>Magazine locker/shelf locker</v>
      </c>
      <c r="U39" t="str">
        <v>Vents</v>
      </c>
      <c r="V39" t="str">
        <v>Hullside vinyl panels</v>
      </c>
      <c r="W39" t="str">
        <v>Window blinds</v>
      </c>
      <c r="X39" t="str">
        <v>Nav desk</v>
      </c>
      <c r="Y39" t="str">
        <v>Chart table with storage locker under hinged lid</v>
      </c>
      <c r="Z39" t="str">
        <v>Storage locker under chart table</v>
      </c>
      <c r="AA39" t="str">
        <v xml:space="preserve">AC Outlets </v>
      </c>
      <c r="AB39" t="str">
        <v>Ottoman</v>
      </c>
      <c r="AC39" t="str">
        <v>Galley lockers</v>
      </c>
      <c r="AD39" t="str">
        <v>Stove locker</v>
      </c>
      <c r="AE39" t="str">
        <v>Draw locker</v>
      </c>
      <c r="AF39" t="str">
        <v>Fridge/Freezer locker</v>
      </c>
      <c r="AG39" t="str">
        <v>Microwave locker</v>
      </c>
      <c r="AH39" t="str">
        <v>Tv locker</v>
      </c>
      <c r="AI39" t="str">
        <v>AC/DC locker</v>
      </c>
      <c r="AJ39" t="str">
        <v>Vinyl ceiling</v>
      </c>
      <c r="AK39" t="str">
        <v>Floor</v>
      </c>
      <c r="AL39" t="str">
        <v>Large bowl s/s sink</v>
      </c>
      <c r="AM39" t="str">
        <v>Dish and cutlery drying recess with drainage</v>
      </c>
      <c r="AN39" t="str">
        <v>Cover for drying recess</v>
      </c>
      <c r="AO39" t="str">
        <v xml:space="preserve">Vitrifrigo 2 drawer front-opening fridge/freezer </v>
      </c>
      <c r="AP39" t="str">
        <v>Ice maker</v>
      </c>
      <c r="AQ39" t="str">
        <v>Wine cooler</v>
      </c>
      <c r="AR39" t="str">
        <v>Burner gas hob</v>
      </c>
      <c r="AS39" t="str">
        <v>Gas oven</v>
      </c>
      <c r="AT39" t="str">
        <v>Gas solenoid shut-off valve with control &amp; warning light at cooker</v>
      </c>
      <c r="AU39" t="str">
        <v xml:space="preserve">Formica steps </v>
      </c>
      <c r="AV39" t="str">
        <v>Gas detectors in each hull connected to alarm in saloon</v>
      </c>
      <c r="AW39" t="str">
        <v>Smoke detector/alarm</v>
      </c>
      <c r="AX39" t="str">
        <v>LED overhead lighting</v>
      </c>
      <c r="AY39" t="str">
        <v>CABIN/ STUDY/PASSAGE</v>
      </c>
      <c r="AZ39" t="str">
        <v>Inspection lids</v>
      </c>
      <c r="BA39" t="str">
        <v>Vinyl panels</v>
      </c>
      <c r="BB39" t="str">
        <v>Stairs</v>
      </c>
      <c r="BC39" t="str">
        <v>Bedside table outboard</v>
      </c>
      <c r="BD39" t="str">
        <v>Bedside cave locker inboard</v>
      </c>
      <c r="BE39" t="str">
        <v>Bunktop/Double berth</v>
      </c>
      <c r="BF39" t="str">
        <v>Hanging locker</v>
      </c>
      <c r="BG39" t="str">
        <v>Bunk Drawers</v>
      </c>
      <c r="BH39" t="str">
        <v>Cabin Door</v>
      </c>
      <c r="BI39" t="str">
        <v>Door frames</v>
      </c>
      <c r="BJ39" t="str">
        <v>Fiddles</v>
      </c>
      <c r="BK39" t="str">
        <v>Fan</v>
      </c>
      <c r="BL39" t="str">
        <v>Hatch</v>
      </c>
      <c r="BM39" t="str">
        <v>2 x LED reading lamps over bunk</v>
      </c>
      <c r="BN39" t="str">
        <v>Vanity table/desk with storage locker and mirror under lid</v>
      </c>
      <c r="BO39" t="str">
        <v>Fold up vanity mirror</v>
      </c>
      <c r="BP39" t="str">
        <v>Sliding entrance door with lock</v>
      </c>
      <c r="BQ39" t="str">
        <v>Doors</v>
      </c>
      <c r="BR39" t="str">
        <v>Large mirror behind sliding entrance door</v>
      </c>
      <c r="BS39" t="str">
        <v xml:space="preserve">HEADS </v>
      </c>
      <c r="BT39" t="str">
        <v>Under-basin locker with toilet roll holder</v>
      </c>
      <c r="BU39" t="str">
        <v>Vanity locker with mirror</v>
      </c>
      <c r="BV39" t="str">
        <v>Double towel rail</v>
      </c>
      <c r="BW39" t="str">
        <v>Sliding or hinged heads door</v>
      </c>
      <c r="BX39" t="str">
        <v>Washing machine locker</v>
      </c>
      <c r="BY39" t="str">
        <v>Dedicated trashcan locker</v>
      </c>
      <c r="BZ39" t="str">
        <v>Coat hook</v>
      </c>
      <c r="CA39" t="str">
        <v>Waste tank</v>
      </c>
      <c r="CB39" t="str">
        <v>Forepeak panel</v>
      </c>
      <c r="CC39" t="str">
        <v>Portlight with roller blind</v>
      </c>
      <c r="CD39" t="str">
        <v>Overhead roller blinds for privacy</v>
      </c>
    </row>
    <row r="40" spans="1:82" ht="15" customHeight="1" x14ac:dyDescent="0.25">
      <c r="A40" s="9"/>
      <c r="B40" s="116"/>
      <c r="C40" s="9">
        <v>3</v>
      </c>
      <c r="D40" s="73" t="s">
        <v>279</v>
      </c>
      <c r="E40" s="73" t="s">
        <v>362</v>
      </c>
      <c r="F40" s="74"/>
      <c r="G40" s="74" t="s">
        <v>457</v>
      </c>
      <c r="H40" s="74"/>
      <c r="I40" s="3"/>
      <c r="J40" s="3"/>
      <c r="K40" s="3"/>
      <c r="L40" s="3"/>
      <c r="M40" t="str" cm="1">
        <f t="array" ref="M40:CD40">TRANSPOSE(_xlfn.UNIQUE(_xlfn._xlws.FILTER(Table4[Discipine Area],(Table4[Discipline No.]=C40)*(Table4[Discipline No.]=C40))))</f>
        <v>SALOON</v>
      </c>
      <c r="N40" t="str">
        <v>Companion door</v>
      </c>
      <c r="O40" t="str">
        <v>Fwd cockpit door</v>
      </c>
      <c r="P40" t="str">
        <v>Windows</v>
      </c>
      <c r="Q40" t="str">
        <v>U shape settee</v>
      </c>
      <c r="R40" t="str">
        <v>Saloon table</v>
      </c>
      <c r="S40" t="str">
        <v>Formica Bulkheads</v>
      </c>
      <c r="T40" t="str">
        <v>Magazine locker/shelf locker</v>
      </c>
      <c r="U40" t="str">
        <v>Vents</v>
      </c>
      <c r="V40" t="str">
        <v>Hullside vinyl panels</v>
      </c>
      <c r="W40" t="str">
        <v>Window blinds</v>
      </c>
      <c r="X40" t="str">
        <v>Nav desk</v>
      </c>
      <c r="Y40" t="str">
        <v>Chart table with storage locker under hinged lid</v>
      </c>
      <c r="Z40" t="str">
        <v>Storage locker under chart table</v>
      </c>
      <c r="AA40" t="str">
        <v xml:space="preserve">AC Outlets </v>
      </c>
      <c r="AB40" t="str">
        <v>Ottoman</v>
      </c>
      <c r="AC40" t="str">
        <v>Galley lockers</v>
      </c>
      <c r="AD40" t="str">
        <v>Stove locker</v>
      </c>
      <c r="AE40" t="str">
        <v>Draw locker</v>
      </c>
      <c r="AF40" t="str">
        <v>Fridge/Freezer locker</v>
      </c>
      <c r="AG40" t="str">
        <v>Microwave locker</v>
      </c>
      <c r="AH40" t="str">
        <v>Tv locker</v>
      </c>
      <c r="AI40" t="str">
        <v>AC/DC locker</v>
      </c>
      <c r="AJ40" t="str">
        <v>Vinyl ceiling</v>
      </c>
      <c r="AK40" t="str">
        <v>Floor</v>
      </c>
      <c r="AL40" t="str">
        <v>Large bowl s/s sink</v>
      </c>
      <c r="AM40" t="str">
        <v>Dish and cutlery drying recess with drainage</v>
      </c>
      <c r="AN40" t="str">
        <v>Cover for drying recess</v>
      </c>
      <c r="AO40" t="str">
        <v xml:space="preserve">Vitrifrigo 2 drawer front-opening fridge/freezer </v>
      </c>
      <c r="AP40" t="str">
        <v>Ice maker</v>
      </c>
      <c r="AQ40" t="str">
        <v>Wine cooler</v>
      </c>
      <c r="AR40" t="str">
        <v>Burner gas hob</v>
      </c>
      <c r="AS40" t="str">
        <v>Gas oven</v>
      </c>
      <c r="AT40" t="str">
        <v>Gas solenoid shut-off valve with control &amp; warning light at cooker</v>
      </c>
      <c r="AU40" t="str">
        <v xml:space="preserve">Formica steps </v>
      </c>
      <c r="AV40" t="str">
        <v>Gas detectors in each hull connected to alarm in saloon</v>
      </c>
      <c r="AW40" t="str">
        <v>Smoke detector/alarm</v>
      </c>
      <c r="AX40" t="str">
        <v>LED overhead lighting</v>
      </c>
      <c r="AY40" t="str">
        <v>CABIN/ STUDY/PASSAGE</v>
      </c>
      <c r="AZ40" t="str">
        <v>Inspection lids</v>
      </c>
      <c r="BA40" t="str">
        <v>Vinyl panels</v>
      </c>
      <c r="BB40" t="str">
        <v>Stairs</v>
      </c>
      <c r="BC40" t="str">
        <v>Bedside table outboard</v>
      </c>
      <c r="BD40" t="str">
        <v>Bedside cave locker inboard</v>
      </c>
      <c r="BE40" t="str">
        <v>Bunktop/Double berth</v>
      </c>
      <c r="BF40" t="str">
        <v>Hanging locker</v>
      </c>
      <c r="BG40" t="str">
        <v>Bunk Drawers</v>
      </c>
      <c r="BH40" t="str">
        <v>Cabin Door</v>
      </c>
      <c r="BI40" t="str">
        <v>Door frames</v>
      </c>
      <c r="BJ40" t="str">
        <v>Fiddles</v>
      </c>
      <c r="BK40" t="str">
        <v>Fan</v>
      </c>
      <c r="BL40" t="str">
        <v>Hatch</v>
      </c>
      <c r="BM40" t="str">
        <v>2 x LED reading lamps over bunk</v>
      </c>
      <c r="BN40" t="str">
        <v>Vanity table/desk with storage locker and mirror under lid</v>
      </c>
      <c r="BO40" t="str">
        <v>Fold up vanity mirror</v>
      </c>
      <c r="BP40" t="str">
        <v>Sliding entrance door with lock</v>
      </c>
      <c r="BQ40" t="str">
        <v>Doors</v>
      </c>
      <c r="BR40" t="str">
        <v>Large mirror behind sliding entrance door</v>
      </c>
      <c r="BS40" t="str">
        <v xml:space="preserve">HEADS </v>
      </c>
      <c r="BT40" t="str">
        <v>Under-basin locker with toilet roll holder</v>
      </c>
      <c r="BU40" t="str">
        <v>Vanity locker with mirror</v>
      </c>
      <c r="BV40" t="str">
        <v>Double towel rail</v>
      </c>
      <c r="BW40" t="str">
        <v>Sliding or hinged heads door</v>
      </c>
      <c r="BX40" t="str">
        <v>Washing machine locker</v>
      </c>
      <c r="BY40" t="str">
        <v>Dedicated trashcan locker</v>
      </c>
      <c r="BZ40" t="str">
        <v>Coat hook</v>
      </c>
      <c r="CA40" t="str">
        <v>Waste tank</v>
      </c>
      <c r="CB40" t="str">
        <v>Forepeak panel</v>
      </c>
      <c r="CC40" t="str">
        <v>Portlight with roller blind</v>
      </c>
      <c r="CD40" t="str">
        <v>Overhead roller blinds for privacy</v>
      </c>
    </row>
    <row r="41" spans="1:82" ht="30" x14ac:dyDescent="0.25">
      <c r="A41" s="9"/>
      <c r="B41" s="118"/>
      <c r="C41" s="9">
        <v>3</v>
      </c>
      <c r="D41" s="73" t="s">
        <v>279</v>
      </c>
      <c r="E41" s="73" t="s">
        <v>299</v>
      </c>
      <c r="F41" s="74"/>
      <c r="G41" s="74" t="s">
        <v>458</v>
      </c>
      <c r="H41" s="74"/>
      <c r="I41" s="73"/>
      <c r="J41" s="3"/>
      <c r="K41" s="3"/>
      <c r="L41" s="3"/>
      <c r="M41" t="str" cm="1">
        <f t="array" ref="M41:CD41">TRANSPOSE(_xlfn.UNIQUE(_xlfn._xlws.FILTER(Table4[Discipine Area],(Table4[Discipline No.]=C41)*(Table4[Discipline No.]=C41))))</f>
        <v>SALOON</v>
      </c>
      <c r="N41" t="str">
        <v>Companion door</v>
      </c>
      <c r="O41" t="str">
        <v>Fwd cockpit door</v>
      </c>
      <c r="P41" t="str">
        <v>Windows</v>
      </c>
      <c r="Q41" t="str">
        <v>U shape settee</v>
      </c>
      <c r="R41" t="str">
        <v>Saloon table</v>
      </c>
      <c r="S41" t="str">
        <v>Formica Bulkheads</v>
      </c>
      <c r="T41" t="str">
        <v>Magazine locker/shelf locker</v>
      </c>
      <c r="U41" t="str">
        <v>Vents</v>
      </c>
      <c r="V41" t="str">
        <v>Hullside vinyl panels</v>
      </c>
      <c r="W41" t="str">
        <v>Window blinds</v>
      </c>
      <c r="X41" t="str">
        <v>Nav desk</v>
      </c>
      <c r="Y41" t="str">
        <v>Chart table with storage locker under hinged lid</v>
      </c>
      <c r="Z41" t="str">
        <v>Storage locker under chart table</v>
      </c>
      <c r="AA41" t="str">
        <v xml:space="preserve">AC Outlets </v>
      </c>
      <c r="AB41" t="str">
        <v>Ottoman</v>
      </c>
      <c r="AC41" t="str">
        <v>Galley lockers</v>
      </c>
      <c r="AD41" t="str">
        <v>Stove locker</v>
      </c>
      <c r="AE41" t="str">
        <v>Draw locker</v>
      </c>
      <c r="AF41" t="str">
        <v>Fridge/Freezer locker</v>
      </c>
      <c r="AG41" t="str">
        <v>Microwave locker</v>
      </c>
      <c r="AH41" t="str">
        <v>Tv locker</v>
      </c>
      <c r="AI41" t="str">
        <v>AC/DC locker</v>
      </c>
      <c r="AJ41" t="str">
        <v>Vinyl ceiling</v>
      </c>
      <c r="AK41" t="str">
        <v>Floor</v>
      </c>
      <c r="AL41" t="str">
        <v>Large bowl s/s sink</v>
      </c>
      <c r="AM41" t="str">
        <v>Dish and cutlery drying recess with drainage</v>
      </c>
      <c r="AN41" t="str">
        <v>Cover for drying recess</v>
      </c>
      <c r="AO41" t="str">
        <v xml:space="preserve">Vitrifrigo 2 drawer front-opening fridge/freezer </v>
      </c>
      <c r="AP41" t="str">
        <v>Ice maker</v>
      </c>
      <c r="AQ41" t="str">
        <v>Wine cooler</v>
      </c>
      <c r="AR41" t="str">
        <v>Burner gas hob</v>
      </c>
      <c r="AS41" t="str">
        <v>Gas oven</v>
      </c>
      <c r="AT41" t="str">
        <v>Gas solenoid shut-off valve with control &amp; warning light at cooker</v>
      </c>
      <c r="AU41" t="str">
        <v xml:space="preserve">Formica steps </v>
      </c>
      <c r="AV41" t="str">
        <v>Gas detectors in each hull connected to alarm in saloon</v>
      </c>
      <c r="AW41" t="str">
        <v>Smoke detector/alarm</v>
      </c>
      <c r="AX41" t="str">
        <v>LED overhead lighting</v>
      </c>
      <c r="AY41" t="str">
        <v>CABIN/ STUDY/PASSAGE</v>
      </c>
      <c r="AZ41" t="str">
        <v>Inspection lids</v>
      </c>
      <c r="BA41" t="str">
        <v>Vinyl panels</v>
      </c>
      <c r="BB41" t="str">
        <v>Stairs</v>
      </c>
      <c r="BC41" t="str">
        <v>Bedside table outboard</v>
      </c>
      <c r="BD41" t="str">
        <v>Bedside cave locker inboard</v>
      </c>
      <c r="BE41" t="str">
        <v>Bunktop/Double berth</v>
      </c>
      <c r="BF41" t="str">
        <v>Hanging locker</v>
      </c>
      <c r="BG41" t="str">
        <v>Bunk Drawers</v>
      </c>
      <c r="BH41" t="str">
        <v>Cabin Door</v>
      </c>
      <c r="BI41" t="str">
        <v>Door frames</v>
      </c>
      <c r="BJ41" t="str">
        <v>Fiddles</v>
      </c>
      <c r="BK41" t="str">
        <v>Fan</v>
      </c>
      <c r="BL41" t="str">
        <v>Hatch</v>
      </c>
      <c r="BM41" t="str">
        <v>2 x LED reading lamps over bunk</v>
      </c>
      <c r="BN41" t="str">
        <v>Vanity table/desk with storage locker and mirror under lid</v>
      </c>
      <c r="BO41" t="str">
        <v>Fold up vanity mirror</v>
      </c>
      <c r="BP41" t="str">
        <v>Sliding entrance door with lock</v>
      </c>
      <c r="BQ41" t="str">
        <v>Doors</v>
      </c>
      <c r="BR41" t="str">
        <v>Large mirror behind sliding entrance door</v>
      </c>
      <c r="BS41" t="str">
        <v xml:space="preserve">HEADS </v>
      </c>
      <c r="BT41" t="str">
        <v>Under-basin locker with toilet roll holder</v>
      </c>
      <c r="BU41" t="str">
        <v>Vanity locker with mirror</v>
      </c>
      <c r="BV41" t="str">
        <v>Double towel rail</v>
      </c>
      <c r="BW41" t="str">
        <v>Sliding or hinged heads door</v>
      </c>
      <c r="BX41" t="str">
        <v>Washing machine locker</v>
      </c>
      <c r="BY41" t="str">
        <v>Dedicated trashcan locker</v>
      </c>
      <c r="BZ41" t="str">
        <v>Coat hook</v>
      </c>
      <c r="CA41" t="str">
        <v>Waste tank</v>
      </c>
      <c r="CB41" t="str">
        <v>Forepeak panel</v>
      </c>
      <c r="CC41" t="str">
        <v>Portlight with roller blind</v>
      </c>
      <c r="CD41" t="str">
        <v>Overhead roller blinds for privacy</v>
      </c>
    </row>
    <row r="42" spans="1:82" ht="15.75" customHeight="1" x14ac:dyDescent="0.25">
      <c r="A42" s="9"/>
      <c r="B42" s="116"/>
      <c r="C42" s="9">
        <v>4</v>
      </c>
      <c r="D42" s="73" t="s">
        <v>310</v>
      </c>
      <c r="E42" s="73" t="s">
        <v>299</v>
      </c>
      <c r="F42" s="74"/>
      <c r="G42" s="74" t="s">
        <v>488</v>
      </c>
      <c r="H42" s="74"/>
      <c r="I42" s="73"/>
      <c r="J42" s="3"/>
      <c r="K42" s="3"/>
      <c r="L42" s="3"/>
    </row>
    <row r="43" spans="1:82" ht="13.5" customHeight="1" x14ac:dyDescent="0.25">
      <c r="A43" s="9"/>
      <c r="B43" s="118"/>
      <c r="C43" s="9">
        <v>4</v>
      </c>
      <c r="D43" s="73" t="s">
        <v>310</v>
      </c>
      <c r="E43" s="73" t="s">
        <v>300</v>
      </c>
      <c r="F43" s="74"/>
      <c r="G43" s="74" t="s">
        <v>489</v>
      </c>
      <c r="H43" s="74"/>
      <c r="I43" s="73"/>
      <c r="J43" s="3"/>
      <c r="K43" s="3"/>
      <c r="L43" s="3"/>
    </row>
    <row r="44" spans="1:82" ht="26.25" customHeight="1" x14ac:dyDescent="0.25">
      <c r="A44" s="9"/>
      <c r="B44" s="118"/>
      <c r="C44" s="9">
        <v>3</v>
      </c>
      <c r="D44" s="73" t="s">
        <v>279</v>
      </c>
      <c r="E44" s="73" t="s">
        <v>362</v>
      </c>
      <c r="F44" s="74"/>
      <c r="G44" s="74" t="s">
        <v>446</v>
      </c>
      <c r="H44" s="74"/>
      <c r="I44" s="73"/>
      <c r="J44" s="3"/>
      <c r="K44" s="3"/>
      <c r="L44" s="3"/>
      <c r="M44" t="str" cm="1">
        <f t="array" ref="M44:CD44">TRANSPOSE(_xlfn.UNIQUE(_xlfn._xlws.FILTER(Table4[Discipine Area],(Table4[Discipline No.]=C44)*(Table4[Discipline No.]=C44))))</f>
        <v>SALOON</v>
      </c>
      <c r="N44" t="str">
        <v>Companion door</v>
      </c>
      <c r="O44" t="str">
        <v>Fwd cockpit door</v>
      </c>
      <c r="P44" t="str">
        <v>Windows</v>
      </c>
      <c r="Q44" t="str">
        <v>U shape settee</v>
      </c>
      <c r="R44" t="str">
        <v>Saloon table</v>
      </c>
      <c r="S44" t="str">
        <v>Formica Bulkheads</v>
      </c>
      <c r="T44" t="str">
        <v>Magazine locker/shelf locker</v>
      </c>
      <c r="U44" t="str">
        <v>Vents</v>
      </c>
      <c r="V44" t="str">
        <v>Hullside vinyl panels</v>
      </c>
      <c r="W44" t="str">
        <v>Window blinds</v>
      </c>
      <c r="X44" t="str">
        <v>Nav desk</v>
      </c>
      <c r="Y44" t="str">
        <v>Chart table with storage locker under hinged lid</v>
      </c>
      <c r="Z44" t="str">
        <v>Storage locker under chart table</v>
      </c>
      <c r="AA44" t="str">
        <v xml:space="preserve">AC Outlets </v>
      </c>
      <c r="AB44" t="str">
        <v>Ottoman</v>
      </c>
      <c r="AC44" t="str">
        <v>Galley lockers</v>
      </c>
      <c r="AD44" t="str">
        <v>Stove locker</v>
      </c>
      <c r="AE44" t="str">
        <v>Draw locker</v>
      </c>
      <c r="AF44" t="str">
        <v>Fridge/Freezer locker</v>
      </c>
      <c r="AG44" t="str">
        <v>Microwave locker</v>
      </c>
      <c r="AH44" t="str">
        <v>Tv locker</v>
      </c>
      <c r="AI44" t="str">
        <v>AC/DC locker</v>
      </c>
      <c r="AJ44" t="str">
        <v>Vinyl ceiling</v>
      </c>
      <c r="AK44" t="str">
        <v>Floor</v>
      </c>
      <c r="AL44" t="str">
        <v>Large bowl s/s sink</v>
      </c>
      <c r="AM44" t="str">
        <v>Dish and cutlery drying recess with drainage</v>
      </c>
      <c r="AN44" t="str">
        <v>Cover for drying recess</v>
      </c>
      <c r="AO44" t="str">
        <v xml:space="preserve">Vitrifrigo 2 drawer front-opening fridge/freezer </v>
      </c>
      <c r="AP44" t="str">
        <v>Ice maker</v>
      </c>
      <c r="AQ44" t="str">
        <v>Wine cooler</v>
      </c>
      <c r="AR44" t="str">
        <v>Burner gas hob</v>
      </c>
      <c r="AS44" t="str">
        <v>Gas oven</v>
      </c>
      <c r="AT44" t="str">
        <v>Gas solenoid shut-off valve with control &amp; warning light at cooker</v>
      </c>
      <c r="AU44" t="str">
        <v xml:space="preserve">Formica steps </v>
      </c>
      <c r="AV44" t="str">
        <v>Gas detectors in each hull connected to alarm in saloon</v>
      </c>
      <c r="AW44" t="str">
        <v>Smoke detector/alarm</v>
      </c>
      <c r="AX44" t="str">
        <v>LED overhead lighting</v>
      </c>
      <c r="AY44" t="str">
        <v>CABIN/ STUDY/PASSAGE</v>
      </c>
      <c r="AZ44" t="str">
        <v>Inspection lids</v>
      </c>
      <c r="BA44" t="str">
        <v>Vinyl panels</v>
      </c>
      <c r="BB44" t="str">
        <v>Stairs</v>
      </c>
      <c r="BC44" t="str">
        <v>Bedside table outboard</v>
      </c>
      <c r="BD44" t="str">
        <v>Bedside cave locker inboard</v>
      </c>
      <c r="BE44" t="str">
        <v>Bunktop/Double berth</v>
      </c>
      <c r="BF44" t="str">
        <v>Hanging locker</v>
      </c>
      <c r="BG44" t="str">
        <v>Bunk Drawers</v>
      </c>
      <c r="BH44" t="str">
        <v>Cabin Door</v>
      </c>
      <c r="BI44" t="str">
        <v>Door frames</v>
      </c>
      <c r="BJ44" t="str">
        <v>Fiddles</v>
      </c>
      <c r="BK44" t="str">
        <v>Fan</v>
      </c>
      <c r="BL44" t="str">
        <v>Hatch</v>
      </c>
      <c r="BM44" t="str">
        <v>2 x LED reading lamps over bunk</v>
      </c>
      <c r="BN44" t="str">
        <v>Vanity table/desk with storage locker and mirror under lid</v>
      </c>
      <c r="BO44" t="str">
        <v>Fold up vanity mirror</v>
      </c>
      <c r="BP44" t="str">
        <v>Sliding entrance door with lock</v>
      </c>
      <c r="BQ44" t="str">
        <v>Doors</v>
      </c>
      <c r="BR44" t="str">
        <v>Large mirror behind sliding entrance door</v>
      </c>
      <c r="BS44" t="str">
        <v xml:space="preserve">HEADS </v>
      </c>
      <c r="BT44" t="str">
        <v>Under-basin locker with toilet roll holder</v>
      </c>
      <c r="BU44" t="str">
        <v>Vanity locker with mirror</v>
      </c>
      <c r="BV44" t="str">
        <v>Double towel rail</v>
      </c>
      <c r="BW44" t="str">
        <v>Sliding or hinged heads door</v>
      </c>
      <c r="BX44" t="str">
        <v>Washing machine locker</v>
      </c>
      <c r="BY44" t="str">
        <v>Dedicated trashcan locker</v>
      </c>
      <c r="BZ44" t="str">
        <v>Coat hook</v>
      </c>
      <c r="CA44" t="str">
        <v>Waste tank</v>
      </c>
      <c r="CB44" t="str">
        <v>Forepeak panel</v>
      </c>
      <c r="CC44" t="str">
        <v>Portlight with roller blind</v>
      </c>
      <c r="CD44" t="str">
        <v>Overhead roller blinds for privacy</v>
      </c>
    </row>
    <row r="45" spans="1:82" ht="25.5" customHeight="1" x14ac:dyDescent="0.25">
      <c r="A45" s="9"/>
      <c r="B45" s="118"/>
      <c r="C45" s="9">
        <v>3</v>
      </c>
      <c r="D45" s="73" t="s">
        <v>279</v>
      </c>
      <c r="E45" s="73" t="s">
        <v>299</v>
      </c>
      <c r="F45" s="74"/>
      <c r="G45" s="74" t="s">
        <v>447</v>
      </c>
      <c r="H45" s="74"/>
      <c r="I45" s="73"/>
      <c r="J45" s="3"/>
      <c r="K45" s="3"/>
      <c r="L45" s="3"/>
    </row>
    <row r="46" spans="1:82" ht="30" x14ac:dyDescent="0.25">
      <c r="A46" s="9"/>
      <c r="B46" s="118"/>
      <c r="C46" s="9">
        <v>3</v>
      </c>
      <c r="D46" s="73" t="s">
        <v>279</v>
      </c>
      <c r="E46" s="73" t="s">
        <v>213</v>
      </c>
      <c r="F46" s="74"/>
      <c r="G46" s="74" t="s">
        <v>448</v>
      </c>
      <c r="H46" s="74"/>
      <c r="I46" s="3"/>
      <c r="J46" s="3"/>
      <c r="K46" s="3"/>
      <c r="L46" s="3"/>
      <c r="M46" t="str" cm="1">
        <f t="array" ref="M46:CD46">TRANSPOSE(_xlfn.UNIQUE(_xlfn._xlws.FILTER(Table4[Discipine Area],(Table4[Discipline No.]=C46)*(Table4[Discipline No.]=C46))))</f>
        <v>SALOON</v>
      </c>
      <c r="N46" t="str">
        <v>Companion door</v>
      </c>
      <c r="O46" t="str">
        <v>Fwd cockpit door</v>
      </c>
      <c r="P46" t="str">
        <v>Windows</v>
      </c>
      <c r="Q46" t="str">
        <v>U shape settee</v>
      </c>
      <c r="R46" t="str">
        <v>Saloon table</v>
      </c>
      <c r="S46" t="str">
        <v>Formica Bulkheads</v>
      </c>
      <c r="T46" t="str">
        <v>Magazine locker/shelf locker</v>
      </c>
      <c r="U46" t="str">
        <v>Vents</v>
      </c>
      <c r="V46" t="str">
        <v>Hullside vinyl panels</v>
      </c>
      <c r="W46" t="str">
        <v>Window blinds</v>
      </c>
      <c r="X46" t="str">
        <v>Nav desk</v>
      </c>
      <c r="Y46" t="str">
        <v>Chart table with storage locker under hinged lid</v>
      </c>
      <c r="Z46" t="str">
        <v>Storage locker under chart table</v>
      </c>
      <c r="AA46" t="str">
        <v xml:space="preserve">AC Outlets </v>
      </c>
      <c r="AB46" t="str">
        <v>Ottoman</v>
      </c>
      <c r="AC46" t="str">
        <v>Galley lockers</v>
      </c>
      <c r="AD46" t="str">
        <v>Stove locker</v>
      </c>
      <c r="AE46" t="str">
        <v>Draw locker</v>
      </c>
      <c r="AF46" t="str">
        <v>Fridge/Freezer locker</v>
      </c>
      <c r="AG46" t="str">
        <v>Microwave locker</v>
      </c>
      <c r="AH46" t="str">
        <v>Tv locker</v>
      </c>
      <c r="AI46" t="str">
        <v>AC/DC locker</v>
      </c>
      <c r="AJ46" t="str">
        <v>Vinyl ceiling</v>
      </c>
      <c r="AK46" t="str">
        <v>Floor</v>
      </c>
      <c r="AL46" t="str">
        <v>Large bowl s/s sink</v>
      </c>
      <c r="AM46" t="str">
        <v>Dish and cutlery drying recess with drainage</v>
      </c>
      <c r="AN46" t="str">
        <v>Cover for drying recess</v>
      </c>
      <c r="AO46" t="str">
        <v xml:space="preserve">Vitrifrigo 2 drawer front-opening fridge/freezer </v>
      </c>
      <c r="AP46" t="str">
        <v>Ice maker</v>
      </c>
      <c r="AQ46" t="str">
        <v>Wine cooler</v>
      </c>
      <c r="AR46" t="str">
        <v>Burner gas hob</v>
      </c>
      <c r="AS46" t="str">
        <v>Gas oven</v>
      </c>
      <c r="AT46" t="str">
        <v>Gas solenoid shut-off valve with control &amp; warning light at cooker</v>
      </c>
      <c r="AU46" t="str">
        <v xml:space="preserve">Formica steps </v>
      </c>
      <c r="AV46" t="str">
        <v>Gas detectors in each hull connected to alarm in saloon</v>
      </c>
      <c r="AW46" t="str">
        <v>Smoke detector/alarm</v>
      </c>
      <c r="AX46" t="str">
        <v>LED overhead lighting</v>
      </c>
      <c r="AY46" t="str">
        <v>CABIN/ STUDY/PASSAGE</v>
      </c>
      <c r="AZ46" t="str">
        <v>Inspection lids</v>
      </c>
      <c r="BA46" t="str">
        <v>Vinyl panels</v>
      </c>
      <c r="BB46" t="str">
        <v>Stairs</v>
      </c>
      <c r="BC46" t="str">
        <v>Bedside table outboard</v>
      </c>
      <c r="BD46" t="str">
        <v>Bedside cave locker inboard</v>
      </c>
      <c r="BE46" t="str">
        <v>Bunktop/Double berth</v>
      </c>
      <c r="BF46" t="str">
        <v>Hanging locker</v>
      </c>
      <c r="BG46" t="str">
        <v>Bunk Drawers</v>
      </c>
      <c r="BH46" t="str">
        <v>Cabin Door</v>
      </c>
      <c r="BI46" t="str">
        <v>Door frames</v>
      </c>
      <c r="BJ46" t="str">
        <v>Fiddles</v>
      </c>
      <c r="BK46" t="str">
        <v>Fan</v>
      </c>
      <c r="BL46" t="str">
        <v>Hatch</v>
      </c>
      <c r="BM46" t="str">
        <v>2 x LED reading lamps over bunk</v>
      </c>
      <c r="BN46" t="str">
        <v>Vanity table/desk with storage locker and mirror under lid</v>
      </c>
      <c r="BO46" t="str">
        <v>Fold up vanity mirror</v>
      </c>
      <c r="BP46" t="str">
        <v>Sliding entrance door with lock</v>
      </c>
      <c r="BQ46" t="str">
        <v>Doors</v>
      </c>
      <c r="BR46" t="str">
        <v>Large mirror behind sliding entrance door</v>
      </c>
      <c r="BS46" t="str">
        <v xml:space="preserve">HEADS </v>
      </c>
      <c r="BT46" t="str">
        <v>Under-basin locker with toilet roll holder</v>
      </c>
      <c r="BU46" t="str">
        <v>Vanity locker with mirror</v>
      </c>
      <c r="BV46" t="str">
        <v>Double towel rail</v>
      </c>
      <c r="BW46" t="str">
        <v>Sliding or hinged heads door</v>
      </c>
      <c r="BX46" t="str">
        <v>Washing machine locker</v>
      </c>
      <c r="BY46" t="str">
        <v>Dedicated trashcan locker</v>
      </c>
      <c r="BZ46" t="str">
        <v>Coat hook</v>
      </c>
      <c r="CA46" t="str">
        <v>Waste tank</v>
      </c>
      <c r="CB46" t="str">
        <v>Forepeak panel</v>
      </c>
      <c r="CC46" t="str">
        <v>Portlight with roller blind</v>
      </c>
      <c r="CD46" t="str">
        <v>Overhead roller blinds for privacy</v>
      </c>
    </row>
    <row r="47" spans="1:82" x14ac:dyDescent="0.25">
      <c r="A47" s="9"/>
      <c r="B47" s="118"/>
      <c r="C47" s="9"/>
      <c r="D47" s="73"/>
      <c r="E47" s="73"/>
      <c r="F47" s="74"/>
      <c r="G47" s="74"/>
      <c r="H47" s="74"/>
      <c r="I47" s="3"/>
      <c r="J47" s="3"/>
      <c r="K47" s="3"/>
      <c r="L47" s="3"/>
    </row>
    <row r="48" spans="1:82" ht="15.75" customHeight="1" x14ac:dyDescent="0.25">
      <c r="A48" s="9"/>
      <c r="B48" s="118"/>
      <c r="C48" s="9"/>
      <c r="D48" s="73"/>
      <c r="E48" s="73"/>
      <c r="F48" s="74"/>
      <c r="G48" s="74"/>
      <c r="H48" s="74"/>
      <c r="I48" s="73"/>
      <c r="J48" s="3"/>
      <c r="K48" s="3"/>
      <c r="L48" s="3"/>
      <c r="M48" t="e" cm="1" vm="1">
        <f t="array" ref="M48">TRANSPOSE(_xlfn.UNIQUE(_xlfn._xlws.FILTER(Table4[Discipine Area],(Table4[Discipline No.]=C48)*(Table4[Discipline No.]=C48))))</f>
        <v>#VALUE!</v>
      </c>
    </row>
    <row r="49" spans="1:86" ht="15" customHeight="1" x14ac:dyDescent="0.25">
      <c r="A49" s="9"/>
      <c r="B49" s="118"/>
      <c r="C49" s="9"/>
      <c r="D49" s="73"/>
      <c r="E49" s="73"/>
      <c r="F49" s="74"/>
      <c r="G49" s="74"/>
      <c r="H49" s="74"/>
      <c r="I49" s="73"/>
      <c r="J49" s="3"/>
      <c r="K49" s="3"/>
      <c r="L49" s="3"/>
      <c r="M49" t="e" cm="1" vm="1">
        <f t="array" ref="M49">TRANSPOSE(_xlfn.UNIQUE(_xlfn._xlws.FILTER(Table4[Discipine Area],(Table4[Discipline No.]=C49)*(Table4[Discipline No.]=C49))))</f>
        <v>#VALUE!</v>
      </c>
    </row>
    <row r="50" spans="1:86" ht="13.5" customHeight="1" x14ac:dyDescent="0.25">
      <c r="A50" s="9"/>
      <c r="B50" s="118"/>
      <c r="C50" s="9"/>
      <c r="D50" s="73"/>
      <c r="E50" s="73"/>
      <c r="F50" s="74"/>
      <c r="G50" s="74"/>
      <c r="H50" s="74"/>
      <c r="I50" s="73"/>
      <c r="J50" s="3"/>
      <c r="K50" s="3"/>
      <c r="L50" s="3"/>
      <c r="M50" t="e" cm="1" vm="1">
        <f t="array" ref="M50">TRANSPOSE(_xlfn.UNIQUE(_xlfn._xlws.FILTER(Table4[Discipine Area],(Table4[Discipline No.]=C50)*(Table4[Discipline No.]=C50))))</f>
        <v>#VALUE!</v>
      </c>
    </row>
    <row r="51" spans="1:86" ht="15" customHeight="1" x14ac:dyDescent="0.25">
      <c r="A51" s="9"/>
      <c r="B51" s="118"/>
      <c r="C51" s="9"/>
      <c r="D51" s="73"/>
      <c r="E51" s="73"/>
      <c r="F51" s="74"/>
      <c r="G51" s="74"/>
      <c r="H51" s="74"/>
      <c r="I51" s="73"/>
      <c r="J51" s="3"/>
      <c r="K51" s="3"/>
      <c r="L51" s="3"/>
      <c r="M51" t="e" cm="1" vm="1">
        <f t="array" ref="M51">TRANSPOSE(_xlfn.UNIQUE(_xlfn._xlws.FILTER(Table4[Discipine Area],(Table4[Discipline No.]=C51)*(Table4[Discipline No.]=C51))))</f>
        <v>#VALUE!</v>
      </c>
    </row>
    <row r="52" spans="1:86" ht="15" customHeight="1" x14ac:dyDescent="0.25">
      <c r="A52" s="9"/>
      <c r="B52" s="118"/>
      <c r="C52" s="9"/>
      <c r="D52" s="73"/>
      <c r="E52" s="73"/>
      <c r="F52" s="74"/>
      <c r="G52" s="74"/>
      <c r="H52" s="74"/>
      <c r="I52" s="73"/>
      <c r="J52" s="3"/>
      <c r="K52" s="3"/>
      <c r="L52" s="3"/>
      <c r="M52" t="e" cm="1" vm="1">
        <f t="array" ref="M52">TRANSPOSE(_xlfn.UNIQUE(_xlfn._xlws.FILTER(Table4[Discipine Area],(Table4[Discipline No.]=C52)*(Table4[Discipline No.]=C52))))</f>
        <v>#VALUE!</v>
      </c>
    </row>
    <row r="53" spans="1:86" ht="15.75" customHeight="1" x14ac:dyDescent="0.25">
      <c r="A53" s="126"/>
      <c r="B53" s="116"/>
      <c r="C53" s="9"/>
      <c r="D53" s="73"/>
      <c r="E53" s="73"/>
      <c r="F53" s="74"/>
      <c r="G53" s="74"/>
      <c r="H53" s="74"/>
      <c r="I53" s="73"/>
      <c r="J53" s="3"/>
      <c r="K53" s="3"/>
      <c r="L53" s="3"/>
    </row>
    <row r="54" spans="1:86" ht="15" customHeight="1" x14ac:dyDescent="0.25">
      <c r="A54" s="9"/>
      <c r="B54" s="115"/>
      <c r="C54" s="9"/>
      <c r="D54" s="73"/>
      <c r="E54" s="73"/>
      <c r="F54" s="74"/>
      <c r="G54" s="74"/>
      <c r="H54" s="74"/>
      <c r="I54" s="73"/>
      <c r="J54" s="3"/>
      <c r="K54" s="3"/>
      <c r="L54" s="3"/>
      <c r="M54" t="e" cm="1" vm="1">
        <f t="array" ref="M54">TRANSPOSE(_xlfn.UNIQUE(_xlfn._xlws.FILTER(Table4[Discipine Area],(Table4[Discipline No.]=C54)*(Table4[Discipline No.]=C54))))</f>
        <v>#VALUE!</v>
      </c>
    </row>
    <row r="55" spans="1:86" ht="15" customHeight="1" x14ac:dyDescent="0.25">
      <c r="A55" s="9"/>
      <c r="B55" s="116"/>
      <c r="C55" s="9"/>
      <c r="D55" s="73"/>
      <c r="E55" s="73"/>
      <c r="F55" s="74"/>
      <c r="G55" s="74"/>
      <c r="H55" s="74"/>
      <c r="I55" s="73"/>
      <c r="J55" s="3"/>
      <c r="K55" s="3"/>
      <c r="L55" s="3"/>
      <c r="M55" t="e" cm="1" vm="1">
        <f t="array" ref="M55">TRANSPOSE(_xlfn.UNIQUE(_xlfn._xlws.FILTER(Table4[Discipine Area],(Table4[Discipline No.]=C55)*(Table4[Discipline No.]=C55))))</f>
        <v>#VALUE!</v>
      </c>
    </row>
    <row r="56" spans="1:86" ht="15" customHeight="1" x14ac:dyDescent="0.25">
      <c r="A56" s="9"/>
      <c r="B56" s="115"/>
      <c r="C56" s="9"/>
      <c r="D56" s="75"/>
      <c r="E56" s="73"/>
      <c r="F56" s="74"/>
      <c r="G56" s="74"/>
      <c r="H56" s="73"/>
      <c r="I56" s="3"/>
      <c r="J56" s="3"/>
      <c r="K56" s="3"/>
      <c r="L56" s="3"/>
      <c r="M56" t="e" cm="1" vm="1">
        <f t="array" ref="M56">TRANSPOSE(_xlfn.UNIQUE(_xlfn._xlws.FILTER(Table4[Discipine Area],(Table4[Discipline No.]=C56)*(Table4[Discipline No.]=C56))))</f>
        <v>#VALUE!</v>
      </c>
    </row>
    <row r="57" spans="1:86" ht="15.75" customHeight="1" x14ac:dyDescent="0.25">
      <c r="A57" s="76"/>
      <c r="B57" s="115"/>
      <c r="C57" s="9"/>
      <c r="D57" s="75"/>
      <c r="E57" s="73"/>
      <c r="F57" s="74"/>
      <c r="G57" s="74"/>
      <c r="H57" s="73"/>
      <c r="I57" s="3"/>
      <c r="J57" s="3"/>
      <c r="K57" s="3"/>
      <c r="L57" s="3"/>
      <c r="M57" t="e" cm="1" vm="1">
        <f t="array" ref="M57">TRANSPOSE(_xlfn.UNIQUE(_xlfn._xlws.FILTER(Table4[Discipine Area],(Table4[Discipline No.]=C57)*(Table4[Discipline No.]=C57))))</f>
        <v>#VALUE!</v>
      </c>
    </row>
    <row r="58" spans="1:86" ht="15.75" customHeight="1" x14ac:dyDescent="0.25">
      <c r="A58" s="76"/>
      <c r="B58" s="97"/>
      <c r="C58" s="76"/>
      <c r="D58" s="3"/>
      <c r="E58" s="3"/>
      <c r="F58" s="74"/>
      <c r="G58" s="74"/>
      <c r="H58" s="73"/>
      <c r="I58" s="3"/>
      <c r="J58" s="3"/>
      <c r="K58" s="3"/>
      <c r="L58" s="3"/>
      <c r="M58" t="e" cm="1" vm="1">
        <f t="array" ref="M58">TRANSPOSE(_xlfn.UNIQUE(_xlfn._xlws.FILTER(Table4[Discipine Area],(Table4[Discipline No.]=C58)*(Table4[Discipline No.]=C58))))</f>
        <v>#VALUE!</v>
      </c>
    </row>
    <row r="59" spans="1:86" ht="15" customHeight="1" x14ac:dyDescent="0.25">
      <c r="A59" s="131" t="s">
        <v>414</v>
      </c>
      <c r="B59" s="132"/>
      <c r="C59" s="132"/>
      <c r="D59" s="132"/>
      <c r="E59" s="132"/>
      <c r="F59" s="133"/>
      <c r="G59" s="74"/>
      <c r="H59" s="141"/>
      <c r="I59" s="142"/>
      <c r="J59" s="134" t="s">
        <v>417</v>
      </c>
      <c r="K59" s="135"/>
      <c r="L59" s="136"/>
      <c r="M59" t="e" cm="1" vm="1">
        <f t="array" ref="M59">TRANSPOSE(_xlfn.UNIQUE(_xlfn._xlws.FILTER(Table4[Discipine Area],(Table4[Discipline No.]=C59)*(Table4[Discipline No.]=C59))))</f>
        <v>#VALUE!</v>
      </c>
    </row>
    <row r="60" spans="1:86" ht="15" customHeight="1" x14ac:dyDescent="0.25">
      <c r="A60" s="127" t="s">
        <v>0</v>
      </c>
      <c r="B60" s="127" t="s">
        <v>1</v>
      </c>
      <c r="C60" s="129" t="s">
        <v>2</v>
      </c>
      <c r="D60" s="129" t="s">
        <v>3</v>
      </c>
      <c r="E60" s="129" t="s">
        <v>4</v>
      </c>
      <c r="F60" s="129" t="s">
        <v>410</v>
      </c>
      <c r="G60" s="139" t="s">
        <v>216</v>
      </c>
      <c r="H60" s="139" t="s">
        <v>6</v>
      </c>
      <c r="I60" s="139" t="s">
        <v>7</v>
      </c>
      <c r="J60" s="137" t="s">
        <v>8</v>
      </c>
      <c r="K60" s="138" t="s">
        <v>9</v>
      </c>
      <c r="L60" s="138"/>
      <c r="M60" t="e" cm="1" vm="1">
        <f t="array" ref="M60">TRANSPOSE(_xlfn.UNIQUE(_xlfn._xlws.FILTER(Table4[Discipine Area],(Table4[Discipline No.]=C60)*(Table4[Discipline No.]=C60))))</f>
        <v>#VALUE!</v>
      </c>
    </row>
    <row r="61" spans="1:86" ht="15" customHeight="1" x14ac:dyDescent="0.25">
      <c r="A61" s="128"/>
      <c r="B61" s="128"/>
      <c r="C61" s="130"/>
      <c r="D61" s="130"/>
      <c r="E61" s="130"/>
      <c r="F61" s="130"/>
      <c r="G61" s="140"/>
      <c r="H61" s="140"/>
      <c r="I61" s="140"/>
      <c r="J61" s="137"/>
      <c r="K61" s="78" t="s">
        <v>10</v>
      </c>
      <c r="L61" s="78" t="s">
        <v>11</v>
      </c>
      <c r="M61" t="e" cm="1" vm="1">
        <f t="array" ref="M61">TRANSPOSE(_xlfn.UNIQUE(_xlfn._xlws.FILTER(Table4[Discipine Area],(Table4[Discipline No.]=C61)*(Table4[Discipline No.]=C61))))</f>
        <v>#VALUE!</v>
      </c>
    </row>
    <row r="62" spans="1:86" ht="22.5" customHeight="1" x14ac:dyDescent="0.25">
      <c r="A62" s="76"/>
      <c r="B62" s="114" t="s">
        <v>460</v>
      </c>
      <c r="C62" s="9"/>
      <c r="D62" s="73"/>
      <c r="E62" s="73"/>
      <c r="F62" s="74"/>
      <c r="G62" s="74"/>
      <c r="H62" s="75"/>
      <c r="I62" s="3"/>
      <c r="J62" s="3"/>
      <c r="K62" s="3"/>
      <c r="L62" s="3"/>
      <c r="M62" t="e" cm="1" vm="1">
        <f t="array" ref="M62">TRANSPOSE(_xlfn.UNIQUE(_xlfn._xlws.FILTER(Table4[Discipine Area],(Table4[Discipline No.]=C62)*(Table4[Discipline No.]=C62))))</f>
        <v>#VALUE!</v>
      </c>
    </row>
    <row r="63" spans="1:86" ht="30" x14ac:dyDescent="0.25">
      <c r="A63" s="9"/>
      <c r="B63" s="118"/>
      <c r="C63" s="9">
        <v>4</v>
      </c>
      <c r="D63" s="73" t="s">
        <v>279</v>
      </c>
      <c r="E63" s="73" t="s">
        <v>298</v>
      </c>
      <c r="F63" s="74"/>
      <c r="G63" s="74" t="s">
        <v>461</v>
      </c>
      <c r="H63" s="75"/>
      <c r="I63" s="3"/>
      <c r="J63" s="3"/>
      <c r="K63" s="3"/>
      <c r="L63" s="3"/>
      <c r="M63" t="str" cm="1">
        <f t="array" ref="M63:CH63">TRANSPOSE(_xlfn.UNIQUE(_xlfn._xlws.FILTER(Table4[Discipine Area],(Table4[Discipline No.]=C63)*(Table4[Discipline No.]=C63))))</f>
        <v>DECKFITTING</v>
      </c>
      <c r="N63" t="str">
        <v>Guard wires with stanchions, bases, port &amp; starboard side gates</v>
      </c>
      <c r="O63" t="str">
        <v>Guard wires across bow and stern</v>
      </c>
      <c r="P63" t="str">
        <v>Windlass, 10mm gypsy &amp; hand-held remote</v>
      </c>
      <c r="Q63" t="str">
        <v>Anchor bow roller fitting</v>
      </c>
      <c r="R63" t="str">
        <v>Anchor chain stopper</v>
      </c>
      <c r="S63" t="str">
        <v>Life raft locker with convertible fore/aft seat bolster</v>
      </c>
      <c r="T63" t="str">
        <v>Backrest s/s railing</v>
      </c>
      <c r="U63" t="str">
        <v>Sliding companionway door/window</v>
      </c>
      <c r="V63" t="str">
        <v>Sliding hatch over forward cockpit steps</v>
      </c>
      <c r="W63" t="str">
        <v>Hardtop over forward and aft cockpit complete with LED lighting</v>
      </c>
      <c r="X63" t="str">
        <v>Hardtop bimini over helm with supports and LED light</v>
      </c>
      <c r="Y63" t="str">
        <v>Hull windows</v>
      </c>
      <c r="Z63" t="str">
        <v>Folding swimming ladder c/w teak steps</v>
      </c>
      <c r="AA63" t="str">
        <v>Emergency ladder on port transom</v>
      </c>
      <c r="AB63" t="str">
        <v>Aft Cockpit table</v>
      </c>
      <c r="AC63" t="str">
        <v>Wetbar</v>
      </c>
      <c r="AD63" t="str">
        <v>Fold down Forward Cockpit table</v>
      </c>
      <c r="AE63" t="str">
        <v>Mainsheet system</v>
      </c>
      <c r="AF63" t="str">
        <v xml:space="preserve">Trampoline </v>
      </c>
      <c r="AG63" t="str">
        <v>Helm seat with upholstered backrest</v>
      </c>
      <c r="AH63" t="str">
        <v>Acrylic smoke grey tinted windows</v>
      </c>
      <c r="AI63" t="str">
        <v>Hardtop supports</v>
      </c>
      <c r="AJ63" t="str">
        <v>Flush Hatch over heads</v>
      </c>
      <c r="AK63" t="str">
        <v>Flush Hatch over cabins</v>
      </c>
      <c r="AL63" t="str">
        <v>Flush Hatch over port forepeak (includes mushroom cowl)</v>
      </c>
      <c r="AM63" t="str">
        <v>Portlight windscreen</v>
      </c>
      <c r="AN63" t="str">
        <v>chain plate</v>
      </c>
      <c r="AO63" t="str">
        <v>chafe plate</v>
      </c>
      <c r="AP63" t="str">
        <v>Portlight hull side</v>
      </c>
      <c r="AQ63" t="str">
        <v>Stbd hull side</v>
      </c>
      <c r="AR63" t="str">
        <v>Portlight  in transom</v>
      </c>
      <c r="AS63" t="str">
        <v>Anchor chain bin</v>
      </c>
      <c r="AT63" t="str">
        <v>Anchor/windlass locker</v>
      </c>
      <c r="AU63" t="str">
        <v>Foredeck/forward cockpit lockers</v>
      </c>
      <c r="AV63" t="str">
        <v>Forward access to foredeck c/w watertight Lewmar door</v>
      </c>
      <c r="AW63" t="str">
        <v>S/S cupholder</v>
      </c>
      <c r="AX63" t="str">
        <v>Pulpits with seats</v>
      </c>
      <c r="AY63" t="str">
        <v>Pushpits</v>
      </c>
      <c r="AZ63" t="str">
        <v>Coachroof handrails</v>
      </c>
      <c r="BA63" t="str">
        <v>Hardtop grab handles</v>
      </c>
      <c r="BB63" t="str">
        <v>Transom grab handles</v>
      </c>
      <c r="BC63" t="str">
        <v>Mooring cleats</v>
      </c>
      <c r="BD63" t="str">
        <v>Lewmar winch handles</v>
      </c>
      <c r="BE63" t="str">
        <v xml:space="preserve">Primary electric winches </v>
      </c>
      <c r="BF63" t="str">
        <v xml:space="preserve">Mainsheet winch </v>
      </c>
      <c r="BG63" t="str">
        <v>Lewmar genoa cars with pin stop</v>
      </c>
      <c r="BH63" t="str">
        <v>Lewmar genoa tracks</v>
      </c>
      <c r="BI63" t="str">
        <v>Halyard clutch at helm (mainsail)</v>
      </c>
      <c r="BJ63" t="str">
        <v>Halyard clutch at helm (gennaker)</v>
      </c>
      <c r="BK63" t="str">
        <v>Genoa sheet clutch at helm</v>
      </c>
      <c r="BL63" t="str">
        <v>Main sheet clutch at helm</v>
      </c>
      <c r="BM63" t="str">
        <v>Reef clutch at helm</v>
      </c>
      <c r="BN63" t="str">
        <v>Clutch and cleat on mast for genoa halyard</v>
      </c>
      <c r="BO63" t="str">
        <v>Furler clutch</v>
      </c>
      <c r="BP63" t="str">
        <v>Drinks holders - 2 in fwd cockpit and 1 at helm</v>
      </c>
      <c r="BQ63" t="str">
        <v>Rope bag at helm with integral winch handle pocket</v>
      </c>
      <c r="BR63" t="str">
        <v>Natural anodized mast</v>
      </c>
      <c r="BS63" t="str">
        <v>Natural anodized crossbeam c/w mooring cleats</v>
      </c>
      <c r="BT63" t="str">
        <v>Wind indicator</v>
      </c>
      <c r="BU63" t="str">
        <v>Genoa furler</v>
      </c>
      <c r="BV63" t="str">
        <v>Mainsail full battened c/w 2 rows reefs</v>
      </c>
      <c r="BW63" t="str">
        <v>Furling genoa</v>
      </c>
      <c r="BX63" t="str">
        <v>2 x Additional spare 12v wires in mast</v>
      </c>
      <c r="BY63" t="str">
        <v>Additional spare conduit with messenger in mast</v>
      </c>
      <c r="BZ63" t="str">
        <v xml:space="preserve">Main sheets </v>
      </c>
      <c r="CA63" t="str">
        <v>Genoa sheets</v>
      </c>
      <c r="CB63" t="str">
        <v>Halyards (main, genoa &amp; spare)</v>
      </c>
      <c r="CC63" t="str">
        <v>Engine Room</v>
      </c>
      <c r="CD63" t="str">
        <v>Single line reefs lead aft</v>
      </c>
      <c r="CE63" t="str">
        <v xml:space="preserve">BBQ </v>
      </c>
      <c r="CF63" t="str">
        <v>Step ladder</v>
      </c>
      <c r="CG63" t="str">
        <v>Pop up lights</v>
      </c>
      <c r="CH63" t="str">
        <v>Main boom topping lift</v>
      </c>
    </row>
    <row r="64" spans="1:86" ht="30" x14ac:dyDescent="0.25">
      <c r="A64" s="9"/>
      <c r="B64" s="118"/>
      <c r="C64" s="9">
        <v>4</v>
      </c>
      <c r="D64" s="73" t="s">
        <v>322</v>
      </c>
      <c r="E64" s="73" t="s">
        <v>215</v>
      </c>
      <c r="F64" s="74"/>
      <c r="G64" s="74" t="s">
        <v>470</v>
      </c>
      <c r="H64" s="74"/>
      <c r="I64" s="3"/>
      <c r="J64" s="3"/>
      <c r="K64" s="3"/>
      <c r="L64" s="3"/>
      <c r="M64" t="str" cm="1">
        <f t="array" ref="M64:CH64">TRANSPOSE(_xlfn.UNIQUE(_xlfn._xlws.FILTER(Table4[Discipine Area],(Table4[Discipline No.]=C64)*(Table4[Discipline No.]=C64))))</f>
        <v>DECKFITTING</v>
      </c>
      <c r="N64" t="str">
        <v>Guard wires with stanchions, bases, port &amp; starboard side gates</v>
      </c>
      <c r="O64" t="str">
        <v>Guard wires across bow and stern</v>
      </c>
      <c r="P64" t="str">
        <v>Windlass, 10mm gypsy &amp; hand-held remote</v>
      </c>
      <c r="Q64" t="str">
        <v>Anchor bow roller fitting</v>
      </c>
      <c r="R64" t="str">
        <v>Anchor chain stopper</v>
      </c>
      <c r="S64" t="str">
        <v>Life raft locker with convertible fore/aft seat bolster</v>
      </c>
      <c r="T64" t="str">
        <v>Backrest s/s railing</v>
      </c>
      <c r="U64" t="str">
        <v>Sliding companionway door/window</v>
      </c>
      <c r="V64" t="str">
        <v>Sliding hatch over forward cockpit steps</v>
      </c>
      <c r="W64" t="str">
        <v>Hardtop over forward and aft cockpit complete with LED lighting</v>
      </c>
      <c r="X64" t="str">
        <v>Hardtop bimini over helm with supports and LED light</v>
      </c>
      <c r="Y64" t="str">
        <v>Hull windows</v>
      </c>
      <c r="Z64" t="str">
        <v>Folding swimming ladder c/w teak steps</v>
      </c>
      <c r="AA64" t="str">
        <v>Emergency ladder on port transom</v>
      </c>
      <c r="AB64" t="str">
        <v>Aft Cockpit table</v>
      </c>
      <c r="AC64" t="str">
        <v>Wetbar</v>
      </c>
      <c r="AD64" t="str">
        <v>Fold down Forward Cockpit table</v>
      </c>
      <c r="AE64" t="str">
        <v>Mainsheet system</v>
      </c>
      <c r="AF64" t="str">
        <v xml:space="preserve">Trampoline </v>
      </c>
      <c r="AG64" t="str">
        <v>Helm seat with upholstered backrest</v>
      </c>
      <c r="AH64" t="str">
        <v>Acrylic smoke grey tinted windows</v>
      </c>
      <c r="AI64" t="str">
        <v>Hardtop supports</v>
      </c>
      <c r="AJ64" t="str">
        <v>Flush Hatch over heads</v>
      </c>
      <c r="AK64" t="str">
        <v>Flush Hatch over cabins</v>
      </c>
      <c r="AL64" t="str">
        <v>Flush Hatch over port forepeak (includes mushroom cowl)</v>
      </c>
      <c r="AM64" t="str">
        <v>Portlight windscreen</v>
      </c>
      <c r="AN64" t="str">
        <v>chain plate</v>
      </c>
      <c r="AO64" t="str">
        <v>chafe plate</v>
      </c>
      <c r="AP64" t="str">
        <v>Portlight hull side</v>
      </c>
      <c r="AQ64" t="str">
        <v>Stbd hull side</v>
      </c>
      <c r="AR64" t="str">
        <v>Portlight  in transom</v>
      </c>
      <c r="AS64" t="str">
        <v>Anchor chain bin</v>
      </c>
      <c r="AT64" t="str">
        <v>Anchor/windlass locker</v>
      </c>
      <c r="AU64" t="str">
        <v>Foredeck/forward cockpit lockers</v>
      </c>
      <c r="AV64" t="str">
        <v>Forward access to foredeck c/w watertight Lewmar door</v>
      </c>
      <c r="AW64" t="str">
        <v>S/S cupholder</v>
      </c>
      <c r="AX64" t="str">
        <v>Pulpits with seats</v>
      </c>
      <c r="AY64" t="str">
        <v>Pushpits</v>
      </c>
      <c r="AZ64" t="str">
        <v>Coachroof handrails</v>
      </c>
      <c r="BA64" t="str">
        <v>Hardtop grab handles</v>
      </c>
      <c r="BB64" t="str">
        <v>Transom grab handles</v>
      </c>
      <c r="BC64" t="str">
        <v>Mooring cleats</v>
      </c>
      <c r="BD64" t="str">
        <v>Lewmar winch handles</v>
      </c>
      <c r="BE64" t="str">
        <v xml:space="preserve">Primary electric winches </v>
      </c>
      <c r="BF64" t="str">
        <v xml:space="preserve">Mainsheet winch </v>
      </c>
      <c r="BG64" t="str">
        <v>Lewmar genoa cars with pin stop</v>
      </c>
      <c r="BH64" t="str">
        <v>Lewmar genoa tracks</v>
      </c>
      <c r="BI64" t="str">
        <v>Halyard clutch at helm (mainsail)</v>
      </c>
      <c r="BJ64" t="str">
        <v>Halyard clutch at helm (gennaker)</v>
      </c>
      <c r="BK64" t="str">
        <v>Genoa sheet clutch at helm</v>
      </c>
      <c r="BL64" t="str">
        <v>Main sheet clutch at helm</v>
      </c>
      <c r="BM64" t="str">
        <v>Reef clutch at helm</v>
      </c>
      <c r="BN64" t="str">
        <v>Clutch and cleat on mast for genoa halyard</v>
      </c>
      <c r="BO64" t="str">
        <v>Furler clutch</v>
      </c>
      <c r="BP64" t="str">
        <v>Drinks holders - 2 in fwd cockpit and 1 at helm</v>
      </c>
      <c r="BQ64" t="str">
        <v>Rope bag at helm with integral winch handle pocket</v>
      </c>
      <c r="BR64" t="str">
        <v>Natural anodized mast</v>
      </c>
      <c r="BS64" t="str">
        <v>Natural anodized crossbeam c/w mooring cleats</v>
      </c>
      <c r="BT64" t="str">
        <v>Wind indicator</v>
      </c>
      <c r="BU64" t="str">
        <v>Genoa furler</v>
      </c>
      <c r="BV64" t="str">
        <v>Mainsail full battened c/w 2 rows reefs</v>
      </c>
      <c r="BW64" t="str">
        <v>Furling genoa</v>
      </c>
      <c r="BX64" t="str">
        <v>2 x Additional spare 12v wires in mast</v>
      </c>
      <c r="BY64" t="str">
        <v>Additional spare conduit with messenger in mast</v>
      </c>
      <c r="BZ64" t="str">
        <v xml:space="preserve">Main sheets </v>
      </c>
      <c r="CA64" t="str">
        <v>Genoa sheets</v>
      </c>
      <c r="CB64" t="str">
        <v>Halyards (main, genoa &amp; spare)</v>
      </c>
      <c r="CC64" t="str">
        <v>Engine Room</v>
      </c>
      <c r="CD64" t="str">
        <v>Single line reefs lead aft</v>
      </c>
      <c r="CE64" t="str">
        <v xml:space="preserve">BBQ </v>
      </c>
      <c r="CF64" t="str">
        <v>Step ladder</v>
      </c>
      <c r="CG64" t="str">
        <v>Pop up lights</v>
      </c>
      <c r="CH64" t="str">
        <v>Main boom topping lift</v>
      </c>
    </row>
    <row r="65" spans="1:86" x14ac:dyDescent="0.25">
      <c r="A65" s="9"/>
      <c r="B65" s="118"/>
      <c r="C65" s="9">
        <v>4</v>
      </c>
      <c r="D65" s="73" t="s">
        <v>12</v>
      </c>
      <c r="E65" s="73" t="s">
        <v>472</v>
      </c>
      <c r="F65" s="74"/>
      <c r="G65" s="74" t="s">
        <v>471</v>
      </c>
      <c r="H65" s="74"/>
      <c r="I65" s="3"/>
      <c r="J65" s="3"/>
      <c r="K65" s="3"/>
      <c r="L65" s="3"/>
      <c r="M65" t="str" cm="1">
        <f t="array" ref="M65:CH65">TRANSPOSE(_xlfn.UNIQUE(_xlfn._xlws.FILTER(Table4[Discipine Area],(Table4[Discipline No.]=C65)*(Table4[Discipline No.]=C65))))</f>
        <v>DECKFITTING</v>
      </c>
      <c r="N65" t="str">
        <v>Guard wires with stanchions, bases, port &amp; starboard side gates</v>
      </c>
      <c r="O65" t="str">
        <v>Guard wires across bow and stern</v>
      </c>
      <c r="P65" t="str">
        <v>Windlass, 10mm gypsy &amp; hand-held remote</v>
      </c>
      <c r="Q65" t="str">
        <v>Anchor bow roller fitting</v>
      </c>
      <c r="R65" t="str">
        <v>Anchor chain stopper</v>
      </c>
      <c r="S65" t="str">
        <v>Life raft locker with convertible fore/aft seat bolster</v>
      </c>
      <c r="T65" t="str">
        <v>Backrest s/s railing</v>
      </c>
      <c r="U65" t="str">
        <v>Sliding companionway door/window</v>
      </c>
      <c r="V65" t="str">
        <v>Sliding hatch over forward cockpit steps</v>
      </c>
      <c r="W65" t="str">
        <v>Hardtop over forward and aft cockpit complete with LED lighting</v>
      </c>
      <c r="X65" t="str">
        <v>Hardtop bimini over helm with supports and LED light</v>
      </c>
      <c r="Y65" t="str">
        <v>Hull windows</v>
      </c>
      <c r="Z65" t="str">
        <v>Folding swimming ladder c/w teak steps</v>
      </c>
      <c r="AA65" t="str">
        <v>Emergency ladder on port transom</v>
      </c>
      <c r="AB65" t="str">
        <v>Aft Cockpit table</v>
      </c>
      <c r="AC65" t="str">
        <v>Wetbar</v>
      </c>
      <c r="AD65" t="str">
        <v>Fold down Forward Cockpit table</v>
      </c>
      <c r="AE65" t="str">
        <v>Mainsheet system</v>
      </c>
      <c r="AF65" t="str">
        <v xml:space="preserve">Trampoline </v>
      </c>
      <c r="AG65" t="str">
        <v>Helm seat with upholstered backrest</v>
      </c>
      <c r="AH65" t="str">
        <v>Acrylic smoke grey tinted windows</v>
      </c>
      <c r="AI65" t="str">
        <v>Hardtop supports</v>
      </c>
      <c r="AJ65" t="str">
        <v>Flush Hatch over heads</v>
      </c>
      <c r="AK65" t="str">
        <v>Flush Hatch over cabins</v>
      </c>
      <c r="AL65" t="str">
        <v>Flush Hatch over port forepeak (includes mushroom cowl)</v>
      </c>
      <c r="AM65" t="str">
        <v>Portlight windscreen</v>
      </c>
      <c r="AN65" t="str">
        <v>chain plate</v>
      </c>
      <c r="AO65" t="str">
        <v>chafe plate</v>
      </c>
      <c r="AP65" t="str">
        <v>Portlight hull side</v>
      </c>
      <c r="AQ65" t="str">
        <v>Stbd hull side</v>
      </c>
      <c r="AR65" t="str">
        <v>Portlight  in transom</v>
      </c>
      <c r="AS65" t="str">
        <v>Anchor chain bin</v>
      </c>
      <c r="AT65" t="str">
        <v>Anchor/windlass locker</v>
      </c>
      <c r="AU65" t="str">
        <v>Foredeck/forward cockpit lockers</v>
      </c>
      <c r="AV65" t="str">
        <v>Forward access to foredeck c/w watertight Lewmar door</v>
      </c>
      <c r="AW65" t="str">
        <v>S/S cupholder</v>
      </c>
      <c r="AX65" t="str">
        <v>Pulpits with seats</v>
      </c>
      <c r="AY65" t="str">
        <v>Pushpits</v>
      </c>
      <c r="AZ65" t="str">
        <v>Coachroof handrails</v>
      </c>
      <c r="BA65" t="str">
        <v>Hardtop grab handles</v>
      </c>
      <c r="BB65" t="str">
        <v>Transom grab handles</v>
      </c>
      <c r="BC65" t="str">
        <v>Mooring cleats</v>
      </c>
      <c r="BD65" t="str">
        <v>Lewmar winch handles</v>
      </c>
      <c r="BE65" t="str">
        <v xml:space="preserve">Primary electric winches </v>
      </c>
      <c r="BF65" t="str">
        <v xml:space="preserve">Mainsheet winch </v>
      </c>
      <c r="BG65" t="str">
        <v>Lewmar genoa cars with pin stop</v>
      </c>
      <c r="BH65" t="str">
        <v>Lewmar genoa tracks</v>
      </c>
      <c r="BI65" t="str">
        <v>Halyard clutch at helm (mainsail)</v>
      </c>
      <c r="BJ65" t="str">
        <v>Halyard clutch at helm (gennaker)</v>
      </c>
      <c r="BK65" t="str">
        <v>Genoa sheet clutch at helm</v>
      </c>
      <c r="BL65" t="str">
        <v>Main sheet clutch at helm</v>
      </c>
      <c r="BM65" t="str">
        <v>Reef clutch at helm</v>
      </c>
      <c r="BN65" t="str">
        <v>Clutch and cleat on mast for genoa halyard</v>
      </c>
      <c r="BO65" t="str">
        <v>Furler clutch</v>
      </c>
      <c r="BP65" t="str">
        <v>Drinks holders - 2 in fwd cockpit and 1 at helm</v>
      </c>
      <c r="BQ65" t="str">
        <v>Rope bag at helm with integral winch handle pocket</v>
      </c>
      <c r="BR65" t="str">
        <v>Natural anodized mast</v>
      </c>
      <c r="BS65" t="str">
        <v>Natural anodized crossbeam c/w mooring cleats</v>
      </c>
      <c r="BT65" t="str">
        <v>Wind indicator</v>
      </c>
      <c r="BU65" t="str">
        <v>Genoa furler</v>
      </c>
      <c r="BV65" t="str">
        <v>Mainsail full battened c/w 2 rows reefs</v>
      </c>
      <c r="BW65" t="str">
        <v>Furling genoa</v>
      </c>
      <c r="BX65" t="str">
        <v>2 x Additional spare 12v wires in mast</v>
      </c>
      <c r="BY65" t="str">
        <v>Additional spare conduit with messenger in mast</v>
      </c>
      <c r="BZ65" t="str">
        <v xml:space="preserve">Main sheets </v>
      </c>
      <c r="CA65" t="str">
        <v>Genoa sheets</v>
      </c>
      <c r="CB65" t="str">
        <v>Halyards (main, genoa &amp; spare)</v>
      </c>
      <c r="CC65" t="str">
        <v>Engine Room</v>
      </c>
      <c r="CD65" t="str">
        <v>Single line reefs lead aft</v>
      </c>
      <c r="CE65" t="str">
        <v xml:space="preserve">BBQ </v>
      </c>
      <c r="CF65" t="str">
        <v>Step ladder</v>
      </c>
      <c r="CG65" t="str">
        <v>Pop up lights</v>
      </c>
      <c r="CH65" t="str">
        <v>Main boom topping lift</v>
      </c>
    </row>
    <row r="66" spans="1:86" ht="30" x14ac:dyDescent="0.25">
      <c r="A66" s="9"/>
      <c r="B66" s="116" t="s">
        <v>473</v>
      </c>
      <c r="C66" s="9">
        <v>1</v>
      </c>
      <c r="D66" s="73" t="s">
        <v>262</v>
      </c>
      <c r="E66" s="73" t="s">
        <v>474</v>
      </c>
      <c r="F66" s="74"/>
      <c r="G66" s="74" t="s">
        <v>462</v>
      </c>
      <c r="H66" s="74"/>
      <c r="I66" s="3"/>
      <c r="J66" s="3"/>
      <c r="K66" s="3"/>
      <c r="L66" s="3"/>
      <c r="M66" t="str" cm="1">
        <f t="array" ref="M66:AZ66">TRANSPOSE(_xlfn.UNIQUE(_xlfn._xlws.FILTER(Table4[Discipine Area],(Table4[Discipline No.]=C66)*(Table4[Discipline No.]=C66))))</f>
        <v>Exterior</v>
      </c>
      <c r="N66" t="str">
        <v>Fwd area</v>
      </c>
      <c r="O66" t="str">
        <v>Midship area</v>
      </c>
      <c r="P66" t="str">
        <v>Aft area</v>
      </c>
      <c r="Q66" t="str">
        <v>window surround</v>
      </c>
      <c r="R66" t="str">
        <v>Bows</v>
      </c>
      <c r="S66" t="str">
        <v>fwd deck steps</v>
      </c>
      <c r="T66" t="str">
        <v>Deck flange</v>
      </c>
      <c r="U66" t="str">
        <v>Waterchannel</v>
      </c>
      <c r="V66" t="str">
        <v>Helmstation</v>
      </c>
      <c r="W66" t="str">
        <v>window module</v>
      </c>
      <c r="X66" t="str">
        <v>deck Join</v>
      </c>
      <c r="Y66" t="str">
        <v>side deck step</v>
      </c>
      <c r="Z66" t="str">
        <v>Bimini</v>
      </c>
      <c r="AA66" t="str">
        <v>Helmstation steps</v>
      </c>
      <c r="AB66" t="str">
        <v>toe rail</v>
      </c>
      <c r="AC66" t="str">
        <v>Inboard liner</v>
      </c>
      <c r="AD66" t="str">
        <v>Settee</v>
      </c>
      <c r="AE66" t="str">
        <v>Transom</v>
      </c>
      <c r="AF66" t="str">
        <v>Floating step</v>
      </c>
      <c r="AG66" t="str">
        <v>Locker lids</v>
      </c>
      <c r="AH66" t="str">
        <v>Table</v>
      </c>
      <c r="AI66" t="str">
        <v>Ceiling</v>
      </c>
      <c r="AJ66" t="str">
        <v>Targawing</v>
      </c>
      <c r="AK66" t="str">
        <v>Eyebrow</v>
      </c>
      <c r="AL66" t="str">
        <v>Decklid</v>
      </c>
      <c r="AM66" t="str">
        <v>Skylight</v>
      </c>
      <c r="AN66" t="str">
        <v>Floor</v>
      </c>
      <c r="AO66" t="str">
        <v>Flybridge steps</v>
      </c>
      <c r="AP66" t="str">
        <v>INTERIOR</v>
      </c>
      <c r="AQ66" t="str">
        <v>Stowage space under floorboards</v>
      </c>
      <c r="AR66" t="str">
        <v>Door surround</v>
      </c>
      <c r="AS66" t="str">
        <v>Staircase</v>
      </c>
      <c r="AT66" t="str">
        <v>Plinth/Skirting</v>
      </c>
      <c r="AU66" t="str">
        <v>Ceiling Liner</v>
      </c>
      <c r="AV66" t="str">
        <v>BBQ Locker</v>
      </c>
      <c r="AW66" t="str">
        <v>Bunk Liners</v>
      </c>
      <c r="AX66" t="str">
        <v>Basin module</v>
      </c>
      <c r="AY66" t="str">
        <v>Shower bulkhead module</v>
      </c>
      <c r="AZ66" t="str">
        <v>Heads bulkhead module</v>
      </c>
    </row>
    <row r="67" spans="1:86" x14ac:dyDescent="0.25">
      <c r="A67" s="9"/>
      <c r="B67" s="115"/>
      <c r="C67" s="9">
        <v>4</v>
      </c>
      <c r="D67" s="73" t="s">
        <v>388</v>
      </c>
      <c r="E67" s="73" t="s">
        <v>300</v>
      </c>
      <c r="F67" s="74"/>
      <c r="G67" s="74" t="s">
        <v>475</v>
      </c>
      <c r="H67" s="74"/>
      <c r="I67" s="3"/>
      <c r="J67" s="3"/>
      <c r="K67" s="3"/>
      <c r="L67" s="3"/>
      <c r="M67" t="str" cm="1">
        <f t="array" ref="M67:CH67">TRANSPOSE(_xlfn.UNIQUE(_xlfn._xlws.FILTER(Table4[Discipine Area],(Table4[Discipline No.]=C67)*(Table4[Discipline No.]=C67))))</f>
        <v>DECKFITTING</v>
      </c>
      <c r="N67" t="str">
        <v>Guard wires with stanchions, bases, port &amp; starboard side gates</v>
      </c>
      <c r="O67" t="str">
        <v>Guard wires across bow and stern</v>
      </c>
      <c r="P67" t="str">
        <v>Windlass, 10mm gypsy &amp; hand-held remote</v>
      </c>
      <c r="Q67" t="str">
        <v>Anchor bow roller fitting</v>
      </c>
      <c r="R67" t="str">
        <v>Anchor chain stopper</v>
      </c>
      <c r="S67" t="str">
        <v>Life raft locker with convertible fore/aft seat bolster</v>
      </c>
      <c r="T67" t="str">
        <v>Backrest s/s railing</v>
      </c>
      <c r="U67" t="str">
        <v>Sliding companionway door/window</v>
      </c>
      <c r="V67" t="str">
        <v>Sliding hatch over forward cockpit steps</v>
      </c>
      <c r="W67" t="str">
        <v>Hardtop over forward and aft cockpit complete with LED lighting</v>
      </c>
      <c r="X67" t="str">
        <v>Hardtop bimini over helm with supports and LED light</v>
      </c>
      <c r="Y67" t="str">
        <v>Hull windows</v>
      </c>
      <c r="Z67" t="str">
        <v>Folding swimming ladder c/w teak steps</v>
      </c>
      <c r="AA67" t="str">
        <v>Emergency ladder on port transom</v>
      </c>
      <c r="AB67" t="str">
        <v>Aft Cockpit table</v>
      </c>
      <c r="AC67" t="str">
        <v>Wetbar</v>
      </c>
      <c r="AD67" t="str">
        <v>Fold down Forward Cockpit table</v>
      </c>
      <c r="AE67" t="str">
        <v>Mainsheet system</v>
      </c>
      <c r="AF67" t="str">
        <v xml:space="preserve">Trampoline </v>
      </c>
      <c r="AG67" t="str">
        <v>Helm seat with upholstered backrest</v>
      </c>
      <c r="AH67" t="str">
        <v>Acrylic smoke grey tinted windows</v>
      </c>
      <c r="AI67" t="str">
        <v>Hardtop supports</v>
      </c>
      <c r="AJ67" t="str">
        <v>Flush Hatch over heads</v>
      </c>
      <c r="AK67" t="str">
        <v>Flush Hatch over cabins</v>
      </c>
      <c r="AL67" t="str">
        <v>Flush Hatch over port forepeak (includes mushroom cowl)</v>
      </c>
      <c r="AM67" t="str">
        <v>Portlight windscreen</v>
      </c>
      <c r="AN67" t="str">
        <v>chain plate</v>
      </c>
      <c r="AO67" t="str">
        <v>chafe plate</v>
      </c>
      <c r="AP67" t="str">
        <v>Portlight hull side</v>
      </c>
      <c r="AQ67" t="str">
        <v>Stbd hull side</v>
      </c>
      <c r="AR67" t="str">
        <v>Portlight  in transom</v>
      </c>
      <c r="AS67" t="str">
        <v>Anchor chain bin</v>
      </c>
      <c r="AT67" t="str">
        <v>Anchor/windlass locker</v>
      </c>
      <c r="AU67" t="str">
        <v>Foredeck/forward cockpit lockers</v>
      </c>
      <c r="AV67" t="str">
        <v>Forward access to foredeck c/w watertight Lewmar door</v>
      </c>
      <c r="AW67" t="str">
        <v>S/S cupholder</v>
      </c>
      <c r="AX67" t="str">
        <v>Pulpits with seats</v>
      </c>
      <c r="AY67" t="str">
        <v>Pushpits</v>
      </c>
      <c r="AZ67" t="str">
        <v>Coachroof handrails</v>
      </c>
      <c r="BA67" t="str">
        <v>Hardtop grab handles</v>
      </c>
      <c r="BB67" t="str">
        <v>Transom grab handles</v>
      </c>
      <c r="BC67" t="str">
        <v>Mooring cleats</v>
      </c>
      <c r="BD67" t="str">
        <v>Lewmar winch handles</v>
      </c>
      <c r="BE67" t="str">
        <v xml:space="preserve">Primary electric winches </v>
      </c>
      <c r="BF67" t="str">
        <v xml:space="preserve">Mainsheet winch </v>
      </c>
      <c r="BG67" t="str">
        <v>Lewmar genoa cars with pin stop</v>
      </c>
      <c r="BH67" t="str">
        <v>Lewmar genoa tracks</v>
      </c>
      <c r="BI67" t="str">
        <v>Halyard clutch at helm (mainsail)</v>
      </c>
      <c r="BJ67" t="str">
        <v>Halyard clutch at helm (gennaker)</v>
      </c>
      <c r="BK67" t="str">
        <v>Genoa sheet clutch at helm</v>
      </c>
      <c r="BL67" t="str">
        <v>Main sheet clutch at helm</v>
      </c>
      <c r="BM67" t="str">
        <v>Reef clutch at helm</v>
      </c>
      <c r="BN67" t="str">
        <v>Clutch and cleat on mast for genoa halyard</v>
      </c>
      <c r="BO67" t="str">
        <v>Furler clutch</v>
      </c>
      <c r="BP67" t="str">
        <v>Drinks holders - 2 in fwd cockpit and 1 at helm</v>
      </c>
      <c r="BQ67" t="str">
        <v>Rope bag at helm with integral winch handle pocket</v>
      </c>
      <c r="BR67" t="str">
        <v>Natural anodized mast</v>
      </c>
      <c r="BS67" t="str">
        <v>Natural anodized crossbeam c/w mooring cleats</v>
      </c>
      <c r="BT67" t="str">
        <v>Wind indicator</v>
      </c>
      <c r="BU67" t="str">
        <v>Genoa furler</v>
      </c>
      <c r="BV67" t="str">
        <v>Mainsail full battened c/w 2 rows reefs</v>
      </c>
      <c r="BW67" t="str">
        <v>Furling genoa</v>
      </c>
      <c r="BX67" t="str">
        <v>2 x Additional spare 12v wires in mast</v>
      </c>
      <c r="BY67" t="str">
        <v>Additional spare conduit with messenger in mast</v>
      </c>
      <c r="BZ67" t="str">
        <v xml:space="preserve">Main sheets </v>
      </c>
      <c r="CA67" t="str">
        <v>Genoa sheets</v>
      </c>
      <c r="CB67" t="str">
        <v>Halyards (main, genoa &amp; spare)</v>
      </c>
      <c r="CC67" t="str">
        <v>Engine Room</v>
      </c>
      <c r="CD67" t="str">
        <v>Single line reefs lead aft</v>
      </c>
      <c r="CE67" t="str">
        <v xml:space="preserve">BBQ </v>
      </c>
      <c r="CF67" t="str">
        <v>Step ladder</v>
      </c>
      <c r="CG67" t="str">
        <v>Pop up lights</v>
      </c>
      <c r="CH67" t="str">
        <v>Main boom topping lift</v>
      </c>
    </row>
    <row r="68" spans="1:86" ht="29.25" customHeight="1" x14ac:dyDescent="0.25">
      <c r="A68" s="9"/>
      <c r="B68" s="115"/>
      <c r="C68" s="9">
        <v>1</v>
      </c>
      <c r="D68" s="73" t="s">
        <v>35</v>
      </c>
      <c r="E68" s="73" t="s">
        <v>223</v>
      </c>
      <c r="F68" s="74"/>
      <c r="G68" s="81" t="s">
        <v>463</v>
      </c>
      <c r="H68" s="74"/>
      <c r="I68" s="3"/>
      <c r="J68" s="3"/>
      <c r="K68" s="3"/>
      <c r="L68" s="3"/>
    </row>
    <row r="69" spans="1:86" x14ac:dyDescent="0.25">
      <c r="A69" s="9"/>
      <c r="B69" s="116"/>
      <c r="C69" s="9">
        <v>1</v>
      </c>
      <c r="D69" s="73" t="s">
        <v>35</v>
      </c>
      <c r="E69" s="73" t="s">
        <v>223</v>
      </c>
      <c r="F69" s="74"/>
      <c r="G69" s="74" t="s">
        <v>464</v>
      </c>
      <c r="H69" s="74"/>
      <c r="I69" s="3"/>
      <c r="J69" s="3"/>
      <c r="K69" s="3"/>
      <c r="L69" s="3"/>
    </row>
    <row r="70" spans="1:86" ht="30" x14ac:dyDescent="0.25">
      <c r="A70" s="9"/>
      <c r="B70" s="115"/>
      <c r="C70" s="9">
        <v>4</v>
      </c>
      <c r="D70" s="75" t="s">
        <v>476</v>
      </c>
      <c r="E70" s="73" t="s">
        <v>362</v>
      </c>
      <c r="F70" s="74"/>
      <c r="G70" s="74" t="s">
        <v>465</v>
      </c>
      <c r="H70" s="74"/>
      <c r="I70" s="3"/>
      <c r="J70" s="3"/>
      <c r="K70" s="3"/>
      <c r="L70" s="3"/>
      <c r="M70" t="str" cm="1">
        <f t="array" ref="M70:CH70">TRANSPOSE(_xlfn.UNIQUE(_xlfn._xlws.FILTER(Table4[Discipine Area],(Table4[Discipline No.]=C70)*(Table4[Discipline No.]=C70))))</f>
        <v>DECKFITTING</v>
      </c>
      <c r="N70" t="str">
        <v>Guard wires with stanchions, bases, port &amp; starboard side gates</v>
      </c>
      <c r="O70" t="str">
        <v>Guard wires across bow and stern</v>
      </c>
      <c r="P70" t="str">
        <v>Windlass, 10mm gypsy &amp; hand-held remote</v>
      </c>
      <c r="Q70" t="str">
        <v>Anchor bow roller fitting</v>
      </c>
      <c r="R70" t="str">
        <v>Anchor chain stopper</v>
      </c>
      <c r="S70" t="str">
        <v>Life raft locker with convertible fore/aft seat bolster</v>
      </c>
      <c r="T70" t="str">
        <v>Backrest s/s railing</v>
      </c>
      <c r="U70" t="str">
        <v>Sliding companionway door/window</v>
      </c>
      <c r="V70" t="str">
        <v>Sliding hatch over forward cockpit steps</v>
      </c>
      <c r="W70" t="str">
        <v>Hardtop over forward and aft cockpit complete with LED lighting</v>
      </c>
      <c r="X70" t="str">
        <v>Hardtop bimini over helm with supports and LED light</v>
      </c>
      <c r="Y70" t="str">
        <v>Hull windows</v>
      </c>
      <c r="Z70" t="str">
        <v>Folding swimming ladder c/w teak steps</v>
      </c>
      <c r="AA70" t="str">
        <v>Emergency ladder on port transom</v>
      </c>
      <c r="AB70" t="str">
        <v>Aft Cockpit table</v>
      </c>
      <c r="AC70" t="str">
        <v>Wetbar</v>
      </c>
      <c r="AD70" t="str">
        <v>Fold down Forward Cockpit table</v>
      </c>
      <c r="AE70" t="str">
        <v>Mainsheet system</v>
      </c>
      <c r="AF70" t="str">
        <v xml:space="preserve">Trampoline </v>
      </c>
      <c r="AG70" t="str">
        <v>Helm seat with upholstered backrest</v>
      </c>
      <c r="AH70" t="str">
        <v>Acrylic smoke grey tinted windows</v>
      </c>
      <c r="AI70" t="str">
        <v>Hardtop supports</v>
      </c>
      <c r="AJ70" t="str">
        <v>Flush Hatch over heads</v>
      </c>
      <c r="AK70" t="str">
        <v>Flush Hatch over cabins</v>
      </c>
      <c r="AL70" t="str">
        <v>Flush Hatch over port forepeak (includes mushroom cowl)</v>
      </c>
      <c r="AM70" t="str">
        <v>Portlight windscreen</v>
      </c>
      <c r="AN70" t="str">
        <v>chain plate</v>
      </c>
      <c r="AO70" t="str">
        <v>chafe plate</v>
      </c>
      <c r="AP70" t="str">
        <v>Portlight hull side</v>
      </c>
      <c r="AQ70" t="str">
        <v>Stbd hull side</v>
      </c>
      <c r="AR70" t="str">
        <v>Portlight  in transom</v>
      </c>
      <c r="AS70" t="str">
        <v>Anchor chain bin</v>
      </c>
      <c r="AT70" t="str">
        <v>Anchor/windlass locker</v>
      </c>
      <c r="AU70" t="str">
        <v>Foredeck/forward cockpit lockers</v>
      </c>
      <c r="AV70" t="str">
        <v>Forward access to foredeck c/w watertight Lewmar door</v>
      </c>
      <c r="AW70" t="str">
        <v>S/S cupholder</v>
      </c>
      <c r="AX70" t="str">
        <v>Pulpits with seats</v>
      </c>
      <c r="AY70" t="str">
        <v>Pushpits</v>
      </c>
      <c r="AZ70" t="str">
        <v>Coachroof handrails</v>
      </c>
      <c r="BA70" t="str">
        <v>Hardtop grab handles</v>
      </c>
      <c r="BB70" t="str">
        <v>Transom grab handles</v>
      </c>
      <c r="BC70" t="str">
        <v>Mooring cleats</v>
      </c>
      <c r="BD70" t="str">
        <v>Lewmar winch handles</v>
      </c>
      <c r="BE70" t="str">
        <v xml:space="preserve">Primary electric winches </v>
      </c>
      <c r="BF70" t="str">
        <v xml:space="preserve">Mainsheet winch </v>
      </c>
      <c r="BG70" t="str">
        <v>Lewmar genoa cars with pin stop</v>
      </c>
      <c r="BH70" t="str">
        <v>Lewmar genoa tracks</v>
      </c>
      <c r="BI70" t="str">
        <v>Halyard clutch at helm (mainsail)</v>
      </c>
      <c r="BJ70" t="str">
        <v>Halyard clutch at helm (gennaker)</v>
      </c>
      <c r="BK70" t="str">
        <v>Genoa sheet clutch at helm</v>
      </c>
      <c r="BL70" t="str">
        <v>Main sheet clutch at helm</v>
      </c>
      <c r="BM70" t="str">
        <v>Reef clutch at helm</v>
      </c>
      <c r="BN70" t="str">
        <v>Clutch and cleat on mast for genoa halyard</v>
      </c>
      <c r="BO70" t="str">
        <v>Furler clutch</v>
      </c>
      <c r="BP70" t="str">
        <v>Drinks holders - 2 in fwd cockpit and 1 at helm</v>
      </c>
      <c r="BQ70" t="str">
        <v>Rope bag at helm with integral winch handle pocket</v>
      </c>
      <c r="BR70" t="str">
        <v>Natural anodized mast</v>
      </c>
      <c r="BS70" t="str">
        <v>Natural anodized crossbeam c/w mooring cleats</v>
      </c>
      <c r="BT70" t="str">
        <v>Wind indicator</v>
      </c>
      <c r="BU70" t="str">
        <v>Genoa furler</v>
      </c>
      <c r="BV70" t="str">
        <v>Mainsail full battened c/w 2 rows reefs</v>
      </c>
      <c r="BW70" t="str">
        <v>Furling genoa</v>
      </c>
      <c r="BX70" t="str">
        <v>2 x Additional spare 12v wires in mast</v>
      </c>
      <c r="BY70" t="str">
        <v>Additional spare conduit with messenger in mast</v>
      </c>
      <c r="BZ70" t="str">
        <v xml:space="preserve">Main sheets </v>
      </c>
      <c r="CA70" t="str">
        <v>Genoa sheets</v>
      </c>
      <c r="CB70" t="str">
        <v>Halyards (main, genoa &amp; spare)</v>
      </c>
      <c r="CC70" t="str">
        <v>Engine Room</v>
      </c>
      <c r="CD70" t="str">
        <v>Single line reefs lead aft</v>
      </c>
      <c r="CE70" t="str">
        <v xml:space="preserve">BBQ </v>
      </c>
      <c r="CF70" t="str">
        <v>Step ladder</v>
      </c>
      <c r="CG70" t="str">
        <v>Pop up lights</v>
      </c>
      <c r="CH70" t="str">
        <v>Main boom topping lift</v>
      </c>
    </row>
    <row r="71" spans="1:86" ht="30" x14ac:dyDescent="0.25">
      <c r="A71" s="9"/>
      <c r="B71" s="115"/>
      <c r="C71" s="9">
        <v>4</v>
      </c>
      <c r="D71" s="75" t="s">
        <v>476</v>
      </c>
      <c r="E71" s="73" t="s">
        <v>362</v>
      </c>
      <c r="F71" s="74"/>
      <c r="G71" s="74" t="s">
        <v>466</v>
      </c>
      <c r="H71" s="74"/>
      <c r="I71" s="3"/>
      <c r="J71" s="3"/>
      <c r="K71" s="3"/>
      <c r="L71" s="3"/>
      <c r="M71" t="str" cm="1">
        <f t="array" ref="M71:CH71">TRANSPOSE(_xlfn.UNIQUE(_xlfn._xlws.FILTER(Table4[Discipine Area],(Table4[Discipline No.]=C71)*(Table4[Discipline No.]=C71))))</f>
        <v>DECKFITTING</v>
      </c>
      <c r="N71" t="str">
        <v>Guard wires with stanchions, bases, port &amp; starboard side gates</v>
      </c>
      <c r="O71" t="str">
        <v>Guard wires across bow and stern</v>
      </c>
      <c r="P71" t="str">
        <v>Windlass, 10mm gypsy &amp; hand-held remote</v>
      </c>
      <c r="Q71" t="str">
        <v>Anchor bow roller fitting</v>
      </c>
      <c r="R71" t="str">
        <v>Anchor chain stopper</v>
      </c>
      <c r="S71" t="str">
        <v>Life raft locker with convertible fore/aft seat bolster</v>
      </c>
      <c r="T71" t="str">
        <v>Backrest s/s railing</v>
      </c>
      <c r="U71" t="str">
        <v>Sliding companionway door/window</v>
      </c>
      <c r="V71" t="str">
        <v>Sliding hatch over forward cockpit steps</v>
      </c>
      <c r="W71" t="str">
        <v>Hardtop over forward and aft cockpit complete with LED lighting</v>
      </c>
      <c r="X71" t="str">
        <v>Hardtop bimini over helm with supports and LED light</v>
      </c>
      <c r="Y71" t="str">
        <v>Hull windows</v>
      </c>
      <c r="Z71" t="str">
        <v>Folding swimming ladder c/w teak steps</v>
      </c>
      <c r="AA71" t="str">
        <v>Emergency ladder on port transom</v>
      </c>
      <c r="AB71" t="str">
        <v>Aft Cockpit table</v>
      </c>
      <c r="AC71" t="str">
        <v>Wetbar</v>
      </c>
      <c r="AD71" t="str">
        <v>Fold down Forward Cockpit table</v>
      </c>
      <c r="AE71" t="str">
        <v>Mainsheet system</v>
      </c>
      <c r="AF71" t="str">
        <v xml:space="preserve">Trampoline </v>
      </c>
      <c r="AG71" t="str">
        <v>Helm seat with upholstered backrest</v>
      </c>
      <c r="AH71" t="str">
        <v>Acrylic smoke grey tinted windows</v>
      </c>
      <c r="AI71" t="str">
        <v>Hardtop supports</v>
      </c>
      <c r="AJ71" t="str">
        <v>Flush Hatch over heads</v>
      </c>
      <c r="AK71" t="str">
        <v>Flush Hatch over cabins</v>
      </c>
      <c r="AL71" t="str">
        <v>Flush Hatch over port forepeak (includes mushroom cowl)</v>
      </c>
      <c r="AM71" t="str">
        <v>Portlight windscreen</v>
      </c>
      <c r="AN71" t="str">
        <v>chain plate</v>
      </c>
      <c r="AO71" t="str">
        <v>chafe plate</v>
      </c>
      <c r="AP71" t="str">
        <v>Portlight hull side</v>
      </c>
      <c r="AQ71" t="str">
        <v>Stbd hull side</v>
      </c>
      <c r="AR71" t="str">
        <v>Portlight  in transom</v>
      </c>
      <c r="AS71" t="str">
        <v>Anchor chain bin</v>
      </c>
      <c r="AT71" t="str">
        <v>Anchor/windlass locker</v>
      </c>
      <c r="AU71" t="str">
        <v>Foredeck/forward cockpit lockers</v>
      </c>
      <c r="AV71" t="str">
        <v>Forward access to foredeck c/w watertight Lewmar door</v>
      </c>
      <c r="AW71" t="str">
        <v>S/S cupholder</v>
      </c>
      <c r="AX71" t="str">
        <v>Pulpits with seats</v>
      </c>
      <c r="AY71" t="str">
        <v>Pushpits</v>
      </c>
      <c r="AZ71" t="str">
        <v>Coachroof handrails</v>
      </c>
      <c r="BA71" t="str">
        <v>Hardtop grab handles</v>
      </c>
      <c r="BB71" t="str">
        <v>Transom grab handles</v>
      </c>
      <c r="BC71" t="str">
        <v>Mooring cleats</v>
      </c>
      <c r="BD71" t="str">
        <v>Lewmar winch handles</v>
      </c>
      <c r="BE71" t="str">
        <v xml:space="preserve">Primary electric winches </v>
      </c>
      <c r="BF71" t="str">
        <v xml:space="preserve">Mainsheet winch </v>
      </c>
      <c r="BG71" t="str">
        <v>Lewmar genoa cars with pin stop</v>
      </c>
      <c r="BH71" t="str">
        <v>Lewmar genoa tracks</v>
      </c>
      <c r="BI71" t="str">
        <v>Halyard clutch at helm (mainsail)</v>
      </c>
      <c r="BJ71" t="str">
        <v>Halyard clutch at helm (gennaker)</v>
      </c>
      <c r="BK71" t="str">
        <v>Genoa sheet clutch at helm</v>
      </c>
      <c r="BL71" t="str">
        <v>Main sheet clutch at helm</v>
      </c>
      <c r="BM71" t="str">
        <v>Reef clutch at helm</v>
      </c>
      <c r="BN71" t="str">
        <v>Clutch and cleat on mast for genoa halyard</v>
      </c>
      <c r="BO71" t="str">
        <v>Furler clutch</v>
      </c>
      <c r="BP71" t="str">
        <v>Drinks holders - 2 in fwd cockpit and 1 at helm</v>
      </c>
      <c r="BQ71" t="str">
        <v>Rope bag at helm with integral winch handle pocket</v>
      </c>
      <c r="BR71" t="str">
        <v>Natural anodized mast</v>
      </c>
      <c r="BS71" t="str">
        <v>Natural anodized crossbeam c/w mooring cleats</v>
      </c>
      <c r="BT71" t="str">
        <v>Wind indicator</v>
      </c>
      <c r="BU71" t="str">
        <v>Genoa furler</v>
      </c>
      <c r="BV71" t="str">
        <v>Mainsail full battened c/w 2 rows reefs</v>
      </c>
      <c r="BW71" t="str">
        <v>Furling genoa</v>
      </c>
      <c r="BX71" t="str">
        <v>2 x Additional spare 12v wires in mast</v>
      </c>
      <c r="BY71" t="str">
        <v>Additional spare conduit with messenger in mast</v>
      </c>
      <c r="BZ71" t="str">
        <v xml:space="preserve">Main sheets </v>
      </c>
      <c r="CA71" t="str">
        <v>Genoa sheets</v>
      </c>
      <c r="CB71" t="str">
        <v>Halyards (main, genoa &amp; spare)</v>
      </c>
      <c r="CC71" t="str">
        <v>Engine Room</v>
      </c>
      <c r="CD71" t="str">
        <v>Single line reefs lead aft</v>
      </c>
      <c r="CE71" t="str">
        <v xml:space="preserve">BBQ </v>
      </c>
      <c r="CF71" t="str">
        <v>Step ladder</v>
      </c>
      <c r="CG71" t="str">
        <v>Pop up lights</v>
      </c>
      <c r="CH71" t="str">
        <v>Main boom topping lift</v>
      </c>
    </row>
    <row r="72" spans="1:86" ht="30" x14ac:dyDescent="0.25">
      <c r="A72" s="9"/>
      <c r="B72" s="116"/>
      <c r="C72" s="9">
        <v>1</v>
      </c>
      <c r="D72" s="75" t="s">
        <v>17</v>
      </c>
      <c r="E72" s="73" t="s">
        <v>222</v>
      </c>
      <c r="F72" s="74"/>
      <c r="G72" s="74" t="s">
        <v>467</v>
      </c>
      <c r="H72" s="74"/>
      <c r="I72" s="3"/>
      <c r="J72" s="3"/>
      <c r="K72" s="3"/>
      <c r="L72" s="3"/>
    </row>
    <row r="73" spans="1:86" ht="30" x14ac:dyDescent="0.25">
      <c r="A73" s="9"/>
      <c r="B73" s="115"/>
      <c r="C73" s="76">
        <v>4</v>
      </c>
      <c r="D73" s="75" t="s">
        <v>17</v>
      </c>
      <c r="E73" s="3" t="s">
        <v>362</v>
      </c>
      <c r="F73" s="74"/>
      <c r="G73" s="74" t="s">
        <v>468</v>
      </c>
      <c r="H73" s="74"/>
      <c r="I73" s="3"/>
      <c r="J73" s="3"/>
      <c r="K73" s="3"/>
      <c r="L73" s="3"/>
      <c r="M73" t="str" cm="1">
        <f t="array" ref="M73:CH73">TRANSPOSE(_xlfn.UNIQUE(_xlfn._xlws.FILTER(Table4[Discipine Area],(Table4[Discipline No.]=C73)*(Table4[Discipline No.]=C73))))</f>
        <v>DECKFITTING</v>
      </c>
      <c r="N73" t="str">
        <v>Guard wires with stanchions, bases, port &amp; starboard side gates</v>
      </c>
      <c r="O73" t="str">
        <v>Guard wires across bow and stern</v>
      </c>
      <c r="P73" t="str">
        <v>Windlass, 10mm gypsy &amp; hand-held remote</v>
      </c>
      <c r="Q73" t="str">
        <v>Anchor bow roller fitting</v>
      </c>
      <c r="R73" t="str">
        <v>Anchor chain stopper</v>
      </c>
      <c r="S73" t="str">
        <v>Life raft locker with convertible fore/aft seat bolster</v>
      </c>
      <c r="T73" t="str">
        <v>Backrest s/s railing</v>
      </c>
      <c r="U73" t="str">
        <v>Sliding companionway door/window</v>
      </c>
      <c r="V73" t="str">
        <v>Sliding hatch over forward cockpit steps</v>
      </c>
      <c r="W73" t="str">
        <v>Hardtop over forward and aft cockpit complete with LED lighting</v>
      </c>
      <c r="X73" t="str">
        <v>Hardtop bimini over helm with supports and LED light</v>
      </c>
      <c r="Y73" t="str">
        <v>Hull windows</v>
      </c>
      <c r="Z73" t="str">
        <v>Folding swimming ladder c/w teak steps</v>
      </c>
      <c r="AA73" t="str">
        <v>Emergency ladder on port transom</v>
      </c>
      <c r="AB73" t="str">
        <v>Aft Cockpit table</v>
      </c>
      <c r="AC73" t="str">
        <v>Wetbar</v>
      </c>
      <c r="AD73" t="str">
        <v>Fold down Forward Cockpit table</v>
      </c>
      <c r="AE73" t="str">
        <v>Mainsheet system</v>
      </c>
      <c r="AF73" t="str">
        <v xml:space="preserve">Trampoline </v>
      </c>
      <c r="AG73" t="str">
        <v>Helm seat with upholstered backrest</v>
      </c>
      <c r="AH73" t="str">
        <v>Acrylic smoke grey tinted windows</v>
      </c>
      <c r="AI73" t="str">
        <v>Hardtop supports</v>
      </c>
      <c r="AJ73" t="str">
        <v>Flush Hatch over heads</v>
      </c>
      <c r="AK73" t="str">
        <v>Flush Hatch over cabins</v>
      </c>
      <c r="AL73" t="str">
        <v>Flush Hatch over port forepeak (includes mushroom cowl)</v>
      </c>
      <c r="AM73" t="str">
        <v>Portlight windscreen</v>
      </c>
      <c r="AN73" t="str">
        <v>chain plate</v>
      </c>
      <c r="AO73" t="str">
        <v>chafe plate</v>
      </c>
      <c r="AP73" t="str">
        <v>Portlight hull side</v>
      </c>
      <c r="AQ73" t="str">
        <v>Stbd hull side</v>
      </c>
      <c r="AR73" t="str">
        <v>Portlight  in transom</v>
      </c>
      <c r="AS73" t="str">
        <v>Anchor chain bin</v>
      </c>
      <c r="AT73" t="str">
        <v>Anchor/windlass locker</v>
      </c>
      <c r="AU73" t="str">
        <v>Foredeck/forward cockpit lockers</v>
      </c>
      <c r="AV73" t="str">
        <v>Forward access to foredeck c/w watertight Lewmar door</v>
      </c>
      <c r="AW73" t="str">
        <v>S/S cupholder</v>
      </c>
      <c r="AX73" t="str">
        <v>Pulpits with seats</v>
      </c>
      <c r="AY73" t="str">
        <v>Pushpits</v>
      </c>
      <c r="AZ73" t="str">
        <v>Coachroof handrails</v>
      </c>
      <c r="BA73" t="str">
        <v>Hardtop grab handles</v>
      </c>
      <c r="BB73" t="str">
        <v>Transom grab handles</v>
      </c>
      <c r="BC73" t="str">
        <v>Mooring cleats</v>
      </c>
      <c r="BD73" t="str">
        <v>Lewmar winch handles</v>
      </c>
      <c r="BE73" t="str">
        <v xml:space="preserve">Primary electric winches </v>
      </c>
      <c r="BF73" t="str">
        <v xml:space="preserve">Mainsheet winch </v>
      </c>
      <c r="BG73" t="str">
        <v>Lewmar genoa cars with pin stop</v>
      </c>
      <c r="BH73" t="str">
        <v>Lewmar genoa tracks</v>
      </c>
      <c r="BI73" t="str">
        <v>Halyard clutch at helm (mainsail)</v>
      </c>
      <c r="BJ73" t="str">
        <v>Halyard clutch at helm (gennaker)</v>
      </c>
      <c r="BK73" t="str">
        <v>Genoa sheet clutch at helm</v>
      </c>
      <c r="BL73" t="str">
        <v>Main sheet clutch at helm</v>
      </c>
      <c r="BM73" t="str">
        <v>Reef clutch at helm</v>
      </c>
      <c r="BN73" t="str">
        <v>Clutch and cleat on mast for genoa halyard</v>
      </c>
      <c r="BO73" t="str">
        <v>Furler clutch</v>
      </c>
      <c r="BP73" t="str">
        <v>Drinks holders - 2 in fwd cockpit and 1 at helm</v>
      </c>
      <c r="BQ73" t="str">
        <v>Rope bag at helm with integral winch handle pocket</v>
      </c>
      <c r="BR73" t="str">
        <v>Natural anodized mast</v>
      </c>
      <c r="BS73" t="str">
        <v>Natural anodized crossbeam c/w mooring cleats</v>
      </c>
      <c r="BT73" t="str">
        <v>Wind indicator</v>
      </c>
      <c r="BU73" t="str">
        <v>Genoa furler</v>
      </c>
      <c r="BV73" t="str">
        <v>Mainsail full battened c/w 2 rows reefs</v>
      </c>
      <c r="BW73" t="str">
        <v>Furling genoa</v>
      </c>
      <c r="BX73" t="str">
        <v>2 x Additional spare 12v wires in mast</v>
      </c>
      <c r="BY73" t="str">
        <v>Additional spare conduit with messenger in mast</v>
      </c>
      <c r="BZ73" t="str">
        <v xml:space="preserve">Main sheets </v>
      </c>
      <c r="CA73" t="str">
        <v>Genoa sheets</v>
      </c>
      <c r="CB73" t="str">
        <v>Halyards (main, genoa &amp; spare)</v>
      </c>
      <c r="CC73" t="str">
        <v>Engine Room</v>
      </c>
      <c r="CD73" t="str">
        <v>Single line reefs lead aft</v>
      </c>
      <c r="CE73" t="str">
        <v xml:space="preserve">BBQ </v>
      </c>
      <c r="CF73" t="str">
        <v>Step ladder</v>
      </c>
      <c r="CG73" t="str">
        <v>Pop up lights</v>
      </c>
      <c r="CH73" t="str">
        <v>Main boom topping lift</v>
      </c>
    </row>
    <row r="74" spans="1:86" ht="30" x14ac:dyDescent="0.25">
      <c r="A74" s="9"/>
      <c r="B74" s="115"/>
      <c r="C74" s="76">
        <v>4</v>
      </c>
      <c r="D74" s="3" t="s">
        <v>125</v>
      </c>
      <c r="E74" s="3" t="s">
        <v>299</v>
      </c>
      <c r="F74" s="74"/>
      <c r="G74" s="74" t="s">
        <v>477</v>
      </c>
      <c r="H74" s="74"/>
      <c r="I74" s="3"/>
      <c r="J74" s="3"/>
      <c r="K74" s="3"/>
      <c r="L74" s="3"/>
    </row>
    <row r="75" spans="1:86" ht="45" x14ac:dyDescent="0.25">
      <c r="A75" s="9"/>
      <c r="B75" s="115"/>
      <c r="C75" s="76">
        <v>4</v>
      </c>
      <c r="D75" s="3" t="s">
        <v>125</v>
      </c>
      <c r="E75" s="3" t="s">
        <v>300</v>
      </c>
      <c r="F75" s="74"/>
      <c r="G75" s="74" t="s">
        <v>478</v>
      </c>
      <c r="H75" s="74"/>
      <c r="I75" s="3"/>
      <c r="J75" s="3"/>
      <c r="K75" s="3"/>
      <c r="L75" s="3"/>
      <c r="M75" t="str" cm="1">
        <f t="array" ref="M75:CH75">TRANSPOSE(_xlfn.UNIQUE(_xlfn._xlws.FILTER(Table4[Discipine Area],(Table4[Discipline No.]=C75)*(Table4[Discipline No.]=C75))))</f>
        <v>DECKFITTING</v>
      </c>
      <c r="N75" t="str">
        <v>Guard wires with stanchions, bases, port &amp; starboard side gates</v>
      </c>
      <c r="O75" t="str">
        <v>Guard wires across bow and stern</v>
      </c>
      <c r="P75" t="str">
        <v>Windlass, 10mm gypsy &amp; hand-held remote</v>
      </c>
      <c r="Q75" t="str">
        <v>Anchor bow roller fitting</v>
      </c>
      <c r="R75" t="str">
        <v>Anchor chain stopper</v>
      </c>
      <c r="S75" t="str">
        <v>Life raft locker with convertible fore/aft seat bolster</v>
      </c>
      <c r="T75" t="str">
        <v>Backrest s/s railing</v>
      </c>
      <c r="U75" t="str">
        <v>Sliding companionway door/window</v>
      </c>
      <c r="V75" t="str">
        <v>Sliding hatch over forward cockpit steps</v>
      </c>
      <c r="W75" t="str">
        <v>Hardtop over forward and aft cockpit complete with LED lighting</v>
      </c>
      <c r="X75" t="str">
        <v>Hardtop bimini over helm with supports and LED light</v>
      </c>
      <c r="Y75" t="str">
        <v>Hull windows</v>
      </c>
      <c r="Z75" t="str">
        <v>Folding swimming ladder c/w teak steps</v>
      </c>
      <c r="AA75" t="str">
        <v>Emergency ladder on port transom</v>
      </c>
      <c r="AB75" t="str">
        <v>Aft Cockpit table</v>
      </c>
      <c r="AC75" t="str">
        <v>Wetbar</v>
      </c>
      <c r="AD75" t="str">
        <v>Fold down Forward Cockpit table</v>
      </c>
      <c r="AE75" t="str">
        <v>Mainsheet system</v>
      </c>
      <c r="AF75" t="str">
        <v xml:space="preserve">Trampoline </v>
      </c>
      <c r="AG75" t="str">
        <v>Helm seat with upholstered backrest</v>
      </c>
      <c r="AH75" t="str">
        <v>Acrylic smoke grey tinted windows</v>
      </c>
      <c r="AI75" t="str">
        <v>Hardtop supports</v>
      </c>
      <c r="AJ75" t="str">
        <v>Flush Hatch over heads</v>
      </c>
      <c r="AK75" t="str">
        <v>Flush Hatch over cabins</v>
      </c>
      <c r="AL75" t="str">
        <v>Flush Hatch over port forepeak (includes mushroom cowl)</v>
      </c>
      <c r="AM75" t="str">
        <v>Portlight windscreen</v>
      </c>
      <c r="AN75" t="str">
        <v>chain plate</v>
      </c>
      <c r="AO75" t="str">
        <v>chafe plate</v>
      </c>
      <c r="AP75" t="str">
        <v>Portlight hull side</v>
      </c>
      <c r="AQ75" t="str">
        <v>Stbd hull side</v>
      </c>
      <c r="AR75" t="str">
        <v>Portlight  in transom</v>
      </c>
      <c r="AS75" t="str">
        <v>Anchor chain bin</v>
      </c>
      <c r="AT75" t="str">
        <v>Anchor/windlass locker</v>
      </c>
      <c r="AU75" t="str">
        <v>Foredeck/forward cockpit lockers</v>
      </c>
      <c r="AV75" t="str">
        <v>Forward access to foredeck c/w watertight Lewmar door</v>
      </c>
      <c r="AW75" t="str">
        <v>S/S cupholder</v>
      </c>
      <c r="AX75" t="str">
        <v>Pulpits with seats</v>
      </c>
      <c r="AY75" t="str">
        <v>Pushpits</v>
      </c>
      <c r="AZ75" t="str">
        <v>Coachroof handrails</v>
      </c>
      <c r="BA75" t="str">
        <v>Hardtop grab handles</v>
      </c>
      <c r="BB75" t="str">
        <v>Transom grab handles</v>
      </c>
      <c r="BC75" t="str">
        <v>Mooring cleats</v>
      </c>
      <c r="BD75" t="str">
        <v>Lewmar winch handles</v>
      </c>
      <c r="BE75" t="str">
        <v xml:space="preserve">Primary electric winches </v>
      </c>
      <c r="BF75" t="str">
        <v xml:space="preserve">Mainsheet winch </v>
      </c>
      <c r="BG75" t="str">
        <v>Lewmar genoa cars with pin stop</v>
      </c>
      <c r="BH75" t="str">
        <v>Lewmar genoa tracks</v>
      </c>
      <c r="BI75" t="str">
        <v>Halyard clutch at helm (mainsail)</v>
      </c>
      <c r="BJ75" t="str">
        <v>Halyard clutch at helm (gennaker)</v>
      </c>
      <c r="BK75" t="str">
        <v>Genoa sheet clutch at helm</v>
      </c>
      <c r="BL75" t="str">
        <v>Main sheet clutch at helm</v>
      </c>
      <c r="BM75" t="str">
        <v>Reef clutch at helm</v>
      </c>
      <c r="BN75" t="str">
        <v>Clutch and cleat on mast for genoa halyard</v>
      </c>
      <c r="BO75" t="str">
        <v>Furler clutch</v>
      </c>
      <c r="BP75" t="str">
        <v>Drinks holders - 2 in fwd cockpit and 1 at helm</v>
      </c>
      <c r="BQ75" t="str">
        <v>Rope bag at helm with integral winch handle pocket</v>
      </c>
      <c r="BR75" t="str">
        <v>Natural anodized mast</v>
      </c>
      <c r="BS75" t="str">
        <v>Natural anodized crossbeam c/w mooring cleats</v>
      </c>
      <c r="BT75" t="str">
        <v>Wind indicator</v>
      </c>
      <c r="BU75" t="str">
        <v>Genoa furler</v>
      </c>
      <c r="BV75" t="str">
        <v>Mainsail full battened c/w 2 rows reefs</v>
      </c>
      <c r="BW75" t="str">
        <v>Furling genoa</v>
      </c>
      <c r="BX75" t="str">
        <v>2 x Additional spare 12v wires in mast</v>
      </c>
      <c r="BY75" t="str">
        <v>Additional spare conduit with messenger in mast</v>
      </c>
      <c r="BZ75" t="str">
        <v xml:space="preserve">Main sheets </v>
      </c>
      <c r="CA75" t="str">
        <v>Genoa sheets</v>
      </c>
      <c r="CB75" t="str">
        <v>Halyards (main, genoa &amp; spare)</v>
      </c>
      <c r="CC75" t="str">
        <v>Engine Room</v>
      </c>
      <c r="CD75" t="str">
        <v>Single line reefs lead aft</v>
      </c>
      <c r="CE75" t="str">
        <v xml:space="preserve">BBQ </v>
      </c>
      <c r="CF75" t="str">
        <v>Step ladder</v>
      </c>
      <c r="CG75" t="str">
        <v>Pop up lights</v>
      </c>
      <c r="CH75" t="str">
        <v>Main boom topping lift</v>
      </c>
    </row>
    <row r="76" spans="1:86" x14ac:dyDescent="0.25">
      <c r="A76" s="9"/>
      <c r="B76" s="119"/>
      <c r="C76" s="76"/>
      <c r="D76" s="73"/>
      <c r="E76" s="73"/>
      <c r="F76" s="74"/>
      <c r="G76" s="74"/>
      <c r="H76" s="74"/>
      <c r="I76" s="3"/>
      <c r="J76" s="3"/>
      <c r="K76" s="3"/>
      <c r="L76" s="3"/>
      <c r="M76" t="e" cm="1" vm="1">
        <f t="array" ref="M76">TRANSPOSE(_xlfn.UNIQUE(_xlfn._xlws.FILTER(Table4[Discipine Area],(Table4[Discipline No.]=C76)*(Table4[Discipline No.]=C76))))</f>
        <v>#VALUE!</v>
      </c>
    </row>
    <row r="77" spans="1:86" x14ac:dyDescent="0.25">
      <c r="A77" s="9"/>
      <c r="B77" s="116"/>
      <c r="C77" s="9">
        <v>4</v>
      </c>
      <c r="D77" s="73" t="s">
        <v>326</v>
      </c>
      <c r="E77" s="73" t="s">
        <v>298</v>
      </c>
      <c r="F77" s="74"/>
      <c r="G77" s="74" t="s">
        <v>479</v>
      </c>
      <c r="H77" s="74"/>
      <c r="I77" s="73"/>
      <c r="J77" s="3"/>
      <c r="K77" s="3"/>
      <c r="L77" s="3"/>
      <c r="M77" t="str" cm="1">
        <f t="array" ref="M77:CH77">TRANSPOSE(_xlfn.UNIQUE(_xlfn._xlws.FILTER(Table4[Discipine Area],(Table4[Discipline No.]=C77)*(Table4[Discipline No.]=C77))))</f>
        <v>DECKFITTING</v>
      </c>
      <c r="N77" t="str">
        <v>Guard wires with stanchions, bases, port &amp; starboard side gates</v>
      </c>
      <c r="O77" t="str">
        <v>Guard wires across bow and stern</v>
      </c>
      <c r="P77" t="str">
        <v>Windlass, 10mm gypsy &amp; hand-held remote</v>
      </c>
      <c r="Q77" t="str">
        <v>Anchor bow roller fitting</v>
      </c>
      <c r="R77" t="str">
        <v>Anchor chain stopper</v>
      </c>
      <c r="S77" t="str">
        <v>Life raft locker with convertible fore/aft seat bolster</v>
      </c>
      <c r="T77" t="str">
        <v>Backrest s/s railing</v>
      </c>
      <c r="U77" t="str">
        <v>Sliding companionway door/window</v>
      </c>
      <c r="V77" t="str">
        <v>Sliding hatch over forward cockpit steps</v>
      </c>
      <c r="W77" t="str">
        <v>Hardtop over forward and aft cockpit complete with LED lighting</v>
      </c>
      <c r="X77" t="str">
        <v>Hardtop bimini over helm with supports and LED light</v>
      </c>
      <c r="Y77" t="str">
        <v>Hull windows</v>
      </c>
      <c r="Z77" t="str">
        <v>Folding swimming ladder c/w teak steps</v>
      </c>
      <c r="AA77" t="str">
        <v>Emergency ladder on port transom</v>
      </c>
      <c r="AB77" t="str">
        <v>Aft Cockpit table</v>
      </c>
      <c r="AC77" t="str">
        <v>Wetbar</v>
      </c>
      <c r="AD77" t="str">
        <v>Fold down Forward Cockpit table</v>
      </c>
      <c r="AE77" t="str">
        <v>Mainsheet system</v>
      </c>
      <c r="AF77" t="str">
        <v xml:space="preserve">Trampoline </v>
      </c>
      <c r="AG77" t="str">
        <v>Helm seat with upholstered backrest</v>
      </c>
      <c r="AH77" t="str">
        <v>Acrylic smoke grey tinted windows</v>
      </c>
      <c r="AI77" t="str">
        <v>Hardtop supports</v>
      </c>
      <c r="AJ77" t="str">
        <v>Flush Hatch over heads</v>
      </c>
      <c r="AK77" t="str">
        <v>Flush Hatch over cabins</v>
      </c>
      <c r="AL77" t="str">
        <v>Flush Hatch over port forepeak (includes mushroom cowl)</v>
      </c>
      <c r="AM77" t="str">
        <v>Portlight windscreen</v>
      </c>
      <c r="AN77" t="str">
        <v>chain plate</v>
      </c>
      <c r="AO77" t="str">
        <v>chafe plate</v>
      </c>
      <c r="AP77" t="str">
        <v>Portlight hull side</v>
      </c>
      <c r="AQ77" t="str">
        <v>Stbd hull side</v>
      </c>
      <c r="AR77" t="str">
        <v>Portlight  in transom</v>
      </c>
      <c r="AS77" t="str">
        <v>Anchor chain bin</v>
      </c>
      <c r="AT77" t="str">
        <v>Anchor/windlass locker</v>
      </c>
      <c r="AU77" t="str">
        <v>Foredeck/forward cockpit lockers</v>
      </c>
      <c r="AV77" t="str">
        <v>Forward access to foredeck c/w watertight Lewmar door</v>
      </c>
      <c r="AW77" t="str">
        <v>S/S cupholder</v>
      </c>
      <c r="AX77" t="str">
        <v>Pulpits with seats</v>
      </c>
      <c r="AY77" t="str">
        <v>Pushpits</v>
      </c>
      <c r="AZ77" t="str">
        <v>Coachroof handrails</v>
      </c>
      <c r="BA77" t="str">
        <v>Hardtop grab handles</v>
      </c>
      <c r="BB77" t="str">
        <v>Transom grab handles</v>
      </c>
      <c r="BC77" t="str">
        <v>Mooring cleats</v>
      </c>
      <c r="BD77" t="str">
        <v>Lewmar winch handles</v>
      </c>
      <c r="BE77" t="str">
        <v xml:space="preserve">Primary electric winches </v>
      </c>
      <c r="BF77" t="str">
        <v xml:space="preserve">Mainsheet winch </v>
      </c>
      <c r="BG77" t="str">
        <v>Lewmar genoa cars with pin stop</v>
      </c>
      <c r="BH77" t="str">
        <v>Lewmar genoa tracks</v>
      </c>
      <c r="BI77" t="str">
        <v>Halyard clutch at helm (mainsail)</v>
      </c>
      <c r="BJ77" t="str">
        <v>Halyard clutch at helm (gennaker)</v>
      </c>
      <c r="BK77" t="str">
        <v>Genoa sheet clutch at helm</v>
      </c>
      <c r="BL77" t="str">
        <v>Main sheet clutch at helm</v>
      </c>
      <c r="BM77" t="str">
        <v>Reef clutch at helm</v>
      </c>
      <c r="BN77" t="str">
        <v>Clutch and cleat on mast for genoa halyard</v>
      </c>
      <c r="BO77" t="str">
        <v>Furler clutch</v>
      </c>
      <c r="BP77" t="str">
        <v>Drinks holders - 2 in fwd cockpit and 1 at helm</v>
      </c>
      <c r="BQ77" t="str">
        <v>Rope bag at helm with integral winch handle pocket</v>
      </c>
      <c r="BR77" t="str">
        <v>Natural anodized mast</v>
      </c>
      <c r="BS77" t="str">
        <v>Natural anodized crossbeam c/w mooring cleats</v>
      </c>
      <c r="BT77" t="str">
        <v>Wind indicator</v>
      </c>
      <c r="BU77" t="str">
        <v>Genoa furler</v>
      </c>
      <c r="BV77" t="str">
        <v>Mainsail full battened c/w 2 rows reefs</v>
      </c>
      <c r="BW77" t="str">
        <v>Furling genoa</v>
      </c>
      <c r="BX77" t="str">
        <v>2 x Additional spare 12v wires in mast</v>
      </c>
      <c r="BY77" t="str">
        <v>Additional spare conduit with messenger in mast</v>
      </c>
      <c r="BZ77" t="str">
        <v xml:space="preserve">Main sheets </v>
      </c>
      <c r="CA77" t="str">
        <v>Genoa sheets</v>
      </c>
      <c r="CB77" t="str">
        <v>Halyards (main, genoa &amp; spare)</v>
      </c>
      <c r="CC77" t="str">
        <v>Engine Room</v>
      </c>
      <c r="CD77" t="str">
        <v>Single line reefs lead aft</v>
      </c>
      <c r="CE77" t="str">
        <v xml:space="preserve">BBQ </v>
      </c>
      <c r="CF77" t="str">
        <v>Step ladder</v>
      </c>
      <c r="CG77" t="str">
        <v>Pop up lights</v>
      </c>
      <c r="CH77" t="str">
        <v>Main boom topping lift</v>
      </c>
    </row>
    <row r="78" spans="1:86" ht="15" customHeight="1" x14ac:dyDescent="0.25">
      <c r="A78" s="9"/>
      <c r="B78" s="116"/>
      <c r="C78" s="9">
        <v>4</v>
      </c>
      <c r="D78" s="73" t="s">
        <v>326</v>
      </c>
      <c r="E78" s="73" t="s">
        <v>299</v>
      </c>
      <c r="F78" s="74"/>
      <c r="G78" s="74" t="s">
        <v>469</v>
      </c>
      <c r="H78" s="74"/>
      <c r="I78" s="3"/>
      <c r="J78" s="3"/>
      <c r="K78" s="3"/>
      <c r="L78" s="3"/>
      <c r="M78" t="str" cm="1">
        <f t="array" ref="M78:CH78">TRANSPOSE(_xlfn.UNIQUE(_xlfn._xlws.FILTER(Table4[Discipine Area],(Table4[Discipline No.]=C78)*(Table4[Discipline No.]=C78))))</f>
        <v>DECKFITTING</v>
      </c>
      <c r="N78" t="str">
        <v>Guard wires with stanchions, bases, port &amp; starboard side gates</v>
      </c>
      <c r="O78" t="str">
        <v>Guard wires across bow and stern</v>
      </c>
      <c r="P78" t="str">
        <v>Windlass, 10mm gypsy &amp; hand-held remote</v>
      </c>
      <c r="Q78" t="str">
        <v>Anchor bow roller fitting</v>
      </c>
      <c r="R78" t="str">
        <v>Anchor chain stopper</v>
      </c>
      <c r="S78" t="str">
        <v>Life raft locker with convertible fore/aft seat bolster</v>
      </c>
      <c r="T78" t="str">
        <v>Backrest s/s railing</v>
      </c>
      <c r="U78" t="str">
        <v>Sliding companionway door/window</v>
      </c>
      <c r="V78" t="str">
        <v>Sliding hatch over forward cockpit steps</v>
      </c>
      <c r="W78" t="str">
        <v>Hardtop over forward and aft cockpit complete with LED lighting</v>
      </c>
      <c r="X78" t="str">
        <v>Hardtop bimini over helm with supports and LED light</v>
      </c>
      <c r="Y78" t="str">
        <v>Hull windows</v>
      </c>
      <c r="Z78" t="str">
        <v>Folding swimming ladder c/w teak steps</v>
      </c>
      <c r="AA78" t="str">
        <v>Emergency ladder on port transom</v>
      </c>
      <c r="AB78" t="str">
        <v>Aft Cockpit table</v>
      </c>
      <c r="AC78" t="str">
        <v>Wetbar</v>
      </c>
      <c r="AD78" t="str">
        <v>Fold down Forward Cockpit table</v>
      </c>
      <c r="AE78" t="str">
        <v>Mainsheet system</v>
      </c>
      <c r="AF78" t="str">
        <v xml:space="preserve">Trampoline </v>
      </c>
      <c r="AG78" t="str">
        <v>Helm seat with upholstered backrest</v>
      </c>
      <c r="AH78" t="str">
        <v>Acrylic smoke grey tinted windows</v>
      </c>
      <c r="AI78" t="str">
        <v>Hardtop supports</v>
      </c>
      <c r="AJ78" t="str">
        <v>Flush Hatch over heads</v>
      </c>
      <c r="AK78" t="str">
        <v>Flush Hatch over cabins</v>
      </c>
      <c r="AL78" t="str">
        <v>Flush Hatch over port forepeak (includes mushroom cowl)</v>
      </c>
      <c r="AM78" t="str">
        <v>Portlight windscreen</v>
      </c>
      <c r="AN78" t="str">
        <v>chain plate</v>
      </c>
      <c r="AO78" t="str">
        <v>chafe plate</v>
      </c>
      <c r="AP78" t="str">
        <v>Portlight hull side</v>
      </c>
      <c r="AQ78" t="str">
        <v>Stbd hull side</v>
      </c>
      <c r="AR78" t="str">
        <v>Portlight  in transom</v>
      </c>
      <c r="AS78" t="str">
        <v>Anchor chain bin</v>
      </c>
      <c r="AT78" t="str">
        <v>Anchor/windlass locker</v>
      </c>
      <c r="AU78" t="str">
        <v>Foredeck/forward cockpit lockers</v>
      </c>
      <c r="AV78" t="str">
        <v>Forward access to foredeck c/w watertight Lewmar door</v>
      </c>
      <c r="AW78" t="str">
        <v>S/S cupholder</v>
      </c>
      <c r="AX78" t="str">
        <v>Pulpits with seats</v>
      </c>
      <c r="AY78" t="str">
        <v>Pushpits</v>
      </c>
      <c r="AZ78" t="str">
        <v>Coachroof handrails</v>
      </c>
      <c r="BA78" t="str">
        <v>Hardtop grab handles</v>
      </c>
      <c r="BB78" t="str">
        <v>Transom grab handles</v>
      </c>
      <c r="BC78" t="str">
        <v>Mooring cleats</v>
      </c>
      <c r="BD78" t="str">
        <v>Lewmar winch handles</v>
      </c>
      <c r="BE78" t="str">
        <v xml:space="preserve">Primary electric winches </v>
      </c>
      <c r="BF78" t="str">
        <v xml:space="preserve">Mainsheet winch </v>
      </c>
      <c r="BG78" t="str">
        <v>Lewmar genoa cars with pin stop</v>
      </c>
      <c r="BH78" t="str">
        <v>Lewmar genoa tracks</v>
      </c>
      <c r="BI78" t="str">
        <v>Halyard clutch at helm (mainsail)</v>
      </c>
      <c r="BJ78" t="str">
        <v>Halyard clutch at helm (gennaker)</v>
      </c>
      <c r="BK78" t="str">
        <v>Genoa sheet clutch at helm</v>
      </c>
      <c r="BL78" t="str">
        <v>Main sheet clutch at helm</v>
      </c>
      <c r="BM78" t="str">
        <v>Reef clutch at helm</v>
      </c>
      <c r="BN78" t="str">
        <v>Clutch and cleat on mast for genoa halyard</v>
      </c>
      <c r="BO78" t="str">
        <v>Furler clutch</v>
      </c>
      <c r="BP78" t="str">
        <v>Drinks holders - 2 in fwd cockpit and 1 at helm</v>
      </c>
      <c r="BQ78" t="str">
        <v>Rope bag at helm with integral winch handle pocket</v>
      </c>
      <c r="BR78" t="str">
        <v>Natural anodized mast</v>
      </c>
      <c r="BS78" t="str">
        <v>Natural anodized crossbeam c/w mooring cleats</v>
      </c>
      <c r="BT78" t="str">
        <v>Wind indicator</v>
      </c>
      <c r="BU78" t="str">
        <v>Genoa furler</v>
      </c>
      <c r="BV78" t="str">
        <v>Mainsail full battened c/w 2 rows reefs</v>
      </c>
      <c r="BW78" t="str">
        <v>Furling genoa</v>
      </c>
      <c r="BX78" t="str">
        <v>2 x Additional spare 12v wires in mast</v>
      </c>
      <c r="BY78" t="str">
        <v>Additional spare conduit with messenger in mast</v>
      </c>
      <c r="BZ78" t="str">
        <v xml:space="preserve">Main sheets </v>
      </c>
      <c r="CA78" t="str">
        <v>Genoa sheets</v>
      </c>
      <c r="CB78" t="str">
        <v>Halyards (main, genoa &amp; spare)</v>
      </c>
      <c r="CC78" t="str">
        <v>Engine Room</v>
      </c>
      <c r="CD78" t="str">
        <v>Single line reefs lead aft</v>
      </c>
      <c r="CE78" t="str">
        <v xml:space="preserve">BBQ </v>
      </c>
      <c r="CF78" t="str">
        <v>Step ladder</v>
      </c>
      <c r="CG78" t="str">
        <v>Pop up lights</v>
      </c>
      <c r="CH78" t="str">
        <v>Main boom topping lift</v>
      </c>
    </row>
    <row r="79" spans="1:86" ht="30" x14ac:dyDescent="0.25">
      <c r="A79" s="76"/>
      <c r="B79" s="122"/>
      <c r="C79" s="9">
        <v>4</v>
      </c>
      <c r="D79" s="73" t="s">
        <v>89</v>
      </c>
      <c r="E79" s="73" t="s">
        <v>299</v>
      </c>
      <c r="F79" s="74"/>
      <c r="G79" s="74" t="s">
        <v>480</v>
      </c>
      <c r="H79" s="74"/>
      <c r="I79" s="3"/>
      <c r="J79" s="3"/>
      <c r="K79" s="3"/>
      <c r="L79" s="3"/>
      <c r="M79" t="str" cm="1">
        <f t="array" ref="M79:CH79">TRANSPOSE(_xlfn.UNIQUE(_xlfn._xlws.FILTER(Table4[Discipine Area],(Table4[Discipline No.]=C79)*(Table4[Discipline No.]=C79))))</f>
        <v>DECKFITTING</v>
      </c>
      <c r="N79" t="str">
        <v>Guard wires with stanchions, bases, port &amp; starboard side gates</v>
      </c>
      <c r="O79" t="str">
        <v>Guard wires across bow and stern</v>
      </c>
      <c r="P79" t="str">
        <v>Windlass, 10mm gypsy &amp; hand-held remote</v>
      </c>
      <c r="Q79" t="str">
        <v>Anchor bow roller fitting</v>
      </c>
      <c r="R79" t="str">
        <v>Anchor chain stopper</v>
      </c>
      <c r="S79" t="str">
        <v>Life raft locker with convertible fore/aft seat bolster</v>
      </c>
      <c r="T79" t="str">
        <v>Backrest s/s railing</v>
      </c>
      <c r="U79" t="str">
        <v>Sliding companionway door/window</v>
      </c>
      <c r="V79" t="str">
        <v>Sliding hatch over forward cockpit steps</v>
      </c>
      <c r="W79" t="str">
        <v>Hardtop over forward and aft cockpit complete with LED lighting</v>
      </c>
      <c r="X79" t="str">
        <v>Hardtop bimini over helm with supports and LED light</v>
      </c>
      <c r="Y79" t="str">
        <v>Hull windows</v>
      </c>
      <c r="Z79" t="str">
        <v>Folding swimming ladder c/w teak steps</v>
      </c>
      <c r="AA79" t="str">
        <v>Emergency ladder on port transom</v>
      </c>
      <c r="AB79" t="str">
        <v>Aft Cockpit table</v>
      </c>
      <c r="AC79" t="str">
        <v>Wetbar</v>
      </c>
      <c r="AD79" t="str">
        <v>Fold down Forward Cockpit table</v>
      </c>
      <c r="AE79" t="str">
        <v>Mainsheet system</v>
      </c>
      <c r="AF79" t="str">
        <v xml:space="preserve">Trampoline </v>
      </c>
      <c r="AG79" t="str">
        <v>Helm seat with upholstered backrest</v>
      </c>
      <c r="AH79" t="str">
        <v>Acrylic smoke grey tinted windows</v>
      </c>
      <c r="AI79" t="str">
        <v>Hardtop supports</v>
      </c>
      <c r="AJ79" t="str">
        <v>Flush Hatch over heads</v>
      </c>
      <c r="AK79" t="str">
        <v>Flush Hatch over cabins</v>
      </c>
      <c r="AL79" t="str">
        <v>Flush Hatch over port forepeak (includes mushroom cowl)</v>
      </c>
      <c r="AM79" t="str">
        <v>Portlight windscreen</v>
      </c>
      <c r="AN79" t="str">
        <v>chain plate</v>
      </c>
      <c r="AO79" t="str">
        <v>chafe plate</v>
      </c>
      <c r="AP79" t="str">
        <v>Portlight hull side</v>
      </c>
      <c r="AQ79" t="str">
        <v>Stbd hull side</v>
      </c>
      <c r="AR79" t="str">
        <v>Portlight  in transom</v>
      </c>
      <c r="AS79" t="str">
        <v>Anchor chain bin</v>
      </c>
      <c r="AT79" t="str">
        <v>Anchor/windlass locker</v>
      </c>
      <c r="AU79" t="str">
        <v>Foredeck/forward cockpit lockers</v>
      </c>
      <c r="AV79" t="str">
        <v>Forward access to foredeck c/w watertight Lewmar door</v>
      </c>
      <c r="AW79" t="str">
        <v>S/S cupholder</v>
      </c>
      <c r="AX79" t="str">
        <v>Pulpits with seats</v>
      </c>
      <c r="AY79" t="str">
        <v>Pushpits</v>
      </c>
      <c r="AZ79" t="str">
        <v>Coachroof handrails</v>
      </c>
      <c r="BA79" t="str">
        <v>Hardtop grab handles</v>
      </c>
      <c r="BB79" t="str">
        <v>Transom grab handles</v>
      </c>
      <c r="BC79" t="str">
        <v>Mooring cleats</v>
      </c>
      <c r="BD79" t="str">
        <v>Lewmar winch handles</v>
      </c>
      <c r="BE79" t="str">
        <v xml:space="preserve">Primary electric winches </v>
      </c>
      <c r="BF79" t="str">
        <v xml:space="preserve">Mainsheet winch </v>
      </c>
      <c r="BG79" t="str">
        <v>Lewmar genoa cars with pin stop</v>
      </c>
      <c r="BH79" t="str">
        <v>Lewmar genoa tracks</v>
      </c>
      <c r="BI79" t="str">
        <v>Halyard clutch at helm (mainsail)</v>
      </c>
      <c r="BJ79" t="str">
        <v>Halyard clutch at helm (gennaker)</v>
      </c>
      <c r="BK79" t="str">
        <v>Genoa sheet clutch at helm</v>
      </c>
      <c r="BL79" t="str">
        <v>Main sheet clutch at helm</v>
      </c>
      <c r="BM79" t="str">
        <v>Reef clutch at helm</v>
      </c>
      <c r="BN79" t="str">
        <v>Clutch and cleat on mast for genoa halyard</v>
      </c>
      <c r="BO79" t="str">
        <v>Furler clutch</v>
      </c>
      <c r="BP79" t="str">
        <v>Drinks holders - 2 in fwd cockpit and 1 at helm</v>
      </c>
      <c r="BQ79" t="str">
        <v>Rope bag at helm with integral winch handle pocket</v>
      </c>
      <c r="BR79" t="str">
        <v>Natural anodized mast</v>
      </c>
      <c r="BS79" t="str">
        <v>Natural anodized crossbeam c/w mooring cleats</v>
      </c>
      <c r="BT79" t="str">
        <v>Wind indicator</v>
      </c>
      <c r="BU79" t="str">
        <v>Genoa furler</v>
      </c>
      <c r="BV79" t="str">
        <v>Mainsail full battened c/w 2 rows reefs</v>
      </c>
      <c r="BW79" t="str">
        <v>Furling genoa</v>
      </c>
      <c r="BX79" t="str">
        <v>2 x Additional spare 12v wires in mast</v>
      </c>
      <c r="BY79" t="str">
        <v>Additional spare conduit with messenger in mast</v>
      </c>
      <c r="BZ79" t="str">
        <v xml:space="preserve">Main sheets </v>
      </c>
      <c r="CA79" t="str">
        <v>Genoa sheets</v>
      </c>
      <c r="CB79" t="str">
        <v>Halyards (main, genoa &amp; spare)</v>
      </c>
      <c r="CC79" t="str">
        <v>Engine Room</v>
      </c>
      <c r="CD79" t="str">
        <v>Single line reefs lead aft</v>
      </c>
      <c r="CE79" t="str">
        <v xml:space="preserve">BBQ </v>
      </c>
      <c r="CF79" t="str">
        <v>Step ladder</v>
      </c>
      <c r="CG79" t="str">
        <v>Pop up lights</v>
      </c>
      <c r="CH79" t="str">
        <v>Main boom topping lift</v>
      </c>
    </row>
    <row r="80" spans="1:86" ht="15" customHeight="1" x14ac:dyDescent="0.25">
      <c r="A80" s="76"/>
      <c r="B80" s="116"/>
      <c r="C80" s="9"/>
      <c r="D80" s="73"/>
      <c r="E80" s="73"/>
      <c r="F80" s="74"/>
      <c r="G80" s="74"/>
      <c r="H80" s="74"/>
      <c r="I80" s="3"/>
      <c r="J80" s="3"/>
      <c r="K80" s="3"/>
      <c r="L80" s="3"/>
      <c r="M80" t="e" cm="1" vm="1">
        <f t="array" ref="M80">TRANSPOSE(_xlfn.UNIQUE(_xlfn._xlws.FILTER(Table4[Discipine Area],(Table4[Discipline No.]=C80)*(Table4[Discipline No.]=C80))))</f>
        <v>#VALUE!</v>
      </c>
    </row>
    <row r="81" spans="1:86" ht="15" customHeight="1" x14ac:dyDescent="0.25">
      <c r="A81" s="76"/>
      <c r="B81" s="116"/>
      <c r="C81" s="76"/>
      <c r="D81" s="75"/>
      <c r="E81" s="3"/>
      <c r="F81" s="74"/>
      <c r="G81" s="74"/>
      <c r="H81" s="74"/>
      <c r="I81" s="3"/>
      <c r="J81" s="3"/>
      <c r="K81" s="3"/>
      <c r="L81" s="3"/>
      <c r="M81" t="e" cm="1" vm="1">
        <f t="array" ref="M81">TRANSPOSE(_xlfn.UNIQUE(_xlfn._xlws.FILTER(Table4[Discipine Area],(Table4[Discipline No.]=C81)*(Table4[Discipline No.]=C81))))</f>
        <v>#VALUE!</v>
      </c>
    </row>
    <row r="82" spans="1:86" x14ac:dyDescent="0.25">
      <c r="A82" s="9"/>
      <c r="B82" s="116"/>
      <c r="C82" s="9"/>
      <c r="D82" s="73"/>
      <c r="E82" s="73"/>
      <c r="F82" s="74"/>
      <c r="G82" s="74"/>
      <c r="H82" s="74"/>
      <c r="I82" s="3"/>
      <c r="J82" s="3"/>
      <c r="K82" s="3"/>
      <c r="L82" s="3"/>
      <c r="M82" t="e" cm="1" vm="1">
        <f t="array" ref="M82">TRANSPOSE(_xlfn.UNIQUE(_xlfn._xlws.FILTER(Table4[Discipine Area],(Table4[Discipline No.]=C82)*(Table4[Discipline No.]=C82))))</f>
        <v>#VALUE!</v>
      </c>
    </row>
    <row r="83" spans="1:86" ht="16.5" customHeight="1" x14ac:dyDescent="0.25">
      <c r="A83" s="76"/>
      <c r="B83" s="97"/>
      <c r="C83" s="9"/>
      <c r="D83" s="74"/>
      <c r="E83" s="73"/>
      <c r="F83" s="74"/>
      <c r="G83" s="74"/>
      <c r="H83" s="74"/>
      <c r="I83" s="3"/>
      <c r="J83" s="3"/>
      <c r="K83" s="3"/>
      <c r="L83" s="3"/>
      <c r="M83" t="e" cm="1" vm="1">
        <f t="array" ref="M83">TRANSPOSE(_xlfn.UNIQUE(_xlfn._xlws.FILTER(Table4[Discipine Area],(Table4[Discipline No.]=C83)*(Table4[Discipline No.]=C83))))</f>
        <v>#VALUE!</v>
      </c>
    </row>
    <row r="84" spans="1:86" ht="15" customHeight="1" x14ac:dyDescent="0.25">
      <c r="A84" s="76"/>
      <c r="B84" s="97"/>
      <c r="C84" s="9"/>
      <c r="D84" s="74"/>
      <c r="E84" s="73"/>
      <c r="F84" s="74"/>
      <c r="G84" s="74"/>
      <c r="H84" s="74"/>
      <c r="I84" s="3"/>
      <c r="J84" s="3"/>
      <c r="K84" s="3"/>
      <c r="L84" s="3"/>
    </row>
    <row r="85" spans="1:86" ht="15" customHeight="1" x14ac:dyDescent="0.25">
      <c r="A85" s="131" t="s">
        <v>414</v>
      </c>
      <c r="B85" s="132"/>
      <c r="C85" s="132"/>
      <c r="D85" s="132"/>
      <c r="E85" s="132"/>
      <c r="F85" s="133"/>
      <c r="G85" s="3" t="s">
        <v>415</v>
      </c>
      <c r="H85" s="141"/>
      <c r="I85" s="142"/>
      <c r="J85" s="134" t="s">
        <v>416</v>
      </c>
      <c r="K85" s="135"/>
      <c r="L85" s="136"/>
      <c r="M85" t="e" cm="1" vm="1">
        <f t="array" ref="M85">TRANSPOSE(_xlfn.UNIQUE(_xlfn._xlws.FILTER(Table4[Discipine Area],(Table4[Discipline No.]=C85)*(Table4[Discipline No.]=C85))))</f>
        <v>#VALUE!</v>
      </c>
    </row>
    <row r="86" spans="1:86" ht="15" customHeight="1" x14ac:dyDescent="0.25">
      <c r="A86" s="127" t="s">
        <v>0</v>
      </c>
      <c r="B86" s="127" t="s">
        <v>1</v>
      </c>
      <c r="C86" s="129" t="s">
        <v>2</v>
      </c>
      <c r="D86" s="129" t="s">
        <v>3</v>
      </c>
      <c r="E86" s="129" t="s">
        <v>4</v>
      </c>
      <c r="F86" s="129" t="s">
        <v>410</v>
      </c>
      <c r="G86" s="139" t="s">
        <v>216</v>
      </c>
      <c r="H86" s="139" t="s">
        <v>6</v>
      </c>
      <c r="I86" s="139" t="s">
        <v>7</v>
      </c>
      <c r="J86" s="137" t="s">
        <v>8</v>
      </c>
      <c r="K86" s="138" t="s">
        <v>9</v>
      </c>
      <c r="L86" s="138"/>
      <c r="M86" t="e" cm="1" vm="1">
        <f t="array" ref="M86">TRANSPOSE(_xlfn.UNIQUE(_xlfn._xlws.FILTER(Table4[Discipine Area],(Table4[Discipline No.]=C86)*(Table4[Discipline No.]=C86))))</f>
        <v>#VALUE!</v>
      </c>
    </row>
    <row r="87" spans="1:86" ht="15" customHeight="1" x14ac:dyDescent="0.25">
      <c r="A87" s="128"/>
      <c r="B87" s="128"/>
      <c r="C87" s="130"/>
      <c r="D87" s="130"/>
      <c r="E87" s="130"/>
      <c r="F87" s="130"/>
      <c r="G87" s="140"/>
      <c r="H87" s="140"/>
      <c r="I87" s="140"/>
      <c r="J87" s="137"/>
      <c r="K87" s="78" t="s">
        <v>10</v>
      </c>
      <c r="L87" s="78" t="s">
        <v>11</v>
      </c>
      <c r="M87" t="e" cm="1" vm="1">
        <f t="array" ref="M87">TRANSPOSE(_xlfn.UNIQUE(_xlfn._xlws.FILTER(Table4[Discipine Area],(Table4[Discipline No.]=C87)*(Table4[Discipline No.]=C87))))</f>
        <v>#VALUE!</v>
      </c>
    </row>
    <row r="88" spans="1:86" ht="15" customHeight="1" x14ac:dyDescent="0.25">
      <c r="A88" s="76"/>
      <c r="B88" s="113" t="s">
        <v>257</v>
      </c>
      <c r="C88" s="9"/>
      <c r="D88" s="73"/>
      <c r="E88" s="73"/>
      <c r="F88" s="74"/>
      <c r="G88" s="74"/>
      <c r="H88" s="74"/>
      <c r="I88" s="73"/>
      <c r="J88" s="73"/>
      <c r="K88" s="73"/>
      <c r="L88" s="3"/>
      <c r="M88" t="e" cm="1" vm="1">
        <f t="array" ref="M88">TRANSPOSE(_xlfn.UNIQUE(_xlfn._xlws.FILTER(Table4[Discipine Area],(Table4[Discipline No.]=C88)*(Table4[Discipline No.]=C88))))</f>
        <v>#VALUE!</v>
      </c>
    </row>
    <row r="89" spans="1:86" x14ac:dyDescent="0.25">
      <c r="A89" s="9"/>
      <c r="B89" s="99"/>
      <c r="C89" s="76"/>
      <c r="D89" s="73"/>
      <c r="E89" s="73"/>
      <c r="F89" s="74"/>
      <c r="G89" s="74"/>
      <c r="H89" s="74"/>
      <c r="I89" s="73"/>
      <c r="J89" s="73"/>
      <c r="K89" s="73"/>
      <c r="L89" s="3"/>
      <c r="M89" t="e" cm="1" vm="1">
        <f t="array" ref="M89">TRANSPOSE(_xlfn.UNIQUE(_xlfn._xlws.FILTER(Table4[Discipine Area],(Table4[Discipline No.]=C89)*(Table4[Discipline No.]=C89))))</f>
        <v>#VALUE!</v>
      </c>
    </row>
    <row r="90" spans="1:86" x14ac:dyDescent="0.25">
      <c r="A90" s="9"/>
      <c r="B90" s="116" t="s">
        <v>473</v>
      </c>
      <c r="C90" s="9">
        <v>1</v>
      </c>
      <c r="D90" s="73" t="s">
        <v>389</v>
      </c>
      <c r="E90" s="73" t="s">
        <v>223</v>
      </c>
      <c r="F90" s="74"/>
      <c r="G90" s="74" t="s">
        <v>487</v>
      </c>
      <c r="H90" s="74"/>
      <c r="I90" s="73"/>
      <c r="J90" s="3"/>
      <c r="K90" s="3"/>
      <c r="L90" s="3"/>
      <c r="M90" t="str" cm="1">
        <f t="array" ref="M90:AZ90">TRANSPOSE(_xlfn.UNIQUE(_xlfn._xlws.FILTER(Table4[Discipine Area],(Table4[Discipline No.]=C90)*(Table4[Discipline No.]=C90))))</f>
        <v>Exterior</v>
      </c>
      <c r="N90" t="str">
        <v>Fwd area</v>
      </c>
      <c r="O90" t="str">
        <v>Midship area</v>
      </c>
      <c r="P90" t="str">
        <v>Aft area</v>
      </c>
      <c r="Q90" t="str">
        <v>window surround</v>
      </c>
      <c r="R90" t="str">
        <v>Bows</v>
      </c>
      <c r="S90" t="str">
        <v>fwd deck steps</v>
      </c>
      <c r="T90" t="str">
        <v>Deck flange</v>
      </c>
      <c r="U90" t="str">
        <v>Waterchannel</v>
      </c>
      <c r="V90" t="str">
        <v>Helmstation</v>
      </c>
      <c r="W90" t="str">
        <v>window module</v>
      </c>
      <c r="X90" t="str">
        <v>deck Join</v>
      </c>
      <c r="Y90" t="str">
        <v>side deck step</v>
      </c>
      <c r="Z90" t="str">
        <v>Bimini</v>
      </c>
      <c r="AA90" t="str">
        <v>Helmstation steps</v>
      </c>
      <c r="AB90" t="str">
        <v>toe rail</v>
      </c>
      <c r="AC90" t="str">
        <v>Inboard liner</v>
      </c>
      <c r="AD90" t="str">
        <v>Settee</v>
      </c>
      <c r="AE90" t="str">
        <v>Transom</v>
      </c>
      <c r="AF90" t="str">
        <v>Floating step</v>
      </c>
      <c r="AG90" t="str">
        <v>Locker lids</v>
      </c>
      <c r="AH90" t="str">
        <v>Table</v>
      </c>
      <c r="AI90" t="str">
        <v>Ceiling</v>
      </c>
      <c r="AJ90" t="str">
        <v>Targawing</v>
      </c>
      <c r="AK90" t="str">
        <v>Eyebrow</v>
      </c>
      <c r="AL90" t="str">
        <v>Decklid</v>
      </c>
      <c r="AM90" t="str">
        <v>Skylight</v>
      </c>
      <c r="AN90" t="str">
        <v>Floor</v>
      </c>
      <c r="AO90" t="str">
        <v>Flybridge steps</v>
      </c>
      <c r="AP90" t="str">
        <v>INTERIOR</v>
      </c>
      <c r="AQ90" t="str">
        <v>Stowage space under floorboards</v>
      </c>
      <c r="AR90" t="str">
        <v>Door surround</v>
      </c>
      <c r="AS90" t="str">
        <v>Staircase</v>
      </c>
      <c r="AT90" t="str">
        <v>Plinth/Skirting</v>
      </c>
      <c r="AU90" t="str">
        <v>Ceiling Liner</v>
      </c>
      <c r="AV90" t="str">
        <v>BBQ Locker</v>
      </c>
      <c r="AW90" t="str">
        <v>Bunk Liners</v>
      </c>
      <c r="AX90" t="str">
        <v>Basin module</v>
      </c>
      <c r="AY90" t="str">
        <v>Shower bulkhead module</v>
      </c>
      <c r="AZ90" t="str">
        <v>Heads bulkhead module</v>
      </c>
    </row>
    <row r="91" spans="1:86" ht="45" x14ac:dyDescent="0.25">
      <c r="A91" s="9"/>
      <c r="B91" s="116"/>
      <c r="C91" s="9">
        <v>1</v>
      </c>
      <c r="D91" s="73" t="s">
        <v>360</v>
      </c>
      <c r="E91" s="73" t="s">
        <v>297</v>
      </c>
      <c r="F91" s="74"/>
      <c r="G91" s="74" t="s">
        <v>481</v>
      </c>
      <c r="H91" s="74"/>
      <c r="I91" s="73"/>
      <c r="J91" s="73"/>
      <c r="K91" s="73"/>
      <c r="L91" s="3"/>
      <c r="M91" t="str" cm="1">
        <f t="array" ref="M91:AZ91">TRANSPOSE(_xlfn.UNIQUE(_xlfn._xlws.FILTER(Table4[Discipine Area],(Table4[Discipline No.]=C91)*(Table4[Discipline No.]=C91))))</f>
        <v>Exterior</v>
      </c>
      <c r="N91" t="str">
        <v>Fwd area</v>
      </c>
      <c r="O91" t="str">
        <v>Midship area</v>
      </c>
      <c r="P91" t="str">
        <v>Aft area</v>
      </c>
      <c r="Q91" t="str">
        <v>window surround</v>
      </c>
      <c r="R91" t="str">
        <v>Bows</v>
      </c>
      <c r="S91" t="str">
        <v>fwd deck steps</v>
      </c>
      <c r="T91" t="str">
        <v>Deck flange</v>
      </c>
      <c r="U91" t="str">
        <v>Waterchannel</v>
      </c>
      <c r="V91" t="str">
        <v>Helmstation</v>
      </c>
      <c r="W91" t="str">
        <v>window module</v>
      </c>
      <c r="X91" t="str">
        <v>deck Join</v>
      </c>
      <c r="Y91" t="str">
        <v>side deck step</v>
      </c>
      <c r="Z91" t="str">
        <v>Bimini</v>
      </c>
      <c r="AA91" t="str">
        <v>Helmstation steps</v>
      </c>
      <c r="AB91" t="str">
        <v>toe rail</v>
      </c>
      <c r="AC91" t="str">
        <v>Inboard liner</v>
      </c>
      <c r="AD91" t="str">
        <v>Settee</v>
      </c>
      <c r="AE91" t="str">
        <v>Transom</v>
      </c>
      <c r="AF91" t="str">
        <v>Floating step</v>
      </c>
      <c r="AG91" t="str">
        <v>Locker lids</v>
      </c>
      <c r="AH91" t="str">
        <v>Table</v>
      </c>
      <c r="AI91" t="str">
        <v>Ceiling</v>
      </c>
      <c r="AJ91" t="str">
        <v>Targawing</v>
      </c>
      <c r="AK91" t="str">
        <v>Eyebrow</v>
      </c>
      <c r="AL91" t="str">
        <v>Decklid</v>
      </c>
      <c r="AM91" t="str">
        <v>Skylight</v>
      </c>
      <c r="AN91" t="str">
        <v>Floor</v>
      </c>
      <c r="AO91" t="str">
        <v>Flybridge steps</v>
      </c>
      <c r="AP91" t="str">
        <v>INTERIOR</v>
      </c>
      <c r="AQ91" t="str">
        <v>Stowage space under floorboards</v>
      </c>
      <c r="AR91" t="str">
        <v>Door surround</v>
      </c>
      <c r="AS91" t="str">
        <v>Staircase</v>
      </c>
      <c r="AT91" t="str">
        <v>Plinth/Skirting</v>
      </c>
      <c r="AU91" t="str">
        <v>Ceiling Liner</v>
      </c>
      <c r="AV91" t="str">
        <v>BBQ Locker</v>
      </c>
      <c r="AW91" t="str">
        <v>Bunk Liners</v>
      </c>
      <c r="AX91" t="str">
        <v>Basin module</v>
      </c>
      <c r="AY91" t="str">
        <v>Shower bulkhead module</v>
      </c>
      <c r="AZ91" t="str">
        <v>Heads bulkhead module</v>
      </c>
    </row>
    <row r="92" spans="1:86" ht="15" customHeight="1" x14ac:dyDescent="0.25">
      <c r="A92" s="9"/>
      <c r="B92" s="116"/>
      <c r="C92" s="9">
        <v>1</v>
      </c>
      <c r="D92" s="73" t="s">
        <v>360</v>
      </c>
      <c r="E92" s="73" t="s">
        <v>224</v>
      </c>
      <c r="F92" s="74"/>
      <c r="G92" s="74" t="s">
        <v>482</v>
      </c>
      <c r="H92" s="74"/>
      <c r="I92" s="73"/>
      <c r="J92" s="73"/>
      <c r="K92" s="73"/>
      <c r="L92" s="3"/>
      <c r="M92" t="str" cm="1">
        <f t="array" ref="M92:AZ92">TRANSPOSE(_xlfn.UNIQUE(_xlfn._xlws.FILTER(Table4[Discipine Area],(Table4[Discipline No.]=C92)*(Table4[Discipline No.]=C92))))</f>
        <v>Exterior</v>
      </c>
      <c r="N92" t="str">
        <v>Fwd area</v>
      </c>
      <c r="O92" t="str">
        <v>Midship area</v>
      </c>
      <c r="P92" t="str">
        <v>Aft area</v>
      </c>
      <c r="Q92" t="str">
        <v>window surround</v>
      </c>
      <c r="R92" t="str">
        <v>Bows</v>
      </c>
      <c r="S92" t="str">
        <v>fwd deck steps</v>
      </c>
      <c r="T92" t="str">
        <v>Deck flange</v>
      </c>
      <c r="U92" t="str">
        <v>Waterchannel</v>
      </c>
      <c r="V92" t="str">
        <v>Helmstation</v>
      </c>
      <c r="W92" t="str">
        <v>window module</v>
      </c>
      <c r="X92" t="str">
        <v>deck Join</v>
      </c>
      <c r="Y92" t="str">
        <v>side deck step</v>
      </c>
      <c r="Z92" t="str">
        <v>Bimini</v>
      </c>
      <c r="AA92" t="str">
        <v>Helmstation steps</v>
      </c>
      <c r="AB92" t="str">
        <v>toe rail</v>
      </c>
      <c r="AC92" t="str">
        <v>Inboard liner</v>
      </c>
      <c r="AD92" t="str">
        <v>Settee</v>
      </c>
      <c r="AE92" t="str">
        <v>Transom</v>
      </c>
      <c r="AF92" t="str">
        <v>Floating step</v>
      </c>
      <c r="AG92" t="str">
        <v>Locker lids</v>
      </c>
      <c r="AH92" t="str">
        <v>Table</v>
      </c>
      <c r="AI92" t="str">
        <v>Ceiling</v>
      </c>
      <c r="AJ92" t="str">
        <v>Targawing</v>
      </c>
      <c r="AK92" t="str">
        <v>Eyebrow</v>
      </c>
      <c r="AL92" t="str">
        <v>Decklid</v>
      </c>
      <c r="AM92" t="str">
        <v>Skylight</v>
      </c>
      <c r="AN92" t="str">
        <v>Floor</v>
      </c>
      <c r="AO92" t="str">
        <v>Flybridge steps</v>
      </c>
      <c r="AP92" t="str">
        <v>INTERIOR</v>
      </c>
      <c r="AQ92" t="str">
        <v>Stowage space under floorboards</v>
      </c>
      <c r="AR92" t="str">
        <v>Door surround</v>
      </c>
      <c r="AS92" t="str">
        <v>Staircase</v>
      </c>
      <c r="AT92" t="str">
        <v>Plinth/Skirting</v>
      </c>
      <c r="AU92" t="str">
        <v>Ceiling Liner</v>
      </c>
      <c r="AV92" t="str">
        <v>BBQ Locker</v>
      </c>
      <c r="AW92" t="str">
        <v>Bunk Liners</v>
      </c>
      <c r="AX92" t="str">
        <v>Basin module</v>
      </c>
      <c r="AY92" t="str">
        <v>Shower bulkhead module</v>
      </c>
      <c r="AZ92" t="str">
        <v>Heads bulkhead module</v>
      </c>
    </row>
    <row r="93" spans="1:86" x14ac:dyDescent="0.25">
      <c r="A93" s="9"/>
      <c r="B93" s="115"/>
      <c r="C93" s="9">
        <v>4</v>
      </c>
      <c r="D93" s="73" t="s">
        <v>388</v>
      </c>
      <c r="E93" s="73" t="s">
        <v>299</v>
      </c>
      <c r="F93" s="74"/>
      <c r="G93" s="74" t="s">
        <v>483</v>
      </c>
      <c r="H93" s="74"/>
      <c r="I93" s="73"/>
      <c r="J93" s="73"/>
      <c r="K93" s="73"/>
      <c r="L93" s="3"/>
      <c r="M93" t="str" cm="1">
        <f t="array" ref="M93:CH93">TRANSPOSE(_xlfn.UNIQUE(_xlfn._xlws.FILTER(Table4[Discipine Area],(Table4[Discipline No.]=C93)*(Table4[Discipline No.]=C93))))</f>
        <v>DECKFITTING</v>
      </c>
      <c r="N93" t="str">
        <v>Guard wires with stanchions, bases, port &amp; starboard side gates</v>
      </c>
      <c r="O93" t="str">
        <v>Guard wires across bow and stern</v>
      </c>
      <c r="P93" t="str">
        <v>Windlass, 10mm gypsy &amp; hand-held remote</v>
      </c>
      <c r="Q93" t="str">
        <v>Anchor bow roller fitting</v>
      </c>
      <c r="R93" t="str">
        <v>Anchor chain stopper</v>
      </c>
      <c r="S93" t="str">
        <v>Life raft locker with convertible fore/aft seat bolster</v>
      </c>
      <c r="T93" t="str">
        <v>Backrest s/s railing</v>
      </c>
      <c r="U93" t="str">
        <v>Sliding companionway door/window</v>
      </c>
      <c r="V93" t="str">
        <v>Sliding hatch over forward cockpit steps</v>
      </c>
      <c r="W93" t="str">
        <v>Hardtop over forward and aft cockpit complete with LED lighting</v>
      </c>
      <c r="X93" t="str">
        <v>Hardtop bimini over helm with supports and LED light</v>
      </c>
      <c r="Y93" t="str">
        <v>Hull windows</v>
      </c>
      <c r="Z93" t="str">
        <v>Folding swimming ladder c/w teak steps</v>
      </c>
      <c r="AA93" t="str">
        <v>Emergency ladder on port transom</v>
      </c>
      <c r="AB93" t="str">
        <v>Aft Cockpit table</v>
      </c>
      <c r="AC93" t="str">
        <v>Wetbar</v>
      </c>
      <c r="AD93" t="str">
        <v>Fold down Forward Cockpit table</v>
      </c>
      <c r="AE93" t="str">
        <v>Mainsheet system</v>
      </c>
      <c r="AF93" t="str">
        <v xml:space="preserve">Trampoline </v>
      </c>
      <c r="AG93" t="str">
        <v>Helm seat with upholstered backrest</v>
      </c>
      <c r="AH93" t="str">
        <v>Acrylic smoke grey tinted windows</v>
      </c>
      <c r="AI93" t="str">
        <v>Hardtop supports</v>
      </c>
      <c r="AJ93" t="str">
        <v>Flush Hatch over heads</v>
      </c>
      <c r="AK93" t="str">
        <v>Flush Hatch over cabins</v>
      </c>
      <c r="AL93" t="str">
        <v>Flush Hatch over port forepeak (includes mushroom cowl)</v>
      </c>
      <c r="AM93" t="str">
        <v>Portlight windscreen</v>
      </c>
      <c r="AN93" t="str">
        <v>chain plate</v>
      </c>
      <c r="AO93" t="str">
        <v>chafe plate</v>
      </c>
      <c r="AP93" t="str">
        <v>Portlight hull side</v>
      </c>
      <c r="AQ93" t="str">
        <v>Stbd hull side</v>
      </c>
      <c r="AR93" t="str">
        <v>Portlight  in transom</v>
      </c>
      <c r="AS93" t="str">
        <v>Anchor chain bin</v>
      </c>
      <c r="AT93" t="str">
        <v>Anchor/windlass locker</v>
      </c>
      <c r="AU93" t="str">
        <v>Foredeck/forward cockpit lockers</v>
      </c>
      <c r="AV93" t="str">
        <v>Forward access to foredeck c/w watertight Lewmar door</v>
      </c>
      <c r="AW93" t="str">
        <v>S/S cupholder</v>
      </c>
      <c r="AX93" t="str">
        <v>Pulpits with seats</v>
      </c>
      <c r="AY93" t="str">
        <v>Pushpits</v>
      </c>
      <c r="AZ93" t="str">
        <v>Coachroof handrails</v>
      </c>
      <c r="BA93" t="str">
        <v>Hardtop grab handles</v>
      </c>
      <c r="BB93" t="str">
        <v>Transom grab handles</v>
      </c>
      <c r="BC93" t="str">
        <v>Mooring cleats</v>
      </c>
      <c r="BD93" t="str">
        <v>Lewmar winch handles</v>
      </c>
      <c r="BE93" t="str">
        <v xml:space="preserve">Primary electric winches </v>
      </c>
      <c r="BF93" t="str">
        <v xml:space="preserve">Mainsheet winch </v>
      </c>
      <c r="BG93" t="str">
        <v>Lewmar genoa cars with pin stop</v>
      </c>
      <c r="BH93" t="str">
        <v>Lewmar genoa tracks</v>
      </c>
      <c r="BI93" t="str">
        <v>Halyard clutch at helm (mainsail)</v>
      </c>
      <c r="BJ93" t="str">
        <v>Halyard clutch at helm (gennaker)</v>
      </c>
      <c r="BK93" t="str">
        <v>Genoa sheet clutch at helm</v>
      </c>
      <c r="BL93" t="str">
        <v>Main sheet clutch at helm</v>
      </c>
      <c r="BM93" t="str">
        <v>Reef clutch at helm</v>
      </c>
      <c r="BN93" t="str">
        <v>Clutch and cleat on mast for genoa halyard</v>
      </c>
      <c r="BO93" t="str">
        <v>Furler clutch</v>
      </c>
      <c r="BP93" t="str">
        <v>Drinks holders - 2 in fwd cockpit and 1 at helm</v>
      </c>
      <c r="BQ93" t="str">
        <v>Rope bag at helm with integral winch handle pocket</v>
      </c>
      <c r="BR93" t="str">
        <v>Natural anodized mast</v>
      </c>
      <c r="BS93" t="str">
        <v>Natural anodized crossbeam c/w mooring cleats</v>
      </c>
      <c r="BT93" t="str">
        <v>Wind indicator</v>
      </c>
      <c r="BU93" t="str">
        <v>Genoa furler</v>
      </c>
      <c r="BV93" t="str">
        <v>Mainsail full battened c/w 2 rows reefs</v>
      </c>
      <c r="BW93" t="str">
        <v>Furling genoa</v>
      </c>
      <c r="BX93" t="str">
        <v>2 x Additional spare 12v wires in mast</v>
      </c>
      <c r="BY93" t="str">
        <v>Additional spare conduit with messenger in mast</v>
      </c>
      <c r="BZ93" t="str">
        <v xml:space="preserve">Main sheets </v>
      </c>
      <c r="CA93" t="str">
        <v>Genoa sheets</v>
      </c>
      <c r="CB93" t="str">
        <v>Halyards (main, genoa &amp; spare)</v>
      </c>
      <c r="CC93" t="str">
        <v>Engine Room</v>
      </c>
      <c r="CD93" t="str">
        <v>Single line reefs lead aft</v>
      </c>
      <c r="CE93" t="str">
        <v xml:space="preserve">BBQ </v>
      </c>
      <c r="CF93" t="str">
        <v>Step ladder</v>
      </c>
      <c r="CG93" t="str">
        <v>Pop up lights</v>
      </c>
      <c r="CH93" t="str">
        <v>Main boom topping lift</v>
      </c>
    </row>
    <row r="94" spans="1:86" x14ac:dyDescent="0.25">
      <c r="A94" s="9"/>
      <c r="B94" s="116"/>
      <c r="C94" s="9"/>
      <c r="D94" s="73"/>
      <c r="E94" s="73"/>
      <c r="F94" s="74"/>
      <c r="G94" s="74"/>
      <c r="H94" s="74"/>
      <c r="I94" s="73"/>
      <c r="J94" s="73"/>
      <c r="K94" s="73"/>
      <c r="L94" s="3"/>
      <c r="M94" t="e" cm="1" vm="1">
        <f t="array" ref="M94">TRANSPOSE(_xlfn.UNIQUE(_xlfn._xlws.FILTER(Table4[Discipine Area],(Table4[Discipline No.]=C94)*(Table4[Discipline No.]=C94))))</f>
        <v>#VALUE!</v>
      </c>
    </row>
    <row r="95" spans="1:86" x14ac:dyDescent="0.25">
      <c r="A95" s="9"/>
      <c r="B95" s="115"/>
      <c r="C95" s="9"/>
      <c r="D95" s="73"/>
      <c r="E95" s="73"/>
      <c r="F95" s="74"/>
      <c r="G95" s="74"/>
      <c r="H95" s="74"/>
      <c r="I95" s="73"/>
      <c r="J95" s="73"/>
      <c r="K95" s="73"/>
      <c r="L95" s="3"/>
      <c r="M95" t="e" cm="1" vm="1">
        <f t="array" ref="M95">TRANSPOSE(_xlfn.UNIQUE(_xlfn._xlws.FILTER(Table4[Discipine Area],(Table4[Discipline No.]=C95)*(Table4[Discipline No.]=C95))))</f>
        <v>#VALUE!</v>
      </c>
    </row>
    <row r="96" spans="1:86" x14ac:dyDescent="0.25">
      <c r="A96" s="9"/>
      <c r="B96" s="115"/>
      <c r="C96" s="9"/>
      <c r="D96" s="73"/>
      <c r="E96" s="73"/>
      <c r="F96" s="74"/>
      <c r="G96" s="74"/>
      <c r="H96" s="74"/>
      <c r="I96" s="73"/>
      <c r="J96" s="73"/>
      <c r="K96" s="73"/>
      <c r="L96" s="3"/>
      <c r="M96" t="e" cm="1" vm="1">
        <f t="array" ref="M96">TRANSPOSE(_xlfn.UNIQUE(_xlfn._xlws.FILTER(Table4[Discipine Area],(Table4[Discipline No.]=C96)*(Table4[Discipline No.]=C96))))</f>
        <v>#VALUE!</v>
      </c>
    </row>
    <row r="97" spans="1:52" x14ac:dyDescent="0.25">
      <c r="A97" s="9"/>
      <c r="B97" s="116"/>
      <c r="C97" s="76"/>
      <c r="D97" s="73"/>
      <c r="E97" s="3"/>
      <c r="F97" s="74"/>
      <c r="G97" s="75"/>
      <c r="H97" s="74"/>
      <c r="I97" s="73"/>
      <c r="J97" s="73"/>
      <c r="K97" s="73"/>
      <c r="L97" s="3"/>
      <c r="M97" t="e" cm="1" vm="1">
        <f t="array" ref="M97">TRANSPOSE(_xlfn.UNIQUE(_xlfn._xlws.FILTER(Table4[Discipine Area],(Table4[Discipline No.]=C97)*(Table4[Discipline No.]=C97))))</f>
        <v>#VALUE!</v>
      </c>
    </row>
    <row r="98" spans="1:52" x14ac:dyDescent="0.25">
      <c r="A98" s="9"/>
      <c r="B98" s="115"/>
      <c r="C98" s="9"/>
      <c r="D98" s="73"/>
      <c r="E98" s="73"/>
      <c r="F98" s="74"/>
      <c r="G98" s="75"/>
      <c r="H98" s="74"/>
      <c r="I98" s="73"/>
      <c r="J98" s="73"/>
      <c r="K98" s="73"/>
      <c r="L98" s="3"/>
      <c r="M98" t="e" cm="1" vm="1">
        <f t="array" ref="M98">TRANSPOSE(_xlfn.UNIQUE(_xlfn._xlws.FILTER(Table4[Discipine Area],(Table4[Discipline No.]=C98)*(Table4[Discipline No.]=C98))))</f>
        <v>#VALUE!</v>
      </c>
    </row>
    <row r="99" spans="1:52" x14ac:dyDescent="0.25">
      <c r="A99" s="9"/>
      <c r="B99" s="115"/>
      <c r="C99" s="9"/>
      <c r="D99" s="73"/>
      <c r="E99" s="73"/>
      <c r="F99" s="74"/>
      <c r="G99" s="74"/>
      <c r="H99" s="74"/>
      <c r="I99" s="73"/>
      <c r="J99" s="73"/>
      <c r="K99" s="73"/>
      <c r="L99" s="3"/>
      <c r="M99" t="e" cm="1" vm="1">
        <f t="array" ref="M99">TRANSPOSE(_xlfn.UNIQUE(_xlfn._xlws.FILTER(Table4[Discipine Area],(Table4[Discipline No.]=C99)*(Table4[Discipline No.]=C99))))</f>
        <v>#VALUE!</v>
      </c>
    </row>
    <row r="100" spans="1:52" x14ac:dyDescent="0.25">
      <c r="A100" s="9"/>
      <c r="B100" s="115"/>
      <c r="C100" s="76"/>
      <c r="D100" s="73"/>
      <c r="E100" s="3"/>
      <c r="F100" s="74"/>
      <c r="G100" s="74"/>
      <c r="H100" s="74"/>
      <c r="I100" s="73"/>
      <c r="J100" s="73"/>
      <c r="K100" s="73"/>
      <c r="L100" s="3"/>
      <c r="M100" t="e" cm="1" vm="1">
        <f t="array" ref="M100">TRANSPOSE(_xlfn.UNIQUE(_xlfn._xlws.FILTER(Table4[Discipine Area],(Table4[Discipline No.]=C100)*(Table4[Discipline No.]=C100))))</f>
        <v>#VALUE!</v>
      </c>
    </row>
    <row r="101" spans="1:52" x14ac:dyDescent="0.25">
      <c r="A101" s="9"/>
      <c r="B101" s="115"/>
      <c r="C101" s="76"/>
      <c r="D101" s="73"/>
      <c r="E101" s="3"/>
      <c r="F101" s="74"/>
      <c r="G101" s="74"/>
      <c r="H101" s="74"/>
      <c r="I101" s="73"/>
      <c r="J101" s="73"/>
      <c r="K101" s="73"/>
      <c r="L101" s="3"/>
      <c r="M101" t="e" cm="1" vm="1">
        <f t="array" ref="M101">TRANSPOSE(_xlfn.UNIQUE(_xlfn._xlws.FILTER(Table4[Discipine Area],(Table4[Discipline No.]=C101)*(Table4[Discipline No.]=C101))))</f>
        <v>#VALUE!</v>
      </c>
    </row>
    <row r="102" spans="1:52" x14ac:dyDescent="0.25">
      <c r="A102" s="9"/>
      <c r="B102" s="115"/>
      <c r="C102" s="9"/>
      <c r="D102" s="73"/>
      <c r="E102" s="73"/>
      <c r="F102" s="74"/>
      <c r="G102" s="74"/>
      <c r="H102" s="74"/>
      <c r="I102" s="73"/>
      <c r="J102" s="73"/>
      <c r="K102" s="73"/>
      <c r="L102" s="3"/>
      <c r="M102" t="e" cm="1" vm="1">
        <f t="array" ref="M102">TRANSPOSE(_xlfn.UNIQUE(_xlfn._xlws.FILTER(Table4[Discipine Area],(Table4[Discipline No.]=C102)*(Table4[Discipline No.]=C102))))</f>
        <v>#VALUE!</v>
      </c>
    </row>
    <row r="103" spans="1:52" ht="30" x14ac:dyDescent="0.25">
      <c r="A103" s="9"/>
      <c r="B103" s="111" t="s">
        <v>258</v>
      </c>
      <c r="C103" s="9"/>
      <c r="D103" s="73"/>
      <c r="E103" s="73"/>
      <c r="F103" s="74"/>
      <c r="G103" s="74"/>
      <c r="H103" s="74"/>
      <c r="I103" s="73"/>
      <c r="J103" s="73"/>
      <c r="K103" s="73"/>
      <c r="L103" s="3"/>
      <c r="M103" t="e" cm="1" vm="1">
        <f t="array" ref="M103">TRANSPOSE(_xlfn.UNIQUE(_xlfn._xlws.FILTER(Table4[Discipine Area],(Table4[Discipline No.]=C103)*(Table4[Discipline No.]=C103))))</f>
        <v>#VALUE!</v>
      </c>
    </row>
    <row r="104" spans="1:52" ht="27" customHeight="1" x14ac:dyDescent="0.25">
      <c r="A104" s="9"/>
      <c r="B104" s="118"/>
      <c r="C104" s="9">
        <v>1</v>
      </c>
      <c r="D104" s="73" t="s">
        <v>360</v>
      </c>
      <c r="E104" s="73" t="s">
        <v>297</v>
      </c>
      <c r="F104" s="74"/>
      <c r="G104" s="74" t="s">
        <v>485</v>
      </c>
      <c r="H104" s="74"/>
      <c r="I104" s="73"/>
      <c r="J104" s="73"/>
      <c r="K104" s="73"/>
      <c r="L104" s="3"/>
      <c r="M104" t="str" cm="1">
        <f t="array" ref="M104:AZ104">TRANSPOSE(_xlfn.UNIQUE(_xlfn._xlws.FILTER(Table4[Discipine Area],(Table4[Discipline No.]=C104)*(Table4[Discipline No.]=C104))))</f>
        <v>Exterior</v>
      </c>
      <c r="N104" t="str">
        <v>Fwd area</v>
      </c>
      <c r="O104" t="str">
        <v>Midship area</v>
      </c>
      <c r="P104" t="str">
        <v>Aft area</v>
      </c>
      <c r="Q104" t="str">
        <v>window surround</v>
      </c>
      <c r="R104" t="str">
        <v>Bows</v>
      </c>
      <c r="S104" t="str">
        <v>fwd deck steps</v>
      </c>
      <c r="T104" t="str">
        <v>Deck flange</v>
      </c>
      <c r="U104" t="str">
        <v>Waterchannel</v>
      </c>
      <c r="V104" t="str">
        <v>Helmstation</v>
      </c>
      <c r="W104" t="str">
        <v>window module</v>
      </c>
      <c r="X104" t="str">
        <v>deck Join</v>
      </c>
      <c r="Y104" t="str">
        <v>side deck step</v>
      </c>
      <c r="Z104" t="str">
        <v>Bimini</v>
      </c>
      <c r="AA104" t="str">
        <v>Helmstation steps</v>
      </c>
      <c r="AB104" t="str">
        <v>toe rail</v>
      </c>
      <c r="AC104" t="str">
        <v>Inboard liner</v>
      </c>
      <c r="AD104" t="str">
        <v>Settee</v>
      </c>
      <c r="AE104" t="str">
        <v>Transom</v>
      </c>
      <c r="AF104" t="str">
        <v>Floating step</v>
      </c>
      <c r="AG104" t="str">
        <v>Locker lids</v>
      </c>
      <c r="AH104" t="str">
        <v>Table</v>
      </c>
      <c r="AI104" t="str">
        <v>Ceiling</v>
      </c>
      <c r="AJ104" t="str">
        <v>Targawing</v>
      </c>
      <c r="AK104" t="str">
        <v>Eyebrow</v>
      </c>
      <c r="AL104" t="str">
        <v>Decklid</v>
      </c>
      <c r="AM104" t="str">
        <v>Skylight</v>
      </c>
      <c r="AN104" t="str">
        <v>Floor</v>
      </c>
      <c r="AO104" t="str">
        <v>Flybridge steps</v>
      </c>
      <c r="AP104" t="str">
        <v>INTERIOR</v>
      </c>
      <c r="AQ104" t="str">
        <v>Stowage space under floorboards</v>
      </c>
      <c r="AR104" t="str">
        <v>Door surround</v>
      </c>
      <c r="AS104" t="str">
        <v>Staircase</v>
      </c>
      <c r="AT104" t="str">
        <v>Plinth/Skirting</v>
      </c>
      <c r="AU104" t="str">
        <v>Ceiling Liner</v>
      </c>
      <c r="AV104" t="str">
        <v>BBQ Locker</v>
      </c>
      <c r="AW104" t="str">
        <v>Bunk Liners</v>
      </c>
      <c r="AX104" t="str">
        <v>Basin module</v>
      </c>
      <c r="AY104" t="str">
        <v>Shower bulkhead module</v>
      </c>
      <c r="AZ104" t="str">
        <v>Heads bulkhead module</v>
      </c>
    </row>
    <row r="105" spans="1:52" ht="29.25" customHeight="1" x14ac:dyDescent="0.25">
      <c r="A105" s="9"/>
      <c r="B105" s="115"/>
      <c r="C105" s="9">
        <v>1</v>
      </c>
      <c r="D105" s="73" t="s">
        <v>360</v>
      </c>
      <c r="E105" s="73" t="s">
        <v>224</v>
      </c>
      <c r="F105" s="74"/>
      <c r="G105" s="74" t="s">
        <v>484</v>
      </c>
      <c r="H105" s="74"/>
      <c r="I105" s="73"/>
      <c r="J105" s="73"/>
      <c r="K105" s="73"/>
      <c r="L105" s="3"/>
      <c r="M105" t="str" cm="1">
        <f t="array" ref="M105:AZ105">TRANSPOSE(_xlfn.UNIQUE(_xlfn._xlws.FILTER(Table4[Discipine Area],(Table4[Discipline No.]=C105)*(Table4[Discipline No.]=C105))))</f>
        <v>Exterior</v>
      </c>
      <c r="N105" t="str">
        <v>Fwd area</v>
      </c>
      <c r="O105" t="str">
        <v>Midship area</v>
      </c>
      <c r="P105" t="str">
        <v>Aft area</v>
      </c>
      <c r="Q105" t="str">
        <v>window surround</v>
      </c>
      <c r="R105" t="str">
        <v>Bows</v>
      </c>
      <c r="S105" t="str">
        <v>fwd deck steps</v>
      </c>
      <c r="T105" t="str">
        <v>Deck flange</v>
      </c>
      <c r="U105" t="str">
        <v>Waterchannel</v>
      </c>
      <c r="V105" t="str">
        <v>Helmstation</v>
      </c>
      <c r="W105" t="str">
        <v>window module</v>
      </c>
      <c r="X105" t="str">
        <v>deck Join</v>
      </c>
      <c r="Y105" t="str">
        <v>side deck step</v>
      </c>
      <c r="Z105" t="str">
        <v>Bimini</v>
      </c>
      <c r="AA105" t="str">
        <v>Helmstation steps</v>
      </c>
      <c r="AB105" t="str">
        <v>toe rail</v>
      </c>
      <c r="AC105" t="str">
        <v>Inboard liner</v>
      </c>
      <c r="AD105" t="str">
        <v>Settee</v>
      </c>
      <c r="AE105" t="str">
        <v>Transom</v>
      </c>
      <c r="AF105" t="str">
        <v>Floating step</v>
      </c>
      <c r="AG105" t="str">
        <v>Locker lids</v>
      </c>
      <c r="AH105" t="str">
        <v>Table</v>
      </c>
      <c r="AI105" t="str">
        <v>Ceiling</v>
      </c>
      <c r="AJ105" t="str">
        <v>Targawing</v>
      </c>
      <c r="AK105" t="str">
        <v>Eyebrow</v>
      </c>
      <c r="AL105" t="str">
        <v>Decklid</v>
      </c>
      <c r="AM105" t="str">
        <v>Skylight</v>
      </c>
      <c r="AN105" t="str">
        <v>Floor</v>
      </c>
      <c r="AO105" t="str">
        <v>Flybridge steps</v>
      </c>
      <c r="AP105" t="str">
        <v>INTERIOR</v>
      </c>
      <c r="AQ105" t="str">
        <v>Stowage space under floorboards</v>
      </c>
      <c r="AR105" t="str">
        <v>Door surround</v>
      </c>
      <c r="AS105" t="str">
        <v>Staircase</v>
      </c>
      <c r="AT105" t="str">
        <v>Plinth/Skirting</v>
      </c>
      <c r="AU105" t="str">
        <v>Ceiling Liner</v>
      </c>
      <c r="AV105" t="str">
        <v>BBQ Locker</v>
      </c>
      <c r="AW105" t="str">
        <v>Bunk Liners</v>
      </c>
      <c r="AX105" t="str">
        <v>Basin module</v>
      </c>
      <c r="AY105" t="str">
        <v>Shower bulkhead module</v>
      </c>
      <c r="AZ105" t="str">
        <v>Heads bulkhead module</v>
      </c>
    </row>
    <row r="106" spans="1:52" ht="18" customHeight="1" x14ac:dyDescent="0.25">
      <c r="A106" s="9"/>
      <c r="B106" s="115"/>
      <c r="C106" s="9">
        <v>1</v>
      </c>
      <c r="D106" s="73" t="s">
        <v>389</v>
      </c>
      <c r="E106" s="73" t="s">
        <v>223</v>
      </c>
      <c r="F106" s="74"/>
      <c r="G106" s="74" t="s">
        <v>486</v>
      </c>
      <c r="H106" s="74"/>
      <c r="I106" s="73"/>
      <c r="J106" s="73"/>
      <c r="K106" s="73"/>
      <c r="L106" s="3"/>
      <c r="M106" t="str" cm="1">
        <f t="array" ref="M106:AZ106">TRANSPOSE(_xlfn.UNIQUE(_xlfn._xlws.FILTER(Table4[Discipine Area],(Table4[Discipline No.]=C106)*(Table4[Discipline No.]=C106))))</f>
        <v>Exterior</v>
      </c>
      <c r="N106" t="str">
        <v>Fwd area</v>
      </c>
      <c r="O106" t="str">
        <v>Midship area</v>
      </c>
      <c r="P106" t="str">
        <v>Aft area</v>
      </c>
      <c r="Q106" t="str">
        <v>window surround</v>
      </c>
      <c r="R106" t="str">
        <v>Bows</v>
      </c>
      <c r="S106" t="str">
        <v>fwd deck steps</v>
      </c>
      <c r="T106" t="str">
        <v>Deck flange</v>
      </c>
      <c r="U106" t="str">
        <v>Waterchannel</v>
      </c>
      <c r="V106" t="str">
        <v>Helmstation</v>
      </c>
      <c r="W106" t="str">
        <v>window module</v>
      </c>
      <c r="X106" t="str">
        <v>deck Join</v>
      </c>
      <c r="Y106" t="str">
        <v>side deck step</v>
      </c>
      <c r="Z106" t="str">
        <v>Bimini</v>
      </c>
      <c r="AA106" t="str">
        <v>Helmstation steps</v>
      </c>
      <c r="AB106" t="str">
        <v>toe rail</v>
      </c>
      <c r="AC106" t="str">
        <v>Inboard liner</v>
      </c>
      <c r="AD106" t="str">
        <v>Settee</v>
      </c>
      <c r="AE106" t="str">
        <v>Transom</v>
      </c>
      <c r="AF106" t="str">
        <v>Floating step</v>
      </c>
      <c r="AG106" t="str">
        <v>Locker lids</v>
      </c>
      <c r="AH106" t="str">
        <v>Table</v>
      </c>
      <c r="AI106" t="str">
        <v>Ceiling</v>
      </c>
      <c r="AJ106" t="str">
        <v>Targawing</v>
      </c>
      <c r="AK106" t="str">
        <v>Eyebrow</v>
      </c>
      <c r="AL106" t="str">
        <v>Decklid</v>
      </c>
      <c r="AM106" t="str">
        <v>Skylight</v>
      </c>
      <c r="AN106" t="str">
        <v>Floor</v>
      </c>
      <c r="AO106" t="str">
        <v>Flybridge steps</v>
      </c>
      <c r="AP106" t="str">
        <v>INTERIOR</v>
      </c>
      <c r="AQ106" t="str">
        <v>Stowage space under floorboards</v>
      </c>
      <c r="AR106" t="str">
        <v>Door surround</v>
      </c>
      <c r="AS106" t="str">
        <v>Staircase</v>
      </c>
      <c r="AT106" t="str">
        <v>Plinth/Skirting</v>
      </c>
      <c r="AU106" t="str">
        <v>Ceiling Liner</v>
      </c>
      <c r="AV106" t="str">
        <v>BBQ Locker</v>
      </c>
      <c r="AW106" t="str">
        <v>Bunk Liners</v>
      </c>
      <c r="AX106" t="str">
        <v>Basin module</v>
      </c>
      <c r="AY106" t="str">
        <v>Shower bulkhead module</v>
      </c>
      <c r="AZ106" t="str">
        <v>Heads bulkhead module</v>
      </c>
    </row>
    <row r="107" spans="1:52" ht="15" customHeight="1" x14ac:dyDescent="0.25">
      <c r="A107" s="9"/>
      <c r="B107" s="115"/>
      <c r="C107" s="9"/>
      <c r="D107" s="73"/>
      <c r="E107" s="73"/>
      <c r="F107" s="74"/>
      <c r="G107" s="74"/>
      <c r="H107" s="74"/>
      <c r="I107" s="73"/>
      <c r="J107" s="73"/>
      <c r="K107" s="73"/>
      <c r="L107" s="3"/>
      <c r="M107" t="e" cm="1" vm="1">
        <f t="array" ref="M107">TRANSPOSE(_xlfn.UNIQUE(_xlfn._xlws.FILTER(Table4[Discipine Area],(Table4[Discipline No.]=C107)*(Table4[Discipline No.]=C107))))</f>
        <v>#VALUE!</v>
      </c>
    </row>
    <row r="108" spans="1:52" ht="15" customHeight="1" x14ac:dyDescent="0.25">
      <c r="A108" s="9"/>
      <c r="B108" s="115"/>
      <c r="C108" s="9"/>
      <c r="D108" s="73"/>
      <c r="E108" s="73"/>
      <c r="F108" s="74"/>
      <c r="G108" s="74"/>
      <c r="H108" s="74"/>
      <c r="I108" s="73"/>
      <c r="J108" s="73"/>
      <c r="K108" s="73"/>
      <c r="L108" s="3"/>
      <c r="M108" t="e" cm="1" vm="1">
        <f t="array" ref="M108">TRANSPOSE(_xlfn.UNIQUE(_xlfn._xlws.FILTER(Table4[Discipine Area],(Table4[Discipline No.]=C108)*(Table4[Discipline No.]=C108))))</f>
        <v>#VALUE!</v>
      </c>
    </row>
    <row r="109" spans="1:52" ht="15" customHeight="1" x14ac:dyDescent="0.25">
      <c r="A109" s="9"/>
      <c r="B109" s="115"/>
      <c r="C109" s="9"/>
      <c r="D109" s="73"/>
      <c r="E109" s="73"/>
      <c r="F109" s="74"/>
      <c r="G109" s="74"/>
      <c r="H109" s="74"/>
      <c r="I109" s="73"/>
      <c r="J109" s="73"/>
      <c r="K109" s="73"/>
      <c r="L109" s="3"/>
      <c r="M109" t="e" cm="1" vm="1">
        <f t="array" ref="M109">TRANSPOSE(_xlfn.UNIQUE(_xlfn._xlws.FILTER(Table4[Discipine Area],(Table4[Discipline No.]=C109)*(Table4[Discipline No.]=C109))))</f>
        <v>#VALUE!</v>
      </c>
    </row>
    <row r="110" spans="1:52" ht="15" customHeight="1" x14ac:dyDescent="0.25">
      <c r="A110" s="9"/>
      <c r="B110" s="74"/>
      <c r="C110" s="9"/>
      <c r="D110" s="73"/>
      <c r="E110" s="73"/>
      <c r="F110" s="74"/>
      <c r="G110" s="74"/>
      <c r="H110" s="74"/>
      <c r="I110" s="73"/>
      <c r="J110" s="73"/>
      <c r="K110" s="73"/>
      <c r="L110" s="3"/>
      <c r="M110" t="e" cm="1" vm="1">
        <f t="array" ref="M110">TRANSPOSE(_xlfn.UNIQUE(_xlfn._xlws.FILTER(Table4[Discipine Area],(Table4[Discipline No.]=C110)*(Table4[Discipline No.]=C110))))</f>
        <v>#VALUE!</v>
      </c>
    </row>
    <row r="111" spans="1:52" ht="15" customHeight="1" x14ac:dyDescent="0.25">
      <c r="A111" s="9"/>
      <c r="B111" s="115"/>
      <c r="C111" s="9"/>
      <c r="D111" s="73"/>
      <c r="E111" s="73"/>
      <c r="F111" s="74"/>
      <c r="G111" s="74"/>
      <c r="H111" s="74"/>
      <c r="I111" s="73"/>
      <c r="J111" s="73"/>
      <c r="K111" s="73"/>
      <c r="L111" s="3"/>
      <c r="M111" t="e" cm="1" vm="1">
        <f t="array" ref="M111">TRANSPOSE(_xlfn.UNIQUE(_xlfn._xlws.FILTER(Table4[Discipine Area],(Table4[Discipline No.]=C111)*(Table4[Discipline No.]=C111))))</f>
        <v>#VALUE!</v>
      </c>
    </row>
    <row r="112" spans="1:52" ht="15" customHeight="1" x14ac:dyDescent="0.25">
      <c r="A112" s="9"/>
      <c r="B112" s="115"/>
      <c r="C112" s="9"/>
      <c r="D112" s="73"/>
      <c r="E112" s="73"/>
      <c r="F112" s="74"/>
      <c r="G112" s="74"/>
      <c r="H112" s="74"/>
      <c r="I112" s="73"/>
      <c r="J112" s="73"/>
      <c r="K112" s="73"/>
      <c r="L112" s="3"/>
    </row>
    <row r="113" spans="1:13" ht="15" customHeight="1" x14ac:dyDescent="0.25">
      <c r="A113" s="9"/>
      <c r="B113" s="115"/>
      <c r="C113" s="9"/>
      <c r="D113" s="73"/>
      <c r="E113" s="73"/>
      <c r="F113" s="74"/>
      <c r="G113" s="74"/>
      <c r="H113" s="74"/>
      <c r="I113" s="73"/>
      <c r="J113" s="73"/>
      <c r="K113" s="73"/>
      <c r="L113" s="3"/>
    </row>
    <row r="114" spans="1:13" ht="15" customHeight="1" x14ac:dyDescent="0.25">
      <c r="A114" s="9"/>
      <c r="B114" s="115"/>
      <c r="C114" s="9"/>
      <c r="D114" s="73"/>
      <c r="E114" s="73"/>
      <c r="F114" s="74"/>
      <c r="G114" s="74"/>
      <c r="H114" s="74"/>
      <c r="I114" s="73"/>
      <c r="J114" s="73"/>
      <c r="K114" s="73"/>
      <c r="L114" s="3"/>
      <c r="M114" t="e" cm="1" vm="1">
        <f t="array" ref="M114">TRANSPOSE(_xlfn.UNIQUE(_xlfn._xlws.FILTER(Table4[Discipine Area],(Table4[Discipline No.]=C114)*(Table4[Discipline No.]=C114))))</f>
        <v>#VALUE!</v>
      </c>
    </row>
    <row r="115" spans="1:13" ht="15" customHeight="1" x14ac:dyDescent="0.25">
      <c r="A115" s="9"/>
      <c r="B115" s="115"/>
      <c r="C115" s="9"/>
      <c r="D115" s="73"/>
      <c r="E115" s="73"/>
      <c r="F115" s="74"/>
      <c r="G115" s="74"/>
      <c r="H115" s="74"/>
      <c r="I115" s="73"/>
      <c r="J115" s="73"/>
      <c r="K115" s="73"/>
      <c r="L115" s="3"/>
      <c r="M115" t="e" cm="1" vm="1">
        <f t="array" ref="M115">TRANSPOSE(_xlfn.UNIQUE(_xlfn._xlws.FILTER(Table4[Discipine Area],(Table4[Discipline No.]=C115)*(Table4[Discipline No.]=C115))))</f>
        <v>#VALUE!</v>
      </c>
    </row>
    <row r="116" spans="1:13" ht="28.5" customHeight="1" x14ac:dyDescent="0.25">
      <c r="A116" s="9"/>
      <c r="B116" s="97"/>
      <c r="C116" s="9"/>
      <c r="D116" s="73"/>
      <c r="E116" s="73"/>
      <c r="F116" s="74"/>
      <c r="G116" s="74"/>
      <c r="H116" s="74"/>
      <c r="I116" s="73"/>
      <c r="J116" s="73"/>
      <c r="K116" s="73"/>
      <c r="L116" s="3"/>
      <c r="M116" t="e" cm="1" vm="1">
        <f t="array" ref="M116">TRANSPOSE(_xlfn.UNIQUE(_xlfn._xlws.FILTER(Table4[Discipine Area],(Table4[Discipline No.]=C116)*(Table4[Discipline No.]=C116))))</f>
        <v>#VALUE!</v>
      </c>
    </row>
    <row r="117" spans="1:13" ht="15" customHeight="1" x14ac:dyDescent="0.25">
      <c r="A117" s="3"/>
      <c r="B117" s="10"/>
      <c r="C117" s="73"/>
      <c r="D117" s="73"/>
      <c r="E117" s="73"/>
      <c r="F117" s="74"/>
      <c r="G117" s="74"/>
      <c r="H117" s="74"/>
      <c r="I117" s="73"/>
      <c r="J117" s="73"/>
      <c r="K117" s="73"/>
      <c r="L117" s="3"/>
      <c r="M117" t="e" cm="1" vm="1">
        <f t="array" ref="M117">TRANSPOSE(_xlfn.UNIQUE(_xlfn._xlws.FILTER(Table4[Discipine Area],(Table4[Discipline No.]=C117)*(Table4[Discipline No.]=C117))))</f>
        <v>#VALUE!</v>
      </c>
    </row>
    <row r="118" spans="1:13" ht="15" customHeight="1" x14ac:dyDescent="0.25">
      <c r="A118" s="131" t="s">
        <v>414</v>
      </c>
      <c r="B118" s="132"/>
      <c r="C118" s="132"/>
      <c r="D118" s="132"/>
      <c r="E118" s="132"/>
      <c r="F118" s="133"/>
      <c r="G118" s="3" t="s">
        <v>415</v>
      </c>
      <c r="H118" s="141"/>
      <c r="I118" s="142"/>
      <c r="J118" s="134" t="s">
        <v>416</v>
      </c>
      <c r="K118" s="135"/>
      <c r="L118" s="136"/>
      <c r="M118" t="e" cm="1" vm="1">
        <f t="array" ref="M118">TRANSPOSE(_xlfn.UNIQUE(_xlfn._xlws.FILTER(Table4[Discipine Area],(Table4[Discipline No.]=C118)*(Table4[Discipline No.]=C118))))</f>
        <v>#VALUE!</v>
      </c>
    </row>
    <row r="119" spans="1:13" ht="15" customHeight="1" x14ac:dyDescent="0.25">
      <c r="A119" s="127" t="s">
        <v>0</v>
      </c>
      <c r="B119" s="127" t="s">
        <v>1</v>
      </c>
      <c r="C119" s="129" t="s">
        <v>2</v>
      </c>
      <c r="D119" s="129" t="s">
        <v>3</v>
      </c>
      <c r="E119" s="129" t="s">
        <v>4</v>
      </c>
      <c r="F119" s="129" t="s">
        <v>410</v>
      </c>
      <c r="G119" s="139" t="s">
        <v>216</v>
      </c>
      <c r="H119" s="139" t="s">
        <v>6</v>
      </c>
      <c r="I119" s="139" t="s">
        <v>7</v>
      </c>
      <c r="J119" s="137" t="s">
        <v>8</v>
      </c>
      <c r="K119" s="138" t="s">
        <v>9</v>
      </c>
      <c r="L119" s="138"/>
      <c r="M119" t="e" cm="1" vm="1">
        <f t="array" ref="M119">TRANSPOSE(_xlfn.UNIQUE(_xlfn._xlws.FILTER(Table4[Discipine Area],(Table4[Discipline No.]=C186)*(Table4[Discipline No.]=C186))))</f>
        <v>#VALUE!</v>
      </c>
    </row>
    <row r="120" spans="1:13" ht="15" customHeight="1" x14ac:dyDescent="0.25">
      <c r="A120" s="128"/>
      <c r="B120" s="128"/>
      <c r="C120" s="130"/>
      <c r="D120" s="130"/>
      <c r="E120" s="130"/>
      <c r="F120" s="130"/>
      <c r="G120" s="140"/>
      <c r="H120" s="140"/>
      <c r="I120" s="140"/>
      <c r="J120" s="137"/>
      <c r="K120" s="78" t="s">
        <v>10</v>
      </c>
      <c r="L120" s="78" t="s">
        <v>11</v>
      </c>
      <c r="M120" t="e" cm="1" vm="1">
        <f t="array" ref="M120">TRANSPOSE(_xlfn.UNIQUE(_xlfn._xlws.FILTER(Table4[Discipine Area],(Table4[Discipline No.]=C187)*(Table4[Discipline No.]=C187))))</f>
        <v>#VALUE!</v>
      </c>
    </row>
    <row r="121" spans="1:13" ht="15" customHeight="1" x14ac:dyDescent="0.25">
      <c r="A121" s="76"/>
      <c r="B121" s="113" t="s">
        <v>490</v>
      </c>
      <c r="C121" s="9"/>
      <c r="D121" s="73"/>
      <c r="E121" s="73"/>
      <c r="F121" s="74"/>
      <c r="G121" s="74"/>
      <c r="H121" s="74"/>
      <c r="I121" s="73"/>
      <c r="J121" s="3"/>
      <c r="K121" s="3"/>
      <c r="L121" s="3"/>
      <c r="M121" t="e" cm="1">
        <f t="array" ref="M121">TRANSPOSE(_xlfn.UNIQUE(_xlfn._xlws.FILTER(Table4[Discipine Area],(Table4[Discipline No.]=#REF!)*(Table4[Discipline No.]=#REF!))))</f>
        <v>#REF!</v>
      </c>
    </row>
    <row r="122" spans="1:13" x14ac:dyDescent="0.25">
      <c r="A122" s="9"/>
      <c r="B122" s="115"/>
      <c r="C122" s="9"/>
      <c r="D122" s="73"/>
      <c r="E122" s="73"/>
      <c r="F122" s="74"/>
      <c r="G122" s="74"/>
      <c r="H122" s="74"/>
      <c r="I122" s="73"/>
      <c r="J122" s="3"/>
      <c r="K122" s="3"/>
      <c r="L122" s="3"/>
      <c r="M122" t="e" cm="1">
        <f t="array" ref="M122">TRANSPOSE(_xlfn.UNIQUE(_xlfn._xlws.FILTER(Table4[Discipine Area],(Table4[Discipline No.]=#REF!)*(Table4[Discipline No.]=#REF!))))</f>
        <v>#REF!</v>
      </c>
    </row>
    <row r="123" spans="1:13" ht="30" x14ac:dyDescent="0.25">
      <c r="A123" s="9"/>
      <c r="B123" s="118"/>
      <c r="C123" s="9">
        <v>3</v>
      </c>
      <c r="D123" s="73" t="s">
        <v>112</v>
      </c>
      <c r="E123" s="73" t="s">
        <v>301</v>
      </c>
      <c r="F123" s="74"/>
      <c r="G123" s="74" t="s">
        <v>492</v>
      </c>
      <c r="H123" s="74"/>
      <c r="I123" s="73"/>
      <c r="J123" s="3"/>
      <c r="K123" s="3"/>
      <c r="L123" s="3"/>
      <c r="M123" t="e" cm="1">
        <f t="array" ref="M123">TRANSPOSE(_xlfn.UNIQUE(_xlfn._xlws.FILTER(Table4[Discipine Area],(Table4[Discipline No.]=#REF!)*(Table4[Discipline No.]=#REF!))))</f>
        <v>#REF!</v>
      </c>
    </row>
    <row r="124" spans="1:13" x14ac:dyDescent="0.25">
      <c r="A124" s="9"/>
      <c r="B124" s="116"/>
      <c r="C124" s="9">
        <v>3</v>
      </c>
      <c r="D124" s="73" t="s">
        <v>112</v>
      </c>
      <c r="E124" s="73" t="s">
        <v>301</v>
      </c>
      <c r="F124" s="74"/>
      <c r="G124" s="74" t="s">
        <v>493</v>
      </c>
      <c r="H124" s="74"/>
      <c r="I124" s="73"/>
      <c r="J124" s="3"/>
      <c r="K124" s="3"/>
      <c r="L124" s="3"/>
      <c r="M124" t="e" cm="1">
        <f t="array" ref="M124">TRANSPOSE(_xlfn.UNIQUE(_xlfn._xlws.FILTER(Table4[Discipine Area],(Table4[Discipline No.]=#REF!)*(Table4[Discipline No.]=#REF!))))</f>
        <v>#REF!</v>
      </c>
    </row>
    <row r="125" spans="1:13" x14ac:dyDescent="0.25">
      <c r="A125" s="9"/>
      <c r="B125" s="117"/>
      <c r="C125" s="9">
        <v>3</v>
      </c>
      <c r="D125" s="73" t="s">
        <v>313</v>
      </c>
      <c r="E125" s="73" t="s">
        <v>215</v>
      </c>
      <c r="F125" s="74"/>
      <c r="G125" s="74" t="s">
        <v>494</v>
      </c>
      <c r="H125" s="74"/>
      <c r="I125" s="73"/>
      <c r="J125" s="3"/>
      <c r="K125" s="3"/>
      <c r="L125" s="3"/>
    </row>
    <row r="126" spans="1:13" ht="30" x14ac:dyDescent="0.25">
      <c r="A126" s="9"/>
      <c r="B126" s="118"/>
      <c r="C126" s="9">
        <v>3</v>
      </c>
      <c r="D126" s="73" t="s">
        <v>359</v>
      </c>
      <c r="E126" s="73" t="s">
        <v>298</v>
      </c>
      <c r="F126" s="74"/>
      <c r="G126" s="74" t="s">
        <v>495</v>
      </c>
      <c r="H126" s="74"/>
      <c r="I126" s="73"/>
      <c r="J126" s="3"/>
      <c r="K126" s="3"/>
      <c r="L126" s="3"/>
    </row>
    <row r="127" spans="1:13" x14ac:dyDescent="0.25">
      <c r="A127" s="9"/>
      <c r="B127" s="117"/>
      <c r="C127" s="9">
        <v>3</v>
      </c>
      <c r="D127" s="73" t="s">
        <v>139</v>
      </c>
      <c r="E127" s="73" t="s">
        <v>213</v>
      </c>
      <c r="F127" s="74"/>
      <c r="G127" s="74" t="s">
        <v>496</v>
      </c>
      <c r="H127" s="74"/>
      <c r="I127" s="73"/>
      <c r="J127" s="3"/>
      <c r="K127" s="3"/>
      <c r="L127" s="3"/>
    </row>
    <row r="128" spans="1:13" ht="30" x14ac:dyDescent="0.25">
      <c r="A128" s="9"/>
      <c r="B128" s="118"/>
      <c r="C128" s="9">
        <v>1</v>
      </c>
      <c r="D128" s="73" t="s">
        <v>20</v>
      </c>
      <c r="E128" s="73" t="s">
        <v>296</v>
      </c>
      <c r="F128" s="74"/>
      <c r="G128" s="74" t="s">
        <v>497</v>
      </c>
      <c r="H128" s="74"/>
      <c r="I128" s="73"/>
      <c r="J128" s="3"/>
      <c r="K128" s="3"/>
      <c r="L128" s="3"/>
    </row>
    <row r="129" spans="1:82" x14ac:dyDescent="0.25">
      <c r="A129" s="9"/>
      <c r="B129" s="117"/>
      <c r="C129" s="9">
        <v>3</v>
      </c>
      <c r="D129" s="73" t="s">
        <v>117</v>
      </c>
      <c r="E129" s="73" t="s">
        <v>300</v>
      </c>
      <c r="F129" s="74"/>
      <c r="G129" s="74" t="s">
        <v>498</v>
      </c>
      <c r="H129" s="74"/>
      <c r="I129" s="73"/>
      <c r="J129" s="3"/>
      <c r="K129" s="3"/>
      <c r="L129" s="3"/>
    </row>
    <row r="130" spans="1:82" x14ac:dyDescent="0.25">
      <c r="A130" s="9"/>
      <c r="B130" s="118"/>
      <c r="C130" s="9">
        <v>3</v>
      </c>
      <c r="D130" s="73" t="s">
        <v>109</v>
      </c>
      <c r="E130" s="73" t="s">
        <v>299</v>
      </c>
      <c r="F130" s="74"/>
      <c r="G130" s="74" t="s">
        <v>499</v>
      </c>
      <c r="H130" s="74"/>
      <c r="I130" s="73"/>
      <c r="J130" s="3"/>
      <c r="K130" s="3"/>
      <c r="L130" s="3"/>
    </row>
    <row r="131" spans="1:82" x14ac:dyDescent="0.25">
      <c r="A131" s="9"/>
      <c r="B131" s="118"/>
      <c r="C131" s="9">
        <v>3</v>
      </c>
      <c r="D131" s="73" t="s">
        <v>313</v>
      </c>
      <c r="E131" s="73" t="s">
        <v>215</v>
      </c>
      <c r="F131" s="74"/>
      <c r="G131" s="74" t="s">
        <v>500</v>
      </c>
      <c r="H131" s="74"/>
      <c r="I131" s="73"/>
      <c r="J131" s="3"/>
      <c r="K131" s="3"/>
      <c r="L131" s="3"/>
    </row>
    <row r="132" spans="1:82" x14ac:dyDescent="0.25">
      <c r="A132" s="9"/>
      <c r="B132" s="116"/>
      <c r="C132" s="9">
        <v>3</v>
      </c>
      <c r="D132" s="73" t="s">
        <v>339</v>
      </c>
      <c r="E132" s="73" t="s">
        <v>362</v>
      </c>
      <c r="F132" s="74"/>
      <c r="G132" s="74" t="s">
        <v>501</v>
      </c>
      <c r="H132" s="74"/>
      <c r="I132" s="73"/>
      <c r="J132" s="3"/>
      <c r="K132" s="3"/>
      <c r="L132" s="3"/>
    </row>
    <row r="133" spans="1:82" x14ac:dyDescent="0.25">
      <c r="A133" s="9"/>
      <c r="B133" s="118"/>
      <c r="C133" s="9"/>
      <c r="D133" s="73"/>
      <c r="E133" s="73"/>
      <c r="F133" s="74"/>
      <c r="G133" s="74"/>
      <c r="H133" s="74"/>
      <c r="I133" s="73"/>
      <c r="J133" s="3"/>
      <c r="K133" s="3"/>
      <c r="L133" s="3"/>
      <c r="M133" t="e" cm="1" vm="1">
        <f t="array" ref="M133">TRANSPOSE(_xlfn.UNIQUE(_xlfn._xlws.FILTER(Table4[Discipine Area],(Table4[Discipline No.]=C190)*(Table4[Discipline No.]=C190))))</f>
        <v>#VALUE!</v>
      </c>
    </row>
    <row r="134" spans="1:82" x14ac:dyDescent="0.25">
      <c r="A134" s="9"/>
      <c r="B134" s="113" t="s">
        <v>491</v>
      </c>
      <c r="C134" s="9"/>
      <c r="D134" s="73"/>
      <c r="E134" s="73"/>
      <c r="F134" s="74"/>
      <c r="G134" s="74"/>
      <c r="H134" s="74"/>
      <c r="I134" s="73"/>
      <c r="J134" s="3"/>
      <c r="K134" s="3"/>
      <c r="L134" s="3"/>
      <c r="M134" t="str" cm="1">
        <f t="array" ref="M134:CD134">TRANSPOSE(_xlfn.UNIQUE(_xlfn._xlws.FILTER(Table4[Discipine Area],(Table4[Discipline No.]=C193)*(Table4[Discipline No.]=C193))))</f>
        <v>SALOON</v>
      </c>
      <c r="N134" t="str">
        <v>Companion door</v>
      </c>
      <c r="O134" t="str">
        <v>Fwd cockpit door</v>
      </c>
      <c r="P134" t="str">
        <v>Windows</v>
      </c>
      <c r="Q134" t="str">
        <v>U shape settee</v>
      </c>
      <c r="R134" t="str">
        <v>Saloon table</v>
      </c>
      <c r="S134" t="str">
        <v>Formica Bulkheads</v>
      </c>
      <c r="T134" t="str">
        <v>Magazine locker/shelf locker</v>
      </c>
      <c r="U134" t="str">
        <v>Vents</v>
      </c>
      <c r="V134" t="str">
        <v>Hullside vinyl panels</v>
      </c>
      <c r="W134" t="str">
        <v>Window blinds</v>
      </c>
      <c r="X134" t="str">
        <v>Nav desk</v>
      </c>
      <c r="Y134" t="str">
        <v>Chart table with storage locker under hinged lid</v>
      </c>
      <c r="Z134" t="str">
        <v>Storage locker under chart table</v>
      </c>
      <c r="AA134" t="str">
        <v xml:space="preserve">AC Outlets </v>
      </c>
      <c r="AB134" t="str">
        <v>Ottoman</v>
      </c>
      <c r="AC134" t="str">
        <v>Galley lockers</v>
      </c>
      <c r="AD134" t="str">
        <v>Stove locker</v>
      </c>
      <c r="AE134" t="str">
        <v>Draw locker</v>
      </c>
      <c r="AF134" t="str">
        <v>Fridge/Freezer locker</v>
      </c>
      <c r="AG134" t="str">
        <v>Microwave locker</v>
      </c>
      <c r="AH134" t="str">
        <v>Tv locker</v>
      </c>
      <c r="AI134" t="str">
        <v>AC/DC locker</v>
      </c>
      <c r="AJ134" t="str">
        <v>Vinyl ceiling</v>
      </c>
      <c r="AK134" t="str">
        <v>Floor</v>
      </c>
      <c r="AL134" t="str">
        <v>Large bowl s/s sink</v>
      </c>
      <c r="AM134" t="str">
        <v>Dish and cutlery drying recess with drainage</v>
      </c>
      <c r="AN134" t="str">
        <v>Cover for drying recess</v>
      </c>
      <c r="AO134" t="str">
        <v xml:space="preserve">Vitrifrigo 2 drawer front-opening fridge/freezer </v>
      </c>
      <c r="AP134" t="str">
        <v>Ice maker</v>
      </c>
      <c r="AQ134" t="str">
        <v>Wine cooler</v>
      </c>
      <c r="AR134" t="str">
        <v>Burner gas hob</v>
      </c>
      <c r="AS134" t="str">
        <v>Gas oven</v>
      </c>
      <c r="AT134" t="str">
        <v>Gas solenoid shut-off valve with control &amp; warning light at cooker</v>
      </c>
      <c r="AU134" t="str">
        <v xml:space="preserve">Formica steps </v>
      </c>
      <c r="AV134" t="str">
        <v>Gas detectors in each hull connected to alarm in saloon</v>
      </c>
      <c r="AW134" t="str">
        <v>Smoke detector/alarm</v>
      </c>
      <c r="AX134" t="str">
        <v>LED overhead lighting</v>
      </c>
      <c r="AY134" t="str">
        <v>CABIN/ STUDY/PASSAGE</v>
      </c>
      <c r="AZ134" t="str">
        <v>Inspection lids</v>
      </c>
      <c r="BA134" t="str">
        <v>Vinyl panels</v>
      </c>
      <c r="BB134" t="str">
        <v>Stairs</v>
      </c>
      <c r="BC134" t="str">
        <v>Bedside table outboard</v>
      </c>
      <c r="BD134" t="str">
        <v>Bedside cave locker inboard</v>
      </c>
      <c r="BE134" t="str">
        <v>Bunktop/Double berth</v>
      </c>
      <c r="BF134" t="str">
        <v>Hanging locker</v>
      </c>
      <c r="BG134" t="str">
        <v>Bunk Drawers</v>
      </c>
      <c r="BH134" t="str">
        <v>Cabin Door</v>
      </c>
      <c r="BI134" t="str">
        <v>Door frames</v>
      </c>
      <c r="BJ134" t="str">
        <v>Fiddles</v>
      </c>
      <c r="BK134" t="str">
        <v>Fan</v>
      </c>
      <c r="BL134" t="str">
        <v>Hatch</v>
      </c>
      <c r="BM134" t="str">
        <v>2 x LED reading lamps over bunk</v>
      </c>
      <c r="BN134" t="str">
        <v>Vanity table/desk with storage locker and mirror under lid</v>
      </c>
      <c r="BO134" t="str">
        <v>Fold up vanity mirror</v>
      </c>
      <c r="BP134" t="str">
        <v>Sliding entrance door with lock</v>
      </c>
      <c r="BQ134" t="str">
        <v>Doors</v>
      </c>
      <c r="BR134" t="str">
        <v>Large mirror behind sliding entrance door</v>
      </c>
      <c r="BS134" t="str">
        <v xml:space="preserve">HEADS </v>
      </c>
      <c r="BT134" t="str">
        <v>Under-basin locker with toilet roll holder</v>
      </c>
      <c r="BU134" t="str">
        <v>Vanity locker with mirror</v>
      </c>
      <c r="BV134" t="str">
        <v>Double towel rail</v>
      </c>
      <c r="BW134" t="str">
        <v>Sliding or hinged heads door</v>
      </c>
      <c r="BX134" t="str">
        <v>Washing machine locker</v>
      </c>
      <c r="BY134" t="str">
        <v>Dedicated trashcan locker</v>
      </c>
      <c r="BZ134" t="str">
        <v>Coat hook</v>
      </c>
      <c r="CA134" t="str">
        <v>Waste tank</v>
      </c>
      <c r="CB134" t="str">
        <v>Forepeak panel</v>
      </c>
      <c r="CC134" t="str">
        <v>Portlight with roller blind</v>
      </c>
      <c r="CD134" t="str">
        <v>Overhead roller blinds for privacy</v>
      </c>
    </row>
    <row r="135" spans="1:82" x14ac:dyDescent="0.25">
      <c r="A135" s="9"/>
      <c r="B135" s="116"/>
      <c r="C135" s="9"/>
      <c r="D135" s="73"/>
      <c r="E135" s="73"/>
      <c r="F135" s="74"/>
      <c r="G135" s="74"/>
      <c r="H135" s="74"/>
      <c r="I135" s="73"/>
      <c r="J135" s="3"/>
      <c r="K135" s="3"/>
      <c r="L135" s="3"/>
    </row>
    <row r="136" spans="1:82" x14ac:dyDescent="0.25">
      <c r="A136" s="9"/>
      <c r="B136" s="115"/>
      <c r="C136" s="9">
        <v>9</v>
      </c>
      <c r="D136" s="73" t="s">
        <v>373</v>
      </c>
      <c r="E136" s="73" t="s">
        <v>298</v>
      </c>
      <c r="F136" s="74"/>
      <c r="G136" s="74" t="s">
        <v>502</v>
      </c>
      <c r="H136" s="74"/>
      <c r="I136" s="73"/>
      <c r="J136" s="3"/>
      <c r="K136" s="3"/>
      <c r="L136" s="3"/>
    </row>
    <row r="137" spans="1:82" x14ac:dyDescent="0.25">
      <c r="A137" s="9"/>
      <c r="B137" s="118"/>
      <c r="C137" s="9">
        <v>3</v>
      </c>
      <c r="D137" s="73" t="s">
        <v>373</v>
      </c>
      <c r="E137" s="73" t="s">
        <v>215</v>
      </c>
      <c r="F137" s="74"/>
      <c r="G137" s="74" t="s">
        <v>503</v>
      </c>
      <c r="H137" s="74"/>
      <c r="I137" s="73"/>
      <c r="J137" s="3"/>
      <c r="K137" s="3"/>
      <c r="L137" s="3"/>
    </row>
    <row r="138" spans="1:82" x14ac:dyDescent="0.25">
      <c r="A138" s="9"/>
      <c r="B138" s="116"/>
      <c r="C138" s="9">
        <v>3</v>
      </c>
      <c r="D138" s="73" t="s">
        <v>284</v>
      </c>
      <c r="E138" s="73" t="s">
        <v>301</v>
      </c>
      <c r="F138" s="74"/>
      <c r="G138" s="73" t="s">
        <v>504</v>
      </c>
      <c r="H138" s="74"/>
      <c r="I138" s="73"/>
      <c r="J138" s="3"/>
      <c r="K138" s="3"/>
      <c r="L138" s="3"/>
      <c r="M138" t="str" cm="1">
        <f t="array" ref="M138:CD138">TRANSPOSE(_xlfn.UNIQUE(_xlfn._xlws.FILTER(Table4[Discipine Area],(Table4[Discipline No.]=C194)*(Table4[Discipline No.]=C194))))</f>
        <v>SALOON</v>
      </c>
      <c r="N138" t="str">
        <v>Companion door</v>
      </c>
      <c r="O138" t="str">
        <v>Fwd cockpit door</v>
      </c>
      <c r="P138" t="str">
        <v>Windows</v>
      </c>
      <c r="Q138" t="str">
        <v>U shape settee</v>
      </c>
      <c r="R138" t="str">
        <v>Saloon table</v>
      </c>
      <c r="S138" t="str">
        <v>Formica Bulkheads</v>
      </c>
      <c r="T138" t="str">
        <v>Magazine locker/shelf locker</v>
      </c>
      <c r="U138" t="str">
        <v>Vents</v>
      </c>
      <c r="V138" t="str">
        <v>Hullside vinyl panels</v>
      </c>
      <c r="W138" t="str">
        <v>Window blinds</v>
      </c>
      <c r="X138" t="str">
        <v>Nav desk</v>
      </c>
      <c r="Y138" t="str">
        <v>Chart table with storage locker under hinged lid</v>
      </c>
      <c r="Z138" t="str">
        <v>Storage locker under chart table</v>
      </c>
      <c r="AA138" t="str">
        <v xml:space="preserve">AC Outlets </v>
      </c>
      <c r="AB138" t="str">
        <v>Ottoman</v>
      </c>
      <c r="AC138" t="str">
        <v>Galley lockers</v>
      </c>
      <c r="AD138" t="str">
        <v>Stove locker</v>
      </c>
      <c r="AE138" t="str">
        <v>Draw locker</v>
      </c>
      <c r="AF138" t="str">
        <v>Fridge/Freezer locker</v>
      </c>
      <c r="AG138" t="str">
        <v>Microwave locker</v>
      </c>
      <c r="AH138" t="str">
        <v>Tv locker</v>
      </c>
      <c r="AI138" t="str">
        <v>AC/DC locker</v>
      </c>
      <c r="AJ138" t="str">
        <v>Vinyl ceiling</v>
      </c>
      <c r="AK138" t="str">
        <v>Floor</v>
      </c>
      <c r="AL138" t="str">
        <v>Large bowl s/s sink</v>
      </c>
      <c r="AM138" t="str">
        <v>Dish and cutlery drying recess with drainage</v>
      </c>
      <c r="AN138" t="str">
        <v>Cover for drying recess</v>
      </c>
      <c r="AO138" t="str">
        <v xml:space="preserve">Vitrifrigo 2 drawer front-opening fridge/freezer </v>
      </c>
      <c r="AP138" t="str">
        <v>Ice maker</v>
      </c>
      <c r="AQ138" t="str">
        <v>Wine cooler</v>
      </c>
      <c r="AR138" t="str">
        <v>Burner gas hob</v>
      </c>
      <c r="AS138" t="str">
        <v>Gas oven</v>
      </c>
      <c r="AT138" t="str">
        <v>Gas solenoid shut-off valve with control &amp; warning light at cooker</v>
      </c>
      <c r="AU138" t="str">
        <v xml:space="preserve">Formica steps </v>
      </c>
      <c r="AV138" t="str">
        <v>Gas detectors in each hull connected to alarm in saloon</v>
      </c>
      <c r="AW138" t="str">
        <v>Smoke detector/alarm</v>
      </c>
      <c r="AX138" t="str">
        <v>LED overhead lighting</v>
      </c>
      <c r="AY138" t="str">
        <v>CABIN/ STUDY/PASSAGE</v>
      </c>
      <c r="AZ138" t="str">
        <v>Inspection lids</v>
      </c>
      <c r="BA138" t="str">
        <v>Vinyl panels</v>
      </c>
      <c r="BB138" t="str">
        <v>Stairs</v>
      </c>
      <c r="BC138" t="str">
        <v>Bedside table outboard</v>
      </c>
      <c r="BD138" t="str">
        <v>Bedside cave locker inboard</v>
      </c>
      <c r="BE138" t="str">
        <v>Bunktop/Double berth</v>
      </c>
      <c r="BF138" t="str">
        <v>Hanging locker</v>
      </c>
      <c r="BG138" t="str">
        <v>Bunk Drawers</v>
      </c>
      <c r="BH138" t="str">
        <v>Cabin Door</v>
      </c>
      <c r="BI138" t="str">
        <v>Door frames</v>
      </c>
      <c r="BJ138" t="str">
        <v>Fiddles</v>
      </c>
      <c r="BK138" t="str">
        <v>Fan</v>
      </c>
      <c r="BL138" t="str">
        <v>Hatch</v>
      </c>
      <c r="BM138" t="str">
        <v>2 x LED reading lamps over bunk</v>
      </c>
      <c r="BN138" t="str">
        <v>Vanity table/desk with storage locker and mirror under lid</v>
      </c>
      <c r="BO138" t="str">
        <v>Fold up vanity mirror</v>
      </c>
      <c r="BP138" t="str">
        <v>Sliding entrance door with lock</v>
      </c>
      <c r="BQ138" t="str">
        <v>Doors</v>
      </c>
      <c r="BR138" t="str">
        <v>Large mirror behind sliding entrance door</v>
      </c>
      <c r="BS138" t="str">
        <v xml:space="preserve">HEADS </v>
      </c>
      <c r="BT138" t="str">
        <v>Under-basin locker with toilet roll holder</v>
      </c>
      <c r="BU138" t="str">
        <v>Vanity locker with mirror</v>
      </c>
      <c r="BV138" t="str">
        <v>Double towel rail</v>
      </c>
      <c r="BW138" t="str">
        <v>Sliding or hinged heads door</v>
      </c>
      <c r="BX138" t="str">
        <v>Washing machine locker</v>
      </c>
      <c r="BY138" t="str">
        <v>Dedicated trashcan locker</v>
      </c>
      <c r="BZ138" t="str">
        <v>Coat hook</v>
      </c>
      <c r="CA138" t="str">
        <v>Waste tank</v>
      </c>
      <c r="CB138" t="str">
        <v>Forepeak panel</v>
      </c>
      <c r="CC138" t="str">
        <v>Portlight with roller blind</v>
      </c>
      <c r="CD138" t="str">
        <v>Overhead roller blinds for privacy</v>
      </c>
    </row>
    <row r="139" spans="1:82" x14ac:dyDescent="0.25">
      <c r="A139" s="9"/>
      <c r="B139" s="116"/>
      <c r="C139" s="9">
        <v>3</v>
      </c>
      <c r="D139" s="73" t="s">
        <v>336</v>
      </c>
      <c r="E139" s="73" t="s">
        <v>362</v>
      </c>
      <c r="F139" s="74"/>
      <c r="G139" s="74" t="s">
        <v>505</v>
      </c>
      <c r="H139" s="74"/>
      <c r="I139" s="73"/>
      <c r="J139" s="3"/>
      <c r="K139" s="3"/>
      <c r="L139" s="3"/>
      <c r="M139" t="str" cm="1">
        <f t="array" ref="M139:CD139">TRANSPOSE(_xlfn.UNIQUE(_xlfn._xlws.FILTER(Table4[Discipine Area],(Table4[Discipline No.]=C195)*(Table4[Discipline No.]=C195))))</f>
        <v>SALOON</v>
      </c>
      <c r="N139" t="str">
        <v>Companion door</v>
      </c>
      <c r="O139" t="str">
        <v>Fwd cockpit door</v>
      </c>
      <c r="P139" t="str">
        <v>Windows</v>
      </c>
      <c r="Q139" t="str">
        <v>U shape settee</v>
      </c>
      <c r="R139" t="str">
        <v>Saloon table</v>
      </c>
      <c r="S139" t="str">
        <v>Formica Bulkheads</v>
      </c>
      <c r="T139" t="str">
        <v>Magazine locker/shelf locker</v>
      </c>
      <c r="U139" t="str">
        <v>Vents</v>
      </c>
      <c r="V139" t="str">
        <v>Hullside vinyl panels</v>
      </c>
      <c r="W139" t="str">
        <v>Window blinds</v>
      </c>
      <c r="X139" t="str">
        <v>Nav desk</v>
      </c>
      <c r="Y139" t="str">
        <v>Chart table with storage locker under hinged lid</v>
      </c>
      <c r="Z139" t="str">
        <v>Storage locker under chart table</v>
      </c>
      <c r="AA139" t="str">
        <v xml:space="preserve">AC Outlets </v>
      </c>
      <c r="AB139" t="str">
        <v>Ottoman</v>
      </c>
      <c r="AC139" t="str">
        <v>Galley lockers</v>
      </c>
      <c r="AD139" t="str">
        <v>Stove locker</v>
      </c>
      <c r="AE139" t="str">
        <v>Draw locker</v>
      </c>
      <c r="AF139" t="str">
        <v>Fridge/Freezer locker</v>
      </c>
      <c r="AG139" t="str">
        <v>Microwave locker</v>
      </c>
      <c r="AH139" t="str">
        <v>Tv locker</v>
      </c>
      <c r="AI139" t="str">
        <v>AC/DC locker</v>
      </c>
      <c r="AJ139" t="str">
        <v>Vinyl ceiling</v>
      </c>
      <c r="AK139" t="str">
        <v>Floor</v>
      </c>
      <c r="AL139" t="str">
        <v>Large bowl s/s sink</v>
      </c>
      <c r="AM139" t="str">
        <v>Dish and cutlery drying recess with drainage</v>
      </c>
      <c r="AN139" t="str">
        <v>Cover for drying recess</v>
      </c>
      <c r="AO139" t="str">
        <v xml:space="preserve">Vitrifrigo 2 drawer front-opening fridge/freezer </v>
      </c>
      <c r="AP139" t="str">
        <v>Ice maker</v>
      </c>
      <c r="AQ139" t="str">
        <v>Wine cooler</v>
      </c>
      <c r="AR139" t="str">
        <v>Burner gas hob</v>
      </c>
      <c r="AS139" t="str">
        <v>Gas oven</v>
      </c>
      <c r="AT139" t="str">
        <v>Gas solenoid shut-off valve with control &amp; warning light at cooker</v>
      </c>
      <c r="AU139" t="str">
        <v xml:space="preserve">Formica steps </v>
      </c>
      <c r="AV139" t="str">
        <v>Gas detectors in each hull connected to alarm in saloon</v>
      </c>
      <c r="AW139" t="str">
        <v>Smoke detector/alarm</v>
      </c>
      <c r="AX139" t="str">
        <v>LED overhead lighting</v>
      </c>
      <c r="AY139" t="str">
        <v>CABIN/ STUDY/PASSAGE</v>
      </c>
      <c r="AZ139" t="str">
        <v>Inspection lids</v>
      </c>
      <c r="BA139" t="str">
        <v>Vinyl panels</v>
      </c>
      <c r="BB139" t="str">
        <v>Stairs</v>
      </c>
      <c r="BC139" t="str">
        <v>Bedside table outboard</v>
      </c>
      <c r="BD139" t="str">
        <v>Bedside cave locker inboard</v>
      </c>
      <c r="BE139" t="str">
        <v>Bunktop/Double berth</v>
      </c>
      <c r="BF139" t="str">
        <v>Hanging locker</v>
      </c>
      <c r="BG139" t="str">
        <v>Bunk Drawers</v>
      </c>
      <c r="BH139" t="str">
        <v>Cabin Door</v>
      </c>
      <c r="BI139" t="str">
        <v>Door frames</v>
      </c>
      <c r="BJ139" t="str">
        <v>Fiddles</v>
      </c>
      <c r="BK139" t="str">
        <v>Fan</v>
      </c>
      <c r="BL139" t="str">
        <v>Hatch</v>
      </c>
      <c r="BM139" t="str">
        <v>2 x LED reading lamps over bunk</v>
      </c>
      <c r="BN139" t="str">
        <v>Vanity table/desk with storage locker and mirror under lid</v>
      </c>
      <c r="BO139" t="str">
        <v>Fold up vanity mirror</v>
      </c>
      <c r="BP139" t="str">
        <v>Sliding entrance door with lock</v>
      </c>
      <c r="BQ139" t="str">
        <v>Doors</v>
      </c>
      <c r="BR139" t="str">
        <v>Large mirror behind sliding entrance door</v>
      </c>
      <c r="BS139" t="str">
        <v xml:space="preserve">HEADS </v>
      </c>
      <c r="BT139" t="str">
        <v>Under-basin locker with toilet roll holder</v>
      </c>
      <c r="BU139" t="str">
        <v>Vanity locker with mirror</v>
      </c>
      <c r="BV139" t="str">
        <v>Double towel rail</v>
      </c>
      <c r="BW139" t="str">
        <v>Sliding or hinged heads door</v>
      </c>
      <c r="BX139" t="str">
        <v>Washing machine locker</v>
      </c>
      <c r="BY139" t="str">
        <v>Dedicated trashcan locker</v>
      </c>
      <c r="BZ139" t="str">
        <v>Coat hook</v>
      </c>
      <c r="CA139" t="str">
        <v>Waste tank</v>
      </c>
      <c r="CB139" t="str">
        <v>Forepeak panel</v>
      </c>
      <c r="CC139" t="str">
        <v>Portlight with roller blind</v>
      </c>
      <c r="CD139" t="str">
        <v>Overhead roller blinds for privacy</v>
      </c>
    </row>
    <row r="140" spans="1:82" ht="15" customHeight="1" x14ac:dyDescent="0.25">
      <c r="A140" s="9"/>
      <c r="B140" s="118"/>
      <c r="C140" s="9">
        <v>3</v>
      </c>
      <c r="D140" s="73" t="s">
        <v>313</v>
      </c>
      <c r="E140" s="73" t="s">
        <v>298</v>
      </c>
      <c r="F140" s="74"/>
      <c r="G140" s="74" t="s">
        <v>506</v>
      </c>
      <c r="H140" s="74"/>
      <c r="I140" s="73"/>
      <c r="J140" s="3"/>
      <c r="K140" s="3"/>
      <c r="L140" s="3"/>
    </row>
    <row r="141" spans="1:82" ht="16.5" customHeight="1" x14ac:dyDescent="0.25">
      <c r="A141" s="9"/>
      <c r="B141" s="115"/>
      <c r="C141" s="9">
        <v>3</v>
      </c>
      <c r="D141" s="73" t="s">
        <v>313</v>
      </c>
      <c r="E141" s="73" t="s">
        <v>298</v>
      </c>
      <c r="F141" s="74"/>
      <c r="G141" s="74" t="s">
        <v>507</v>
      </c>
      <c r="H141" s="74"/>
      <c r="I141" s="73"/>
      <c r="J141" s="3"/>
      <c r="K141" s="3"/>
      <c r="L141" s="3"/>
    </row>
    <row r="142" spans="1:82" ht="16.5" customHeight="1" x14ac:dyDescent="0.25">
      <c r="A142" s="9"/>
      <c r="B142" s="116"/>
      <c r="C142" s="9">
        <v>3</v>
      </c>
      <c r="D142" s="73" t="s">
        <v>366</v>
      </c>
      <c r="E142" s="73" t="s">
        <v>362</v>
      </c>
      <c r="F142" s="74"/>
      <c r="G142" s="74" t="s">
        <v>508</v>
      </c>
      <c r="H142" s="74"/>
      <c r="I142" s="73"/>
      <c r="J142" s="3"/>
      <c r="K142" s="3"/>
      <c r="L142" s="3"/>
    </row>
    <row r="143" spans="1:82" ht="15" customHeight="1" x14ac:dyDescent="0.25">
      <c r="A143" s="9"/>
      <c r="B143" s="118"/>
      <c r="C143" s="9">
        <v>3</v>
      </c>
      <c r="D143" s="73" t="s">
        <v>338</v>
      </c>
      <c r="E143" s="73" t="s">
        <v>213</v>
      </c>
      <c r="F143" s="74"/>
      <c r="G143" s="74" t="s">
        <v>509</v>
      </c>
      <c r="H143" s="74"/>
      <c r="I143" s="73"/>
      <c r="J143" s="3"/>
      <c r="K143" s="3"/>
      <c r="L143" s="3"/>
    </row>
    <row r="144" spans="1:82" ht="15" customHeight="1" x14ac:dyDescent="0.25">
      <c r="A144" s="9"/>
      <c r="B144" s="115"/>
      <c r="C144" s="9">
        <v>3</v>
      </c>
      <c r="D144" s="73" t="s">
        <v>316</v>
      </c>
      <c r="E144" s="73" t="s">
        <v>362</v>
      </c>
      <c r="F144" s="74"/>
      <c r="G144" s="74" t="s">
        <v>510</v>
      </c>
      <c r="H144" s="74"/>
      <c r="I144" s="73"/>
      <c r="J144" s="3"/>
      <c r="K144" s="3"/>
      <c r="L144" s="3"/>
    </row>
    <row r="145" spans="1:13" ht="15" customHeight="1" x14ac:dyDescent="0.25">
      <c r="A145" s="9"/>
      <c r="B145" s="115"/>
      <c r="C145" s="9">
        <v>3</v>
      </c>
      <c r="D145" s="73" t="s">
        <v>374</v>
      </c>
      <c r="E145" s="73" t="s">
        <v>362</v>
      </c>
      <c r="F145" s="74"/>
      <c r="G145" s="74" t="s">
        <v>511</v>
      </c>
      <c r="H145" s="74"/>
      <c r="I145" s="73"/>
      <c r="J145" s="3"/>
      <c r="K145" s="3"/>
      <c r="L145" s="3"/>
    </row>
    <row r="146" spans="1:13" ht="15" customHeight="1" x14ac:dyDescent="0.25">
      <c r="A146" s="9"/>
      <c r="B146" s="115"/>
      <c r="C146" s="9">
        <v>3</v>
      </c>
      <c r="D146" s="73" t="s">
        <v>227</v>
      </c>
      <c r="E146" s="73" t="s">
        <v>362</v>
      </c>
      <c r="F146" s="74"/>
      <c r="G146" s="74" t="s">
        <v>512</v>
      </c>
      <c r="H146" s="73"/>
      <c r="I146" s="73"/>
      <c r="J146" s="3"/>
      <c r="K146" s="3"/>
      <c r="L146" s="3"/>
    </row>
    <row r="147" spans="1:13" ht="15.75" customHeight="1" x14ac:dyDescent="0.25">
      <c r="A147" s="9"/>
      <c r="B147" s="115"/>
      <c r="C147" s="9">
        <v>3</v>
      </c>
      <c r="D147" s="73" t="s">
        <v>262</v>
      </c>
      <c r="E147" s="73" t="s">
        <v>215</v>
      </c>
      <c r="F147" s="74"/>
      <c r="G147" s="74" t="s">
        <v>513</v>
      </c>
      <c r="H147" s="73"/>
      <c r="I147" s="73"/>
      <c r="J147" s="3"/>
      <c r="K147" s="3"/>
      <c r="L147" s="3"/>
    </row>
    <row r="148" spans="1:13" ht="15" customHeight="1" x14ac:dyDescent="0.25">
      <c r="A148" s="9"/>
      <c r="B148" s="115"/>
      <c r="C148" s="9">
        <v>3</v>
      </c>
      <c r="D148" s="73" t="s">
        <v>333</v>
      </c>
      <c r="E148" s="73" t="s">
        <v>298</v>
      </c>
      <c r="F148" s="74"/>
      <c r="G148" s="74" t="s">
        <v>514</v>
      </c>
      <c r="H148" s="73"/>
      <c r="I148" s="73"/>
      <c r="J148" s="3"/>
      <c r="K148" s="3"/>
      <c r="L148" s="3"/>
    </row>
    <row r="149" spans="1:13" ht="15" customHeight="1" x14ac:dyDescent="0.25">
      <c r="A149" s="9"/>
      <c r="B149" s="113" t="s">
        <v>473</v>
      </c>
      <c r="C149" s="9">
        <v>3</v>
      </c>
      <c r="D149" s="73" t="s">
        <v>313</v>
      </c>
      <c r="E149" s="73" t="s">
        <v>298</v>
      </c>
      <c r="F149" s="74"/>
      <c r="G149" s="75" t="s">
        <v>515</v>
      </c>
      <c r="H149" s="73"/>
      <c r="I149" s="73"/>
      <c r="J149" s="3"/>
      <c r="K149" s="3"/>
      <c r="L149" s="3"/>
    </row>
    <row r="150" spans="1:13" ht="15" customHeight="1" x14ac:dyDescent="0.25">
      <c r="A150" s="9"/>
      <c r="B150" s="100"/>
      <c r="C150" s="9"/>
      <c r="D150" s="73"/>
      <c r="E150" s="73"/>
      <c r="F150" s="74"/>
      <c r="G150" s="74"/>
      <c r="H150" s="73"/>
      <c r="I150" s="73"/>
      <c r="J150" s="3"/>
      <c r="K150" s="3"/>
      <c r="L150" s="3"/>
    </row>
    <row r="151" spans="1:13" ht="15" customHeight="1" x14ac:dyDescent="0.25">
      <c r="A151" s="76"/>
      <c r="B151" s="97"/>
      <c r="C151" s="9"/>
      <c r="D151" s="73"/>
      <c r="E151" s="73"/>
      <c r="F151" s="74"/>
      <c r="G151" s="74"/>
      <c r="H151" s="73"/>
      <c r="I151" s="3"/>
      <c r="J151" s="3"/>
      <c r="K151" s="3"/>
      <c r="L151" s="3"/>
    </row>
    <row r="152" spans="1:13" ht="15" customHeight="1" x14ac:dyDescent="0.25">
      <c r="A152" s="9"/>
      <c r="B152" s="97"/>
      <c r="C152" s="9"/>
      <c r="D152" s="73"/>
      <c r="E152" s="73"/>
      <c r="F152" s="74"/>
      <c r="G152" s="74"/>
      <c r="H152" s="73"/>
      <c r="I152" s="3"/>
      <c r="J152" s="3"/>
      <c r="K152" s="3"/>
      <c r="L152" s="3"/>
    </row>
    <row r="153" spans="1:13" ht="15" customHeight="1" x14ac:dyDescent="0.25">
      <c r="A153" s="9"/>
      <c r="B153" s="97"/>
      <c r="C153" s="9"/>
      <c r="D153" s="73"/>
      <c r="E153" s="73"/>
      <c r="F153" s="74"/>
      <c r="G153" s="74"/>
      <c r="H153" s="73"/>
      <c r="I153" s="3"/>
      <c r="J153" s="3"/>
      <c r="K153" s="3"/>
      <c r="L153" s="3"/>
    </row>
    <row r="154" spans="1:13" ht="15" customHeight="1" x14ac:dyDescent="0.25">
      <c r="A154" s="76"/>
      <c r="B154" s="97"/>
      <c r="C154" s="9"/>
      <c r="D154" s="73"/>
      <c r="E154" s="73"/>
      <c r="F154" s="74"/>
      <c r="G154" s="74"/>
      <c r="H154" s="3"/>
      <c r="I154" s="3"/>
      <c r="J154" s="3"/>
      <c r="K154" s="3"/>
      <c r="L154" s="3"/>
    </row>
    <row r="155" spans="1:13" ht="15" customHeight="1" x14ac:dyDescent="0.25">
      <c r="A155" s="131" t="s">
        <v>414</v>
      </c>
      <c r="B155" s="132"/>
      <c r="C155" s="132"/>
      <c r="D155" s="132"/>
      <c r="E155" s="132"/>
      <c r="F155" s="133"/>
      <c r="G155" s="3" t="s">
        <v>415</v>
      </c>
      <c r="H155" s="141"/>
      <c r="I155" s="142"/>
      <c r="J155" s="134" t="s">
        <v>416</v>
      </c>
      <c r="K155" s="135"/>
      <c r="L155" s="136"/>
      <c r="M155" t="e" cm="1" vm="1">
        <f t="array" ref="M155">TRANSPOSE(_xlfn.UNIQUE(_xlfn._xlws.FILTER(Table4[Discipine Area],(Table4[Discipline No.]=C155)*(Table4[Discipline No.]=C155))))</f>
        <v>#VALUE!</v>
      </c>
    </row>
    <row r="156" spans="1:13" ht="15" customHeight="1" x14ac:dyDescent="0.25">
      <c r="A156" s="127" t="s">
        <v>0</v>
      </c>
      <c r="B156" s="127" t="s">
        <v>1</v>
      </c>
      <c r="C156" s="129" t="s">
        <v>2</v>
      </c>
      <c r="D156" s="129" t="s">
        <v>3</v>
      </c>
      <c r="E156" s="129" t="s">
        <v>4</v>
      </c>
      <c r="F156" s="129" t="s">
        <v>410</v>
      </c>
      <c r="G156" s="139" t="s">
        <v>216</v>
      </c>
      <c r="H156" s="139" t="s">
        <v>6</v>
      </c>
      <c r="I156" s="139" t="s">
        <v>7</v>
      </c>
      <c r="J156" s="137" t="s">
        <v>8</v>
      </c>
      <c r="K156" s="138" t="s">
        <v>9</v>
      </c>
      <c r="L156" s="138"/>
    </row>
    <row r="157" spans="1:13" ht="15" customHeight="1" x14ac:dyDescent="0.25">
      <c r="A157" s="128"/>
      <c r="B157" s="128"/>
      <c r="C157" s="130"/>
      <c r="D157" s="130"/>
      <c r="E157" s="130"/>
      <c r="F157" s="130"/>
      <c r="G157" s="140"/>
      <c r="H157" s="140"/>
      <c r="I157" s="140"/>
      <c r="J157" s="137"/>
      <c r="K157" s="78" t="s">
        <v>10</v>
      </c>
      <c r="L157" s="78" t="s">
        <v>11</v>
      </c>
      <c r="M157" t="e" cm="1" vm="1">
        <f t="array" ref="M157">TRANSPOSE(_xlfn.UNIQUE(_xlfn._xlws.FILTER(Table4[Discipine Area],(Table4[Discipline No.]=C215)*(Table4[Discipline No.]=C215))))</f>
        <v>#VALUE!</v>
      </c>
    </row>
    <row r="158" spans="1:13" ht="28.5" customHeight="1" x14ac:dyDescent="0.25">
      <c r="A158" s="76"/>
      <c r="B158" s="112" t="s">
        <v>516</v>
      </c>
      <c r="C158" s="76"/>
      <c r="D158" s="3"/>
      <c r="E158" s="3"/>
      <c r="F158" s="73"/>
      <c r="G158" s="74"/>
      <c r="H158" s="74"/>
      <c r="I158" s="73"/>
      <c r="J158" s="3"/>
      <c r="K158" s="3"/>
      <c r="L158" s="3"/>
      <c r="M158" t="e" cm="1" vm="1">
        <f t="array" ref="M158">TRANSPOSE(_xlfn.UNIQUE(_xlfn._xlws.FILTER(Table4[Discipine Area],(Table4[Discipline No.]=C216)*(Table4[Discipline No.]=C216))))</f>
        <v>#VALUE!</v>
      </c>
    </row>
    <row r="159" spans="1:13" ht="15" customHeight="1" x14ac:dyDescent="0.25">
      <c r="A159" s="9"/>
      <c r="B159" s="115"/>
      <c r="C159" s="9"/>
      <c r="D159" s="73"/>
      <c r="E159" s="73"/>
      <c r="F159" s="74"/>
      <c r="G159" s="74"/>
      <c r="H159" s="74"/>
      <c r="I159" s="73"/>
      <c r="J159" s="3"/>
      <c r="K159" s="3"/>
      <c r="L159" s="3"/>
      <c r="M159" t="e" cm="1" vm="1">
        <f t="array" ref="M159">TRANSPOSE(_xlfn.UNIQUE(_xlfn._xlws.FILTER(Table4[Discipine Area],(Table4[Discipline No.]=C217)*(Table4[Discipline No.]=C217))))</f>
        <v>#VALUE!</v>
      </c>
    </row>
    <row r="160" spans="1:13" x14ac:dyDescent="0.25">
      <c r="A160" s="9"/>
      <c r="B160" s="115"/>
      <c r="C160" s="9"/>
      <c r="D160" s="73"/>
      <c r="E160" s="73"/>
      <c r="F160" s="74"/>
      <c r="G160" s="74"/>
      <c r="H160" s="74"/>
      <c r="I160" s="73"/>
      <c r="J160" s="3"/>
      <c r="K160" s="3"/>
      <c r="L160" s="3"/>
      <c r="M160" t="e" cm="1" vm="1">
        <f t="array" ref="M160">TRANSPOSE(_xlfn.UNIQUE(_xlfn._xlws.FILTER(Table4[Discipine Area],(Table4[Discipline No.]=C218)*(Table4[Discipline No.]=C218))))</f>
        <v>#VALUE!</v>
      </c>
    </row>
    <row r="161" spans="1:82" x14ac:dyDescent="0.25">
      <c r="A161" s="76"/>
      <c r="B161" s="118"/>
      <c r="C161" s="9"/>
      <c r="D161" s="73"/>
      <c r="E161" s="73"/>
      <c r="F161" s="74"/>
      <c r="G161" s="74"/>
      <c r="H161" s="74"/>
      <c r="I161" s="73"/>
      <c r="J161" s="3"/>
      <c r="K161" s="3"/>
      <c r="L161" s="3"/>
      <c r="M161" t="e" cm="1" vm="1">
        <f t="array" ref="M161">TRANSPOSE(_xlfn.UNIQUE(_xlfn._xlws.FILTER(Table4[Discipine Area],(Table4[Discipline No.]=C219)*(Table4[Discipline No.]=C219))))</f>
        <v>#VALUE!</v>
      </c>
    </row>
    <row r="162" spans="1:82" ht="30" x14ac:dyDescent="0.25">
      <c r="A162" s="9"/>
      <c r="B162" s="115"/>
      <c r="C162" s="9">
        <v>1</v>
      </c>
      <c r="D162" s="73" t="s">
        <v>303</v>
      </c>
      <c r="E162" s="73" t="s">
        <v>298</v>
      </c>
      <c r="F162" s="74"/>
      <c r="G162" s="74" t="s">
        <v>517</v>
      </c>
      <c r="H162" s="74"/>
      <c r="I162" s="73"/>
      <c r="J162" s="3"/>
      <c r="K162" s="3"/>
      <c r="L162" s="3"/>
      <c r="M162" t="e" cm="1" vm="1">
        <f t="array" ref="M162">TRANSPOSE(_xlfn.UNIQUE(_xlfn._xlws.FILTER(Table4[Discipine Area],(Table4[Discipline No.]=C221)*(Table4[Discipline No.]=C221))))</f>
        <v>#VALUE!</v>
      </c>
    </row>
    <row r="163" spans="1:82" x14ac:dyDescent="0.25">
      <c r="A163" s="76"/>
      <c r="B163" s="118"/>
      <c r="C163" s="9">
        <v>3</v>
      </c>
      <c r="D163" s="73" t="s">
        <v>313</v>
      </c>
      <c r="E163" s="73" t="s">
        <v>298</v>
      </c>
      <c r="F163" s="74"/>
      <c r="G163" s="74" t="s">
        <v>518</v>
      </c>
      <c r="H163" s="74"/>
      <c r="I163" s="73"/>
      <c r="J163" s="3"/>
      <c r="K163" s="3"/>
      <c r="L163" s="3"/>
      <c r="M163" t="e" cm="1" vm="1">
        <f t="array" ref="M163">TRANSPOSE(_xlfn.UNIQUE(_xlfn._xlws.FILTER(Table4[Discipine Area],(Table4[Discipline No.]=C222)*(Table4[Discipline No.]=C222))))</f>
        <v>#VALUE!</v>
      </c>
    </row>
    <row r="164" spans="1:82" x14ac:dyDescent="0.25">
      <c r="A164" s="9"/>
      <c r="B164" s="118"/>
      <c r="C164" s="9">
        <v>3</v>
      </c>
      <c r="D164" s="73" t="s">
        <v>262</v>
      </c>
      <c r="E164" s="73" t="s">
        <v>215</v>
      </c>
      <c r="F164" s="74"/>
      <c r="G164" s="74" t="s">
        <v>513</v>
      </c>
      <c r="H164" s="74"/>
      <c r="I164" s="73"/>
      <c r="J164" s="3"/>
      <c r="K164" s="3"/>
      <c r="L164" s="3"/>
      <c r="M164" t="e" cm="1" vm="1">
        <f t="array" ref="M164">TRANSPOSE(_xlfn.UNIQUE(_xlfn._xlws.FILTER(Table4[Discipine Area],(Table4[Discipline No.]=C224)*(Table4[Discipline No.]=C224))))</f>
        <v>#VALUE!</v>
      </c>
    </row>
    <row r="165" spans="1:82" x14ac:dyDescent="0.25">
      <c r="A165" s="9"/>
      <c r="B165" s="117"/>
      <c r="C165" s="9">
        <v>3</v>
      </c>
      <c r="D165" s="73" t="s">
        <v>313</v>
      </c>
      <c r="E165" s="73" t="s">
        <v>298</v>
      </c>
      <c r="F165" s="74"/>
      <c r="G165" s="74" t="s">
        <v>519</v>
      </c>
      <c r="H165" s="74"/>
      <c r="I165" s="73"/>
      <c r="J165" s="3"/>
      <c r="K165" s="3"/>
      <c r="L165" s="3"/>
      <c r="M165" t="str" cm="1">
        <f t="array" ref="M165:AZ165">TRANSPOSE(_xlfn.UNIQUE(_xlfn._xlws.FILTER(Table4[Discipine Area],(Table4[Discipline No.]=C226)*(Table4[Discipline No.]=C226))))</f>
        <v>Exterior</v>
      </c>
      <c r="N165" t="str">
        <v>Fwd area</v>
      </c>
      <c r="O165" t="str">
        <v>Midship area</v>
      </c>
      <c r="P165" t="str">
        <v>Aft area</v>
      </c>
      <c r="Q165" t="str">
        <v>window surround</v>
      </c>
      <c r="R165" t="str">
        <v>Bows</v>
      </c>
      <c r="S165" t="str">
        <v>fwd deck steps</v>
      </c>
      <c r="T165" t="str">
        <v>Deck flange</v>
      </c>
      <c r="U165" t="str">
        <v>Waterchannel</v>
      </c>
      <c r="V165" t="str">
        <v>Helmstation</v>
      </c>
      <c r="W165" t="str">
        <v>window module</v>
      </c>
      <c r="X165" t="str">
        <v>deck Join</v>
      </c>
      <c r="Y165" t="str">
        <v>side deck step</v>
      </c>
      <c r="Z165" t="str">
        <v>Bimini</v>
      </c>
      <c r="AA165" t="str">
        <v>Helmstation steps</v>
      </c>
      <c r="AB165" t="str">
        <v>toe rail</v>
      </c>
      <c r="AC165" t="str">
        <v>Inboard liner</v>
      </c>
      <c r="AD165" t="str">
        <v>Settee</v>
      </c>
      <c r="AE165" t="str">
        <v>Transom</v>
      </c>
      <c r="AF165" t="str">
        <v>Floating step</v>
      </c>
      <c r="AG165" t="str">
        <v>Locker lids</v>
      </c>
      <c r="AH165" t="str">
        <v>Table</v>
      </c>
      <c r="AI165" t="str">
        <v>Ceiling</v>
      </c>
      <c r="AJ165" t="str">
        <v>Targawing</v>
      </c>
      <c r="AK165" t="str">
        <v>Eyebrow</v>
      </c>
      <c r="AL165" t="str">
        <v>Decklid</v>
      </c>
      <c r="AM165" t="str">
        <v>Skylight</v>
      </c>
      <c r="AN165" t="str">
        <v>Floor</v>
      </c>
      <c r="AO165" t="str">
        <v>Flybridge steps</v>
      </c>
      <c r="AP165" t="str">
        <v>INTERIOR</v>
      </c>
      <c r="AQ165" t="str">
        <v>Stowage space under floorboards</v>
      </c>
      <c r="AR165" t="str">
        <v>Door surround</v>
      </c>
      <c r="AS165" t="str">
        <v>Staircase</v>
      </c>
      <c r="AT165" t="str">
        <v>Plinth/Skirting</v>
      </c>
      <c r="AU165" t="str">
        <v>Ceiling Liner</v>
      </c>
      <c r="AV165" t="str">
        <v>BBQ Locker</v>
      </c>
      <c r="AW165" t="str">
        <v>Bunk Liners</v>
      </c>
      <c r="AX165" t="str">
        <v>Basin module</v>
      </c>
      <c r="AY165" t="str">
        <v>Shower bulkhead module</v>
      </c>
      <c r="AZ165" t="str">
        <v>Heads bulkhead module</v>
      </c>
    </row>
    <row r="166" spans="1:82" x14ac:dyDescent="0.25">
      <c r="A166" s="9"/>
      <c r="B166" s="98"/>
      <c r="C166" s="9"/>
      <c r="D166" s="73"/>
      <c r="E166" s="73"/>
      <c r="F166" s="74"/>
      <c r="G166" s="74"/>
      <c r="H166" s="74"/>
      <c r="I166" s="73"/>
      <c r="J166" s="3"/>
      <c r="K166" s="3"/>
      <c r="L166" s="3"/>
      <c r="M166" t="str" cm="1">
        <f t="array" ref="M166:CD166">TRANSPOSE(_xlfn.UNIQUE(_xlfn._xlws.FILTER(Table4[Discipine Area],(Table4[Discipline No.]=C227)*(Table4[Discipline No.]=C227))))</f>
        <v>SALOON</v>
      </c>
      <c r="N166" t="str">
        <v>Companion door</v>
      </c>
      <c r="O166" t="str">
        <v>Fwd cockpit door</v>
      </c>
      <c r="P166" t="str">
        <v>Windows</v>
      </c>
      <c r="Q166" t="str">
        <v>U shape settee</v>
      </c>
      <c r="R166" t="str">
        <v>Saloon table</v>
      </c>
      <c r="S166" t="str">
        <v>Formica Bulkheads</v>
      </c>
      <c r="T166" t="str">
        <v>Magazine locker/shelf locker</v>
      </c>
      <c r="U166" t="str">
        <v>Vents</v>
      </c>
      <c r="V166" t="str">
        <v>Hullside vinyl panels</v>
      </c>
      <c r="W166" t="str">
        <v>Window blinds</v>
      </c>
      <c r="X166" t="str">
        <v>Nav desk</v>
      </c>
      <c r="Y166" t="str">
        <v>Chart table with storage locker under hinged lid</v>
      </c>
      <c r="Z166" t="str">
        <v>Storage locker under chart table</v>
      </c>
      <c r="AA166" t="str">
        <v xml:space="preserve">AC Outlets </v>
      </c>
      <c r="AB166" t="str">
        <v>Ottoman</v>
      </c>
      <c r="AC166" t="str">
        <v>Galley lockers</v>
      </c>
      <c r="AD166" t="str">
        <v>Stove locker</v>
      </c>
      <c r="AE166" t="str">
        <v>Draw locker</v>
      </c>
      <c r="AF166" t="str">
        <v>Fridge/Freezer locker</v>
      </c>
      <c r="AG166" t="str">
        <v>Microwave locker</v>
      </c>
      <c r="AH166" t="str">
        <v>Tv locker</v>
      </c>
      <c r="AI166" t="str">
        <v>AC/DC locker</v>
      </c>
      <c r="AJ166" t="str">
        <v>Vinyl ceiling</v>
      </c>
      <c r="AK166" t="str">
        <v>Floor</v>
      </c>
      <c r="AL166" t="str">
        <v>Large bowl s/s sink</v>
      </c>
      <c r="AM166" t="str">
        <v>Dish and cutlery drying recess with drainage</v>
      </c>
      <c r="AN166" t="str">
        <v>Cover for drying recess</v>
      </c>
      <c r="AO166" t="str">
        <v xml:space="preserve">Vitrifrigo 2 drawer front-opening fridge/freezer </v>
      </c>
      <c r="AP166" t="str">
        <v>Ice maker</v>
      </c>
      <c r="AQ166" t="str">
        <v>Wine cooler</v>
      </c>
      <c r="AR166" t="str">
        <v>Burner gas hob</v>
      </c>
      <c r="AS166" t="str">
        <v>Gas oven</v>
      </c>
      <c r="AT166" t="str">
        <v>Gas solenoid shut-off valve with control &amp; warning light at cooker</v>
      </c>
      <c r="AU166" t="str">
        <v xml:space="preserve">Formica steps </v>
      </c>
      <c r="AV166" t="str">
        <v>Gas detectors in each hull connected to alarm in saloon</v>
      </c>
      <c r="AW166" t="str">
        <v>Smoke detector/alarm</v>
      </c>
      <c r="AX166" t="str">
        <v>LED overhead lighting</v>
      </c>
      <c r="AY166" t="str">
        <v>CABIN/ STUDY/PASSAGE</v>
      </c>
      <c r="AZ166" t="str">
        <v>Inspection lids</v>
      </c>
      <c r="BA166" t="str">
        <v>Vinyl panels</v>
      </c>
      <c r="BB166" t="str">
        <v>Stairs</v>
      </c>
      <c r="BC166" t="str">
        <v>Bedside table outboard</v>
      </c>
      <c r="BD166" t="str">
        <v>Bedside cave locker inboard</v>
      </c>
      <c r="BE166" t="str">
        <v>Bunktop/Double berth</v>
      </c>
      <c r="BF166" t="str">
        <v>Hanging locker</v>
      </c>
      <c r="BG166" t="str">
        <v>Bunk Drawers</v>
      </c>
      <c r="BH166" t="str">
        <v>Cabin Door</v>
      </c>
      <c r="BI166" t="str">
        <v>Door frames</v>
      </c>
      <c r="BJ166" t="str">
        <v>Fiddles</v>
      </c>
      <c r="BK166" t="str">
        <v>Fan</v>
      </c>
      <c r="BL166" t="str">
        <v>Hatch</v>
      </c>
      <c r="BM166" t="str">
        <v>2 x LED reading lamps over bunk</v>
      </c>
      <c r="BN166" t="str">
        <v>Vanity table/desk with storage locker and mirror under lid</v>
      </c>
      <c r="BO166" t="str">
        <v>Fold up vanity mirror</v>
      </c>
      <c r="BP166" t="str">
        <v>Sliding entrance door with lock</v>
      </c>
      <c r="BQ166" t="str">
        <v>Doors</v>
      </c>
      <c r="BR166" t="str">
        <v>Large mirror behind sliding entrance door</v>
      </c>
      <c r="BS166" t="str">
        <v xml:space="preserve">HEADS </v>
      </c>
      <c r="BT166" t="str">
        <v>Under-basin locker with toilet roll holder</v>
      </c>
      <c r="BU166" t="str">
        <v>Vanity locker with mirror</v>
      </c>
      <c r="BV166" t="str">
        <v>Double towel rail</v>
      </c>
      <c r="BW166" t="str">
        <v>Sliding or hinged heads door</v>
      </c>
      <c r="BX166" t="str">
        <v>Washing machine locker</v>
      </c>
      <c r="BY166" t="str">
        <v>Dedicated trashcan locker</v>
      </c>
      <c r="BZ166" t="str">
        <v>Coat hook</v>
      </c>
      <c r="CA166" t="str">
        <v>Waste tank</v>
      </c>
      <c r="CB166" t="str">
        <v>Forepeak panel</v>
      </c>
      <c r="CC166" t="str">
        <v>Portlight with roller blind</v>
      </c>
      <c r="CD166" t="str">
        <v>Overhead roller blinds for privacy</v>
      </c>
    </row>
    <row r="167" spans="1:82" x14ac:dyDescent="0.25">
      <c r="A167" s="9"/>
      <c r="B167" s="98"/>
      <c r="C167" s="9"/>
      <c r="D167" s="73"/>
      <c r="E167" s="73"/>
      <c r="F167" s="74"/>
      <c r="G167" s="74"/>
      <c r="H167" s="74"/>
      <c r="I167" s="73"/>
      <c r="J167" s="3"/>
      <c r="K167" s="3"/>
      <c r="L167" s="3"/>
      <c r="M167" t="str" cm="1">
        <f t="array" ref="M167:CD167">TRANSPOSE(_xlfn.UNIQUE(_xlfn._xlws.FILTER(Table4[Discipine Area],(Table4[Discipline No.]=C228)*(Table4[Discipline No.]=C228))))</f>
        <v>SALOON</v>
      </c>
      <c r="N167" t="str">
        <v>Companion door</v>
      </c>
      <c r="O167" t="str">
        <v>Fwd cockpit door</v>
      </c>
      <c r="P167" t="str">
        <v>Windows</v>
      </c>
      <c r="Q167" t="str">
        <v>U shape settee</v>
      </c>
      <c r="R167" t="str">
        <v>Saloon table</v>
      </c>
      <c r="S167" t="str">
        <v>Formica Bulkheads</v>
      </c>
      <c r="T167" t="str">
        <v>Magazine locker/shelf locker</v>
      </c>
      <c r="U167" t="str">
        <v>Vents</v>
      </c>
      <c r="V167" t="str">
        <v>Hullside vinyl panels</v>
      </c>
      <c r="W167" t="str">
        <v>Window blinds</v>
      </c>
      <c r="X167" t="str">
        <v>Nav desk</v>
      </c>
      <c r="Y167" t="str">
        <v>Chart table with storage locker under hinged lid</v>
      </c>
      <c r="Z167" t="str">
        <v>Storage locker under chart table</v>
      </c>
      <c r="AA167" t="str">
        <v xml:space="preserve">AC Outlets </v>
      </c>
      <c r="AB167" t="str">
        <v>Ottoman</v>
      </c>
      <c r="AC167" t="str">
        <v>Galley lockers</v>
      </c>
      <c r="AD167" t="str">
        <v>Stove locker</v>
      </c>
      <c r="AE167" t="str">
        <v>Draw locker</v>
      </c>
      <c r="AF167" t="str">
        <v>Fridge/Freezer locker</v>
      </c>
      <c r="AG167" t="str">
        <v>Microwave locker</v>
      </c>
      <c r="AH167" t="str">
        <v>Tv locker</v>
      </c>
      <c r="AI167" t="str">
        <v>AC/DC locker</v>
      </c>
      <c r="AJ167" t="str">
        <v>Vinyl ceiling</v>
      </c>
      <c r="AK167" t="str">
        <v>Floor</v>
      </c>
      <c r="AL167" t="str">
        <v>Large bowl s/s sink</v>
      </c>
      <c r="AM167" t="str">
        <v>Dish and cutlery drying recess with drainage</v>
      </c>
      <c r="AN167" t="str">
        <v>Cover for drying recess</v>
      </c>
      <c r="AO167" t="str">
        <v xml:space="preserve">Vitrifrigo 2 drawer front-opening fridge/freezer </v>
      </c>
      <c r="AP167" t="str">
        <v>Ice maker</v>
      </c>
      <c r="AQ167" t="str">
        <v>Wine cooler</v>
      </c>
      <c r="AR167" t="str">
        <v>Burner gas hob</v>
      </c>
      <c r="AS167" t="str">
        <v>Gas oven</v>
      </c>
      <c r="AT167" t="str">
        <v>Gas solenoid shut-off valve with control &amp; warning light at cooker</v>
      </c>
      <c r="AU167" t="str">
        <v xml:space="preserve">Formica steps </v>
      </c>
      <c r="AV167" t="str">
        <v>Gas detectors in each hull connected to alarm in saloon</v>
      </c>
      <c r="AW167" t="str">
        <v>Smoke detector/alarm</v>
      </c>
      <c r="AX167" t="str">
        <v>LED overhead lighting</v>
      </c>
      <c r="AY167" t="str">
        <v>CABIN/ STUDY/PASSAGE</v>
      </c>
      <c r="AZ167" t="str">
        <v>Inspection lids</v>
      </c>
      <c r="BA167" t="str">
        <v>Vinyl panels</v>
      </c>
      <c r="BB167" t="str">
        <v>Stairs</v>
      </c>
      <c r="BC167" t="str">
        <v>Bedside table outboard</v>
      </c>
      <c r="BD167" t="str">
        <v>Bedside cave locker inboard</v>
      </c>
      <c r="BE167" t="str">
        <v>Bunktop/Double berth</v>
      </c>
      <c r="BF167" t="str">
        <v>Hanging locker</v>
      </c>
      <c r="BG167" t="str">
        <v>Bunk Drawers</v>
      </c>
      <c r="BH167" t="str">
        <v>Cabin Door</v>
      </c>
      <c r="BI167" t="str">
        <v>Door frames</v>
      </c>
      <c r="BJ167" t="str">
        <v>Fiddles</v>
      </c>
      <c r="BK167" t="str">
        <v>Fan</v>
      </c>
      <c r="BL167" t="str">
        <v>Hatch</v>
      </c>
      <c r="BM167" t="str">
        <v>2 x LED reading lamps over bunk</v>
      </c>
      <c r="BN167" t="str">
        <v>Vanity table/desk with storage locker and mirror under lid</v>
      </c>
      <c r="BO167" t="str">
        <v>Fold up vanity mirror</v>
      </c>
      <c r="BP167" t="str">
        <v>Sliding entrance door with lock</v>
      </c>
      <c r="BQ167" t="str">
        <v>Doors</v>
      </c>
      <c r="BR167" t="str">
        <v>Large mirror behind sliding entrance door</v>
      </c>
      <c r="BS167" t="str">
        <v xml:space="preserve">HEADS </v>
      </c>
      <c r="BT167" t="str">
        <v>Under-basin locker with toilet roll holder</v>
      </c>
      <c r="BU167" t="str">
        <v>Vanity locker with mirror</v>
      </c>
      <c r="BV167" t="str">
        <v>Double towel rail</v>
      </c>
      <c r="BW167" t="str">
        <v>Sliding or hinged heads door</v>
      </c>
      <c r="BX167" t="str">
        <v>Washing machine locker</v>
      </c>
      <c r="BY167" t="str">
        <v>Dedicated trashcan locker</v>
      </c>
      <c r="BZ167" t="str">
        <v>Coat hook</v>
      </c>
      <c r="CA167" t="str">
        <v>Waste tank</v>
      </c>
      <c r="CB167" t="str">
        <v>Forepeak panel</v>
      </c>
      <c r="CC167" t="str">
        <v>Portlight with roller blind</v>
      </c>
      <c r="CD167" t="str">
        <v>Overhead roller blinds for privacy</v>
      </c>
    </row>
    <row r="168" spans="1:82" x14ac:dyDescent="0.25">
      <c r="A168" s="9"/>
      <c r="B168" s="98"/>
      <c r="C168" s="9"/>
      <c r="D168" s="73"/>
      <c r="E168" s="73"/>
      <c r="F168" s="74"/>
      <c r="G168" s="74"/>
      <c r="H168" s="74"/>
      <c r="I168" s="73"/>
      <c r="J168" s="3"/>
      <c r="K168" s="3"/>
      <c r="L168" s="3"/>
      <c r="M168" t="e" cm="1">
        <f t="array" ref="M168">TRANSPOSE(_xlfn.UNIQUE(_xlfn._xlws.FILTER(Table4[Discipine Area],(Table4[Discipline No.]=#REF!)*(Table4[Discipline No.]=#REF!))))</f>
        <v>#REF!</v>
      </c>
    </row>
    <row r="169" spans="1:82" ht="16.5" customHeight="1" x14ac:dyDescent="0.25">
      <c r="A169" s="9"/>
      <c r="B169" s="118"/>
      <c r="C169" s="9"/>
      <c r="D169" s="73"/>
      <c r="E169" s="73"/>
      <c r="F169" s="74"/>
      <c r="G169" s="74"/>
      <c r="H169" s="74"/>
      <c r="I169" s="73"/>
      <c r="J169" s="3"/>
      <c r="K169" s="3"/>
      <c r="L169" s="3"/>
      <c r="M169" t="str" cm="1">
        <f t="array" ref="M169:CD169">TRANSPOSE(_xlfn.UNIQUE(_xlfn._xlws.FILTER(Table4[Discipine Area],(Table4[Discipline No.]=C229)*(Table4[Discipline No.]=C229))))</f>
        <v>SALOON</v>
      </c>
      <c r="N169" t="str">
        <v>Companion door</v>
      </c>
      <c r="O169" t="str">
        <v>Fwd cockpit door</v>
      </c>
      <c r="P169" t="str">
        <v>Windows</v>
      </c>
      <c r="Q169" t="str">
        <v>U shape settee</v>
      </c>
      <c r="R169" t="str">
        <v>Saloon table</v>
      </c>
      <c r="S169" t="str">
        <v>Formica Bulkheads</v>
      </c>
      <c r="T169" t="str">
        <v>Magazine locker/shelf locker</v>
      </c>
      <c r="U169" t="str">
        <v>Vents</v>
      </c>
      <c r="V169" t="str">
        <v>Hullside vinyl panels</v>
      </c>
      <c r="W169" t="str">
        <v>Window blinds</v>
      </c>
      <c r="X169" t="str">
        <v>Nav desk</v>
      </c>
      <c r="Y169" t="str">
        <v>Chart table with storage locker under hinged lid</v>
      </c>
      <c r="Z169" t="str">
        <v>Storage locker under chart table</v>
      </c>
      <c r="AA169" t="str">
        <v xml:space="preserve">AC Outlets </v>
      </c>
      <c r="AB169" t="str">
        <v>Ottoman</v>
      </c>
      <c r="AC169" t="str">
        <v>Galley lockers</v>
      </c>
      <c r="AD169" t="str">
        <v>Stove locker</v>
      </c>
      <c r="AE169" t="str">
        <v>Draw locker</v>
      </c>
      <c r="AF169" t="str">
        <v>Fridge/Freezer locker</v>
      </c>
      <c r="AG169" t="str">
        <v>Microwave locker</v>
      </c>
      <c r="AH169" t="str">
        <v>Tv locker</v>
      </c>
      <c r="AI169" t="str">
        <v>AC/DC locker</v>
      </c>
      <c r="AJ169" t="str">
        <v>Vinyl ceiling</v>
      </c>
      <c r="AK169" t="str">
        <v>Floor</v>
      </c>
      <c r="AL169" t="str">
        <v>Large bowl s/s sink</v>
      </c>
      <c r="AM169" t="str">
        <v>Dish and cutlery drying recess with drainage</v>
      </c>
      <c r="AN169" t="str">
        <v>Cover for drying recess</v>
      </c>
      <c r="AO169" t="str">
        <v xml:space="preserve">Vitrifrigo 2 drawer front-opening fridge/freezer </v>
      </c>
      <c r="AP169" t="str">
        <v>Ice maker</v>
      </c>
      <c r="AQ169" t="str">
        <v>Wine cooler</v>
      </c>
      <c r="AR169" t="str">
        <v>Burner gas hob</v>
      </c>
      <c r="AS169" t="str">
        <v>Gas oven</v>
      </c>
      <c r="AT169" t="str">
        <v>Gas solenoid shut-off valve with control &amp; warning light at cooker</v>
      </c>
      <c r="AU169" t="str">
        <v xml:space="preserve">Formica steps </v>
      </c>
      <c r="AV169" t="str">
        <v>Gas detectors in each hull connected to alarm in saloon</v>
      </c>
      <c r="AW169" t="str">
        <v>Smoke detector/alarm</v>
      </c>
      <c r="AX169" t="str">
        <v>LED overhead lighting</v>
      </c>
      <c r="AY169" t="str">
        <v>CABIN/ STUDY/PASSAGE</v>
      </c>
      <c r="AZ169" t="str">
        <v>Inspection lids</v>
      </c>
      <c r="BA169" t="str">
        <v>Vinyl panels</v>
      </c>
      <c r="BB169" t="str">
        <v>Stairs</v>
      </c>
      <c r="BC169" t="str">
        <v>Bedside table outboard</v>
      </c>
      <c r="BD169" t="str">
        <v>Bedside cave locker inboard</v>
      </c>
      <c r="BE169" t="str">
        <v>Bunktop/Double berth</v>
      </c>
      <c r="BF169" t="str">
        <v>Hanging locker</v>
      </c>
      <c r="BG169" t="str">
        <v>Bunk Drawers</v>
      </c>
      <c r="BH169" t="str">
        <v>Cabin Door</v>
      </c>
      <c r="BI169" t="str">
        <v>Door frames</v>
      </c>
      <c r="BJ169" t="str">
        <v>Fiddles</v>
      </c>
      <c r="BK169" t="str">
        <v>Fan</v>
      </c>
      <c r="BL169" t="str">
        <v>Hatch</v>
      </c>
      <c r="BM169" t="str">
        <v>2 x LED reading lamps over bunk</v>
      </c>
      <c r="BN169" t="str">
        <v>Vanity table/desk with storage locker and mirror under lid</v>
      </c>
      <c r="BO169" t="str">
        <v>Fold up vanity mirror</v>
      </c>
      <c r="BP169" t="str">
        <v>Sliding entrance door with lock</v>
      </c>
      <c r="BQ169" t="str">
        <v>Doors</v>
      </c>
      <c r="BR169" t="str">
        <v>Large mirror behind sliding entrance door</v>
      </c>
      <c r="BS169" t="str">
        <v xml:space="preserve">HEADS </v>
      </c>
      <c r="BT169" t="str">
        <v>Under-basin locker with toilet roll holder</v>
      </c>
      <c r="BU169" t="str">
        <v>Vanity locker with mirror</v>
      </c>
      <c r="BV169" t="str">
        <v>Double towel rail</v>
      </c>
      <c r="BW169" t="str">
        <v>Sliding or hinged heads door</v>
      </c>
      <c r="BX169" t="str">
        <v>Washing machine locker</v>
      </c>
      <c r="BY169" t="str">
        <v>Dedicated trashcan locker</v>
      </c>
      <c r="BZ169" t="str">
        <v>Coat hook</v>
      </c>
      <c r="CA169" t="str">
        <v>Waste tank</v>
      </c>
      <c r="CB169" t="str">
        <v>Forepeak panel</v>
      </c>
      <c r="CC169" t="str">
        <v>Portlight with roller blind</v>
      </c>
      <c r="CD169" t="str">
        <v>Overhead roller blinds for privacy</v>
      </c>
    </row>
    <row r="170" spans="1:82" x14ac:dyDescent="0.25">
      <c r="A170" s="76"/>
      <c r="B170" s="97"/>
      <c r="C170" s="9"/>
      <c r="D170" s="73"/>
      <c r="E170" s="73"/>
      <c r="F170" s="74"/>
      <c r="G170" s="74"/>
      <c r="H170" s="74"/>
      <c r="I170" s="73"/>
      <c r="J170" s="3"/>
      <c r="K170" s="3"/>
      <c r="L170" s="3"/>
      <c r="M170" t="str" cm="1">
        <f t="array" ref="M170:CD170">TRANSPOSE(_xlfn.UNIQUE(_xlfn._xlws.FILTER(Table4[Discipine Area],(Table4[Discipline No.]=C229)*(Table4[Discipline No.]=C229))))</f>
        <v>SALOON</v>
      </c>
      <c r="N170" t="str">
        <v>Companion door</v>
      </c>
      <c r="O170" t="str">
        <v>Fwd cockpit door</v>
      </c>
      <c r="P170" t="str">
        <v>Windows</v>
      </c>
      <c r="Q170" t="str">
        <v>U shape settee</v>
      </c>
      <c r="R170" t="str">
        <v>Saloon table</v>
      </c>
      <c r="S170" t="str">
        <v>Formica Bulkheads</v>
      </c>
      <c r="T170" t="str">
        <v>Magazine locker/shelf locker</v>
      </c>
      <c r="U170" t="str">
        <v>Vents</v>
      </c>
      <c r="V170" t="str">
        <v>Hullside vinyl panels</v>
      </c>
      <c r="W170" t="str">
        <v>Window blinds</v>
      </c>
      <c r="X170" t="str">
        <v>Nav desk</v>
      </c>
      <c r="Y170" t="str">
        <v>Chart table with storage locker under hinged lid</v>
      </c>
      <c r="Z170" t="str">
        <v>Storage locker under chart table</v>
      </c>
      <c r="AA170" t="str">
        <v xml:space="preserve">AC Outlets </v>
      </c>
      <c r="AB170" t="str">
        <v>Ottoman</v>
      </c>
      <c r="AC170" t="str">
        <v>Galley lockers</v>
      </c>
      <c r="AD170" t="str">
        <v>Stove locker</v>
      </c>
      <c r="AE170" t="str">
        <v>Draw locker</v>
      </c>
      <c r="AF170" t="str">
        <v>Fridge/Freezer locker</v>
      </c>
      <c r="AG170" t="str">
        <v>Microwave locker</v>
      </c>
      <c r="AH170" t="str">
        <v>Tv locker</v>
      </c>
      <c r="AI170" t="str">
        <v>AC/DC locker</v>
      </c>
      <c r="AJ170" t="str">
        <v>Vinyl ceiling</v>
      </c>
      <c r="AK170" t="str">
        <v>Floor</v>
      </c>
      <c r="AL170" t="str">
        <v>Large bowl s/s sink</v>
      </c>
      <c r="AM170" t="str">
        <v>Dish and cutlery drying recess with drainage</v>
      </c>
      <c r="AN170" t="str">
        <v>Cover for drying recess</v>
      </c>
      <c r="AO170" t="str">
        <v xml:space="preserve">Vitrifrigo 2 drawer front-opening fridge/freezer </v>
      </c>
      <c r="AP170" t="str">
        <v>Ice maker</v>
      </c>
      <c r="AQ170" t="str">
        <v>Wine cooler</v>
      </c>
      <c r="AR170" t="str">
        <v>Burner gas hob</v>
      </c>
      <c r="AS170" t="str">
        <v>Gas oven</v>
      </c>
      <c r="AT170" t="str">
        <v>Gas solenoid shut-off valve with control &amp; warning light at cooker</v>
      </c>
      <c r="AU170" t="str">
        <v xml:space="preserve">Formica steps </v>
      </c>
      <c r="AV170" t="str">
        <v>Gas detectors in each hull connected to alarm in saloon</v>
      </c>
      <c r="AW170" t="str">
        <v>Smoke detector/alarm</v>
      </c>
      <c r="AX170" t="str">
        <v>LED overhead lighting</v>
      </c>
      <c r="AY170" t="str">
        <v>CABIN/ STUDY/PASSAGE</v>
      </c>
      <c r="AZ170" t="str">
        <v>Inspection lids</v>
      </c>
      <c r="BA170" t="str">
        <v>Vinyl panels</v>
      </c>
      <c r="BB170" t="str">
        <v>Stairs</v>
      </c>
      <c r="BC170" t="str">
        <v>Bedside table outboard</v>
      </c>
      <c r="BD170" t="str">
        <v>Bedside cave locker inboard</v>
      </c>
      <c r="BE170" t="str">
        <v>Bunktop/Double berth</v>
      </c>
      <c r="BF170" t="str">
        <v>Hanging locker</v>
      </c>
      <c r="BG170" t="str">
        <v>Bunk Drawers</v>
      </c>
      <c r="BH170" t="str">
        <v>Cabin Door</v>
      </c>
      <c r="BI170" t="str">
        <v>Door frames</v>
      </c>
      <c r="BJ170" t="str">
        <v>Fiddles</v>
      </c>
      <c r="BK170" t="str">
        <v>Fan</v>
      </c>
      <c r="BL170" t="str">
        <v>Hatch</v>
      </c>
      <c r="BM170" t="str">
        <v>2 x LED reading lamps over bunk</v>
      </c>
      <c r="BN170" t="str">
        <v>Vanity table/desk with storage locker and mirror under lid</v>
      </c>
      <c r="BO170" t="str">
        <v>Fold up vanity mirror</v>
      </c>
      <c r="BP170" t="str">
        <v>Sliding entrance door with lock</v>
      </c>
      <c r="BQ170" t="str">
        <v>Doors</v>
      </c>
      <c r="BR170" t="str">
        <v>Large mirror behind sliding entrance door</v>
      </c>
      <c r="BS170" t="str">
        <v xml:space="preserve">HEADS </v>
      </c>
      <c r="BT170" t="str">
        <v>Under-basin locker with toilet roll holder</v>
      </c>
      <c r="BU170" t="str">
        <v>Vanity locker with mirror</v>
      </c>
      <c r="BV170" t="str">
        <v>Double towel rail</v>
      </c>
      <c r="BW170" t="str">
        <v>Sliding or hinged heads door</v>
      </c>
      <c r="BX170" t="str">
        <v>Washing machine locker</v>
      </c>
      <c r="BY170" t="str">
        <v>Dedicated trashcan locker</v>
      </c>
      <c r="BZ170" t="str">
        <v>Coat hook</v>
      </c>
      <c r="CA170" t="str">
        <v>Waste tank</v>
      </c>
      <c r="CB170" t="str">
        <v>Forepeak panel</v>
      </c>
      <c r="CC170" t="str">
        <v>Portlight with roller blind</v>
      </c>
      <c r="CD170" t="str">
        <v>Overhead roller blinds for privacy</v>
      </c>
    </row>
    <row r="171" spans="1:82" x14ac:dyDescent="0.25">
      <c r="A171" s="9"/>
      <c r="B171" s="97"/>
      <c r="C171" s="9"/>
      <c r="D171" s="73"/>
      <c r="E171" s="73"/>
      <c r="F171" s="74"/>
      <c r="G171" s="74"/>
      <c r="H171" s="74"/>
      <c r="I171" s="73"/>
      <c r="J171" s="3"/>
      <c r="K171" s="3"/>
      <c r="L171" s="3"/>
      <c r="M171" t="str" cm="1">
        <f t="array" ref="M171:CD171">TRANSPOSE(_xlfn.UNIQUE(_xlfn._xlws.FILTER(Table4[Discipine Area],(Table4[Discipline No.]=C230)*(Table4[Discipline No.]=C230))))</f>
        <v>SALOON</v>
      </c>
      <c r="N171" t="str">
        <v>Companion door</v>
      </c>
      <c r="O171" t="str">
        <v>Fwd cockpit door</v>
      </c>
      <c r="P171" t="str">
        <v>Windows</v>
      </c>
      <c r="Q171" t="str">
        <v>U shape settee</v>
      </c>
      <c r="R171" t="str">
        <v>Saloon table</v>
      </c>
      <c r="S171" t="str">
        <v>Formica Bulkheads</v>
      </c>
      <c r="T171" t="str">
        <v>Magazine locker/shelf locker</v>
      </c>
      <c r="U171" t="str">
        <v>Vents</v>
      </c>
      <c r="V171" t="str">
        <v>Hullside vinyl panels</v>
      </c>
      <c r="W171" t="str">
        <v>Window blinds</v>
      </c>
      <c r="X171" t="str">
        <v>Nav desk</v>
      </c>
      <c r="Y171" t="str">
        <v>Chart table with storage locker under hinged lid</v>
      </c>
      <c r="Z171" t="str">
        <v>Storage locker under chart table</v>
      </c>
      <c r="AA171" t="str">
        <v xml:space="preserve">AC Outlets </v>
      </c>
      <c r="AB171" t="str">
        <v>Ottoman</v>
      </c>
      <c r="AC171" t="str">
        <v>Galley lockers</v>
      </c>
      <c r="AD171" t="str">
        <v>Stove locker</v>
      </c>
      <c r="AE171" t="str">
        <v>Draw locker</v>
      </c>
      <c r="AF171" t="str">
        <v>Fridge/Freezer locker</v>
      </c>
      <c r="AG171" t="str">
        <v>Microwave locker</v>
      </c>
      <c r="AH171" t="str">
        <v>Tv locker</v>
      </c>
      <c r="AI171" t="str">
        <v>AC/DC locker</v>
      </c>
      <c r="AJ171" t="str">
        <v>Vinyl ceiling</v>
      </c>
      <c r="AK171" t="str">
        <v>Floor</v>
      </c>
      <c r="AL171" t="str">
        <v>Large bowl s/s sink</v>
      </c>
      <c r="AM171" t="str">
        <v>Dish and cutlery drying recess with drainage</v>
      </c>
      <c r="AN171" t="str">
        <v>Cover for drying recess</v>
      </c>
      <c r="AO171" t="str">
        <v xml:space="preserve">Vitrifrigo 2 drawer front-opening fridge/freezer </v>
      </c>
      <c r="AP171" t="str">
        <v>Ice maker</v>
      </c>
      <c r="AQ171" t="str">
        <v>Wine cooler</v>
      </c>
      <c r="AR171" t="str">
        <v>Burner gas hob</v>
      </c>
      <c r="AS171" t="str">
        <v>Gas oven</v>
      </c>
      <c r="AT171" t="str">
        <v>Gas solenoid shut-off valve with control &amp; warning light at cooker</v>
      </c>
      <c r="AU171" t="str">
        <v xml:space="preserve">Formica steps </v>
      </c>
      <c r="AV171" t="str">
        <v>Gas detectors in each hull connected to alarm in saloon</v>
      </c>
      <c r="AW171" t="str">
        <v>Smoke detector/alarm</v>
      </c>
      <c r="AX171" t="str">
        <v>LED overhead lighting</v>
      </c>
      <c r="AY171" t="str">
        <v>CABIN/ STUDY/PASSAGE</v>
      </c>
      <c r="AZ171" t="str">
        <v>Inspection lids</v>
      </c>
      <c r="BA171" t="str">
        <v>Vinyl panels</v>
      </c>
      <c r="BB171" t="str">
        <v>Stairs</v>
      </c>
      <c r="BC171" t="str">
        <v>Bedside table outboard</v>
      </c>
      <c r="BD171" t="str">
        <v>Bedside cave locker inboard</v>
      </c>
      <c r="BE171" t="str">
        <v>Bunktop/Double berth</v>
      </c>
      <c r="BF171" t="str">
        <v>Hanging locker</v>
      </c>
      <c r="BG171" t="str">
        <v>Bunk Drawers</v>
      </c>
      <c r="BH171" t="str">
        <v>Cabin Door</v>
      </c>
      <c r="BI171" t="str">
        <v>Door frames</v>
      </c>
      <c r="BJ171" t="str">
        <v>Fiddles</v>
      </c>
      <c r="BK171" t="str">
        <v>Fan</v>
      </c>
      <c r="BL171" t="str">
        <v>Hatch</v>
      </c>
      <c r="BM171" t="str">
        <v>2 x LED reading lamps over bunk</v>
      </c>
      <c r="BN171" t="str">
        <v>Vanity table/desk with storage locker and mirror under lid</v>
      </c>
      <c r="BO171" t="str">
        <v>Fold up vanity mirror</v>
      </c>
      <c r="BP171" t="str">
        <v>Sliding entrance door with lock</v>
      </c>
      <c r="BQ171" t="str">
        <v>Doors</v>
      </c>
      <c r="BR171" t="str">
        <v>Large mirror behind sliding entrance door</v>
      </c>
      <c r="BS171" t="str">
        <v xml:space="preserve">HEADS </v>
      </c>
      <c r="BT171" t="str">
        <v>Under-basin locker with toilet roll holder</v>
      </c>
      <c r="BU171" t="str">
        <v>Vanity locker with mirror</v>
      </c>
      <c r="BV171" t="str">
        <v>Double towel rail</v>
      </c>
      <c r="BW171" t="str">
        <v>Sliding or hinged heads door</v>
      </c>
      <c r="BX171" t="str">
        <v>Washing machine locker</v>
      </c>
      <c r="BY171" t="str">
        <v>Dedicated trashcan locker</v>
      </c>
      <c r="BZ171" t="str">
        <v>Coat hook</v>
      </c>
      <c r="CA171" t="str">
        <v>Waste tank</v>
      </c>
      <c r="CB171" t="str">
        <v>Forepeak panel</v>
      </c>
      <c r="CC171" t="str">
        <v>Portlight with roller blind</v>
      </c>
      <c r="CD171" t="str">
        <v>Overhead roller blinds for privacy</v>
      </c>
    </row>
    <row r="172" spans="1:82" ht="24.75" customHeight="1" x14ac:dyDescent="0.25">
      <c r="A172" s="9"/>
      <c r="B172" s="118"/>
      <c r="C172" s="9"/>
      <c r="D172" s="73"/>
      <c r="E172" s="73"/>
      <c r="F172" s="74"/>
      <c r="G172" s="74"/>
      <c r="H172" s="74"/>
      <c r="I172" s="73"/>
      <c r="J172" s="3"/>
      <c r="K172" s="3"/>
      <c r="L172" s="3"/>
    </row>
    <row r="173" spans="1:82" x14ac:dyDescent="0.25">
      <c r="A173" s="76"/>
      <c r="B173" s="118"/>
      <c r="C173" s="9"/>
      <c r="D173" s="73"/>
      <c r="E173" s="73"/>
      <c r="F173" s="74"/>
      <c r="G173" s="74"/>
      <c r="H173" s="74"/>
      <c r="I173" s="73"/>
      <c r="J173" s="3"/>
      <c r="K173" s="3"/>
      <c r="L173" s="3"/>
    </row>
    <row r="174" spans="1:82" x14ac:dyDescent="0.25">
      <c r="A174" s="9"/>
      <c r="B174" s="118"/>
      <c r="C174" s="9"/>
      <c r="D174" s="73"/>
      <c r="E174" s="73"/>
      <c r="F174" s="74"/>
      <c r="G174" s="74"/>
      <c r="H174" s="74"/>
      <c r="I174" s="73"/>
      <c r="J174" s="3"/>
      <c r="K174" s="3"/>
      <c r="L174" s="3"/>
    </row>
    <row r="175" spans="1:82" x14ac:dyDescent="0.25">
      <c r="A175" s="9"/>
      <c r="B175" s="118"/>
      <c r="C175" s="9"/>
      <c r="D175" s="73"/>
      <c r="E175" s="73"/>
      <c r="F175" s="74"/>
      <c r="G175" s="74"/>
      <c r="H175" s="74"/>
      <c r="I175" s="73"/>
      <c r="J175" s="3"/>
      <c r="K175" s="3"/>
      <c r="L175" s="3"/>
    </row>
    <row r="176" spans="1:82" x14ac:dyDescent="0.25">
      <c r="A176" s="9"/>
      <c r="B176" s="73"/>
      <c r="C176" s="9"/>
      <c r="D176" s="73"/>
      <c r="E176" s="73"/>
      <c r="F176" s="74"/>
      <c r="G176" s="74"/>
      <c r="H176" s="73"/>
      <c r="I176" s="73"/>
      <c r="J176" s="3"/>
      <c r="K176" s="3"/>
      <c r="L176" s="3"/>
    </row>
    <row r="177" spans="1:82" ht="15" customHeight="1" x14ac:dyDescent="0.25">
      <c r="A177" s="9"/>
      <c r="B177" s="123"/>
      <c r="C177" s="9"/>
      <c r="D177" s="73"/>
      <c r="E177" s="73"/>
      <c r="F177" s="74"/>
      <c r="G177" s="74"/>
      <c r="H177" s="73"/>
      <c r="I177" s="73"/>
      <c r="J177" s="3"/>
      <c r="K177" s="3"/>
      <c r="L177" s="3"/>
    </row>
    <row r="178" spans="1:82" ht="15" customHeight="1" x14ac:dyDescent="0.25">
      <c r="A178" s="76"/>
      <c r="B178" s="115"/>
      <c r="C178" s="9"/>
      <c r="D178" s="73"/>
      <c r="E178" s="73"/>
      <c r="F178" s="74"/>
      <c r="G178" s="74"/>
      <c r="H178" s="73"/>
      <c r="I178" s="73"/>
      <c r="J178" s="3"/>
      <c r="K178" s="3"/>
      <c r="L178" s="3"/>
    </row>
    <row r="179" spans="1:82" ht="15" customHeight="1" x14ac:dyDescent="0.25">
      <c r="A179" s="9"/>
      <c r="B179" s="123"/>
      <c r="C179" s="9"/>
      <c r="D179" s="73"/>
      <c r="E179" s="73"/>
      <c r="F179" s="74"/>
      <c r="G179" s="74"/>
      <c r="H179" s="73"/>
      <c r="I179" s="73"/>
      <c r="J179" s="3"/>
      <c r="K179" s="3"/>
      <c r="L179" s="3"/>
    </row>
    <row r="180" spans="1:82" ht="15" customHeight="1" x14ac:dyDescent="0.25">
      <c r="A180" s="9"/>
      <c r="B180" s="115"/>
      <c r="C180" s="9"/>
      <c r="D180" s="73"/>
      <c r="E180" s="73"/>
      <c r="F180" s="74"/>
      <c r="G180" s="74"/>
      <c r="H180" s="73"/>
      <c r="I180" s="73"/>
      <c r="J180" s="3"/>
      <c r="K180" s="3"/>
      <c r="L180" s="3"/>
    </row>
    <row r="181" spans="1:82" ht="15" customHeight="1" x14ac:dyDescent="0.25">
      <c r="A181" s="76"/>
      <c r="B181" s="115"/>
      <c r="C181" s="9"/>
      <c r="D181" s="73"/>
      <c r="E181" s="73"/>
      <c r="F181" s="74"/>
      <c r="G181" s="74"/>
      <c r="H181" s="73"/>
      <c r="I181" s="3"/>
      <c r="J181" s="3"/>
      <c r="K181" s="3"/>
      <c r="L181" s="3"/>
    </row>
    <row r="182" spans="1:82" ht="15" customHeight="1" x14ac:dyDescent="0.25">
      <c r="A182" s="9"/>
      <c r="B182" s="97"/>
      <c r="C182" s="9"/>
      <c r="D182" s="74"/>
      <c r="E182" s="73"/>
      <c r="F182" s="74"/>
      <c r="G182" s="74"/>
      <c r="H182" s="73"/>
      <c r="I182" s="3"/>
      <c r="J182" s="3"/>
      <c r="K182" s="3"/>
      <c r="L182" s="3"/>
      <c r="M182" t="str" cm="1">
        <f t="array" ref="M182:CD182">TRANSPOSE(_xlfn.UNIQUE(_xlfn._xlws.FILTER(Table4[Discipine Area],(Table4[Discipline No.]=C231)*(Table4[Discipline No.]=C231))))</f>
        <v>SALOON</v>
      </c>
      <c r="N182" t="str">
        <v>Companion door</v>
      </c>
      <c r="O182" t="str">
        <v>Fwd cockpit door</v>
      </c>
      <c r="P182" t="str">
        <v>Windows</v>
      </c>
      <c r="Q182" t="str">
        <v>U shape settee</v>
      </c>
      <c r="R182" t="str">
        <v>Saloon table</v>
      </c>
      <c r="S182" t="str">
        <v>Formica Bulkheads</v>
      </c>
      <c r="T182" t="str">
        <v>Magazine locker/shelf locker</v>
      </c>
      <c r="U182" t="str">
        <v>Vents</v>
      </c>
      <c r="V182" t="str">
        <v>Hullside vinyl panels</v>
      </c>
      <c r="W182" t="str">
        <v>Window blinds</v>
      </c>
      <c r="X182" t="str">
        <v>Nav desk</v>
      </c>
      <c r="Y182" t="str">
        <v>Chart table with storage locker under hinged lid</v>
      </c>
      <c r="Z182" t="str">
        <v>Storage locker under chart table</v>
      </c>
      <c r="AA182" t="str">
        <v xml:space="preserve">AC Outlets </v>
      </c>
      <c r="AB182" t="str">
        <v>Ottoman</v>
      </c>
      <c r="AC182" t="str">
        <v>Galley lockers</v>
      </c>
      <c r="AD182" t="str">
        <v>Stove locker</v>
      </c>
      <c r="AE182" t="str">
        <v>Draw locker</v>
      </c>
      <c r="AF182" t="str">
        <v>Fridge/Freezer locker</v>
      </c>
      <c r="AG182" t="str">
        <v>Microwave locker</v>
      </c>
      <c r="AH182" t="str">
        <v>Tv locker</v>
      </c>
      <c r="AI182" t="str">
        <v>AC/DC locker</v>
      </c>
      <c r="AJ182" t="str">
        <v>Vinyl ceiling</v>
      </c>
      <c r="AK182" t="str">
        <v>Floor</v>
      </c>
      <c r="AL182" t="str">
        <v>Large bowl s/s sink</v>
      </c>
      <c r="AM182" t="str">
        <v>Dish and cutlery drying recess with drainage</v>
      </c>
      <c r="AN182" t="str">
        <v>Cover for drying recess</v>
      </c>
      <c r="AO182" t="str">
        <v xml:space="preserve">Vitrifrigo 2 drawer front-opening fridge/freezer </v>
      </c>
      <c r="AP182" t="str">
        <v>Ice maker</v>
      </c>
      <c r="AQ182" t="str">
        <v>Wine cooler</v>
      </c>
      <c r="AR182" t="str">
        <v>Burner gas hob</v>
      </c>
      <c r="AS182" t="str">
        <v>Gas oven</v>
      </c>
      <c r="AT182" t="str">
        <v>Gas solenoid shut-off valve with control &amp; warning light at cooker</v>
      </c>
      <c r="AU182" t="str">
        <v xml:space="preserve">Formica steps </v>
      </c>
      <c r="AV182" t="str">
        <v>Gas detectors in each hull connected to alarm in saloon</v>
      </c>
      <c r="AW182" t="str">
        <v>Smoke detector/alarm</v>
      </c>
      <c r="AX182" t="str">
        <v>LED overhead lighting</v>
      </c>
      <c r="AY182" t="str">
        <v>CABIN/ STUDY/PASSAGE</v>
      </c>
      <c r="AZ182" t="str">
        <v>Inspection lids</v>
      </c>
      <c r="BA182" t="str">
        <v>Vinyl panels</v>
      </c>
      <c r="BB182" t="str">
        <v>Stairs</v>
      </c>
      <c r="BC182" t="str">
        <v>Bedside table outboard</v>
      </c>
      <c r="BD182" t="str">
        <v>Bedside cave locker inboard</v>
      </c>
      <c r="BE182" t="str">
        <v>Bunktop/Double berth</v>
      </c>
      <c r="BF182" t="str">
        <v>Hanging locker</v>
      </c>
      <c r="BG182" t="str">
        <v>Bunk Drawers</v>
      </c>
      <c r="BH182" t="str">
        <v>Cabin Door</v>
      </c>
      <c r="BI182" t="str">
        <v>Door frames</v>
      </c>
      <c r="BJ182" t="str">
        <v>Fiddles</v>
      </c>
      <c r="BK182" t="str">
        <v>Fan</v>
      </c>
      <c r="BL182" t="str">
        <v>Hatch</v>
      </c>
      <c r="BM182" t="str">
        <v>2 x LED reading lamps over bunk</v>
      </c>
      <c r="BN182" t="str">
        <v>Vanity table/desk with storage locker and mirror under lid</v>
      </c>
      <c r="BO182" t="str">
        <v>Fold up vanity mirror</v>
      </c>
      <c r="BP182" t="str">
        <v>Sliding entrance door with lock</v>
      </c>
      <c r="BQ182" t="str">
        <v>Doors</v>
      </c>
      <c r="BR182" t="str">
        <v>Large mirror behind sliding entrance door</v>
      </c>
      <c r="BS182" t="str">
        <v xml:space="preserve">HEADS </v>
      </c>
      <c r="BT182" t="str">
        <v>Under-basin locker with toilet roll holder</v>
      </c>
      <c r="BU182" t="str">
        <v>Vanity locker with mirror</v>
      </c>
      <c r="BV182" t="str">
        <v>Double towel rail</v>
      </c>
      <c r="BW182" t="str">
        <v>Sliding or hinged heads door</v>
      </c>
      <c r="BX182" t="str">
        <v>Washing machine locker</v>
      </c>
      <c r="BY182" t="str">
        <v>Dedicated trashcan locker</v>
      </c>
      <c r="BZ182" t="str">
        <v>Coat hook</v>
      </c>
      <c r="CA182" t="str">
        <v>Waste tank</v>
      </c>
      <c r="CB182" t="str">
        <v>Forepeak panel</v>
      </c>
      <c r="CC182" t="str">
        <v>Portlight with roller blind</v>
      </c>
      <c r="CD182" t="str">
        <v>Overhead roller blinds for privacy</v>
      </c>
    </row>
    <row r="183" spans="1:82" ht="15.75" customHeight="1" x14ac:dyDescent="0.25">
      <c r="A183" s="9"/>
      <c r="B183" s="97"/>
      <c r="C183" s="9"/>
      <c r="D183" s="73"/>
      <c r="E183" s="73"/>
      <c r="F183" s="74"/>
      <c r="G183" s="74"/>
      <c r="H183" s="73"/>
      <c r="I183" s="3"/>
      <c r="J183" s="3"/>
      <c r="K183" s="3"/>
      <c r="L183" s="3"/>
      <c r="M183" t="str" cm="1">
        <f t="array" ref="M183:CD183">TRANSPOSE(_xlfn.UNIQUE(_xlfn._xlws.FILTER(Table4[Discipine Area],(Table4[Discipline No.]=C232)*(Table4[Discipline No.]=C232))))</f>
        <v>SALOON</v>
      </c>
      <c r="N183" t="str">
        <v>Companion door</v>
      </c>
      <c r="O183" t="str">
        <v>Fwd cockpit door</v>
      </c>
      <c r="P183" t="str">
        <v>Windows</v>
      </c>
      <c r="Q183" t="str">
        <v>U shape settee</v>
      </c>
      <c r="R183" t="str">
        <v>Saloon table</v>
      </c>
      <c r="S183" t="str">
        <v>Formica Bulkheads</v>
      </c>
      <c r="T183" t="str">
        <v>Magazine locker/shelf locker</v>
      </c>
      <c r="U183" t="str">
        <v>Vents</v>
      </c>
      <c r="V183" t="str">
        <v>Hullside vinyl panels</v>
      </c>
      <c r="W183" t="str">
        <v>Window blinds</v>
      </c>
      <c r="X183" t="str">
        <v>Nav desk</v>
      </c>
      <c r="Y183" t="str">
        <v>Chart table with storage locker under hinged lid</v>
      </c>
      <c r="Z183" t="str">
        <v>Storage locker under chart table</v>
      </c>
      <c r="AA183" t="str">
        <v xml:space="preserve">AC Outlets </v>
      </c>
      <c r="AB183" t="str">
        <v>Ottoman</v>
      </c>
      <c r="AC183" t="str">
        <v>Galley lockers</v>
      </c>
      <c r="AD183" t="str">
        <v>Stove locker</v>
      </c>
      <c r="AE183" t="str">
        <v>Draw locker</v>
      </c>
      <c r="AF183" t="str">
        <v>Fridge/Freezer locker</v>
      </c>
      <c r="AG183" t="str">
        <v>Microwave locker</v>
      </c>
      <c r="AH183" t="str">
        <v>Tv locker</v>
      </c>
      <c r="AI183" t="str">
        <v>AC/DC locker</v>
      </c>
      <c r="AJ183" t="str">
        <v>Vinyl ceiling</v>
      </c>
      <c r="AK183" t="str">
        <v>Floor</v>
      </c>
      <c r="AL183" t="str">
        <v>Large bowl s/s sink</v>
      </c>
      <c r="AM183" t="str">
        <v>Dish and cutlery drying recess with drainage</v>
      </c>
      <c r="AN183" t="str">
        <v>Cover for drying recess</v>
      </c>
      <c r="AO183" t="str">
        <v xml:space="preserve">Vitrifrigo 2 drawer front-opening fridge/freezer </v>
      </c>
      <c r="AP183" t="str">
        <v>Ice maker</v>
      </c>
      <c r="AQ183" t="str">
        <v>Wine cooler</v>
      </c>
      <c r="AR183" t="str">
        <v>Burner gas hob</v>
      </c>
      <c r="AS183" t="str">
        <v>Gas oven</v>
      </c>
      <c r="AT183" t="str">
        <v>Gas solenoid shut-off valve with control &amp; warning light at cooker</v>
      </c>
      <c r="AU183" t="str">
        <v xml:space="preserve">Formica steps </v>
      </c>
      <c r="AV183" t="str">
        <v>Gas detectors in each hull connected to alarm in saloon</v>
      </c>
      <c r="AW183" t="str">
        <v>Smoke detector/alarm</v>
      </c>
      <c r="AX183" t="str">
        <v>LED overhead lighting</v>
      </c>
      <c r="AY183" t="str">
        <v>CABIN/ STUDY/PASSAGE</v>
      </c>
      <c r="AZ183" t="str">
        <v>Inspection lids</v>
      </c>
      <c r="BA183" t="str">
        <v>Vinyl panels</v>
      </c>
      <c r="BB183" t="str">
        <v>Stairs</v>
      </c>
      <c r="BC183" t="str">
        <v>Bedside table outboard</v>
      </c>
      <c r="BD183" t="str">
        <v>Bedside cave locker inboard</v>
      </c>
      <c r="BE183" t="str">
        <v>Bunktop/Double berth</v>
      </c>
      <c r="BF183" t="str">
        <v>Hanging locker</v>
      </c>
      <c r="BG183" t="str">
        <v>Bunk Drawers</v>
      </c>
      <c r="BH183" t="str">
        <v>Cabin Door</v>
      </c>
      <c r="BI183" t="str">
        <v>Door frames</v>
      </c>
      <c r="BJ183" t="str">
        <v>Fiddles</v>
      </c>
      <c r="BK183" t="str">
        <v>Fan</v>
      </c>
      <c r="BL183" t="str">
        <v>Hatch</v>
      </c>
      <c r="BM183" t="str">
        <v>2 x LED reading lamps over bunk</v>
      </c>
      <c r="BN183" t="str">
        <v>Vanity table/desk with storage locker and mirror under lid</v>
      </c>
      <c r="BO183" t="str">
        <v>Fold up vanity mirror</v>
      </c>
      <c r="BP183" t="str">
        <v>Sliding entrance door with lock</v>
      </c>
      <c r="BQ183" t="str">
        <v>Doors</v>
      </c>
      <c r="BR183" t="str">
        <v>Large mirror behind sliding entrance door</v>
      </c>
      <c r="BS183" t="str">
        <v xml:space="preserve">HEADS </v>
      </c>
      <c r="BT183" t="str">
        <v>Under-basin locker with toilet roll holder</v>
      </c>
      <c r="BU183" t="str">
        <v>Vanity locker with mirror</v>
      </c>
      <c r="BV183" t="str">
        <v>Double towel rail</v>
      </c>
      <c r="BW183" t="str">
        <v>Sliding or hinged heads door</v>
      </c>
      <c r="BX183" t="str">
        <v>Washing machine locker</v>
      </c>
      <c r="BY183" t="str">
        <v>Dedicated trashcan locker</v>
      </c>
      <c r="BZ183" t="str">
        <v>Coat hook</v>
      </c>
      <c r="CA183" t="str">
        <v>Waste tank</v>
      </c>
      <c r="CB183" t="str">
        <v>Forepeak panel</v>
      </c>
      <c r="CC183" t="str">
        <v>Portlight with roller blind</v>
      </c>
      <c r="CD183" t="str">
        <v>Overhead roller blinds for privacy</v>
      </c>
    </row>
    <row r="184" spans="1:82" ht="15.75" customHeight="1" x14ac:dyDescent="0.25">
      <c r="A184" s="76"/>
      <c r="B184" s="97"/>
      <c r="C184" s="9"/>
      <c r="D184" s="73"/>
      <c r="E184" s="73"/>
      <c r="F184" s="74"/>
      <c r="G184" s="74"/>
      <c r="H184" s="3"/>
      <c r="I184" s="3"/>
      <c r="J184" s="3"/>
      <c r="K184" s="3"/>
      <c r="L184" s="3"/>
      <c r="M184" t="str" cm="1">
        <f t="array" ref="M184:CD184">TRANSPOSE(_xlfn.UNIQUE(_xlfn._xlws.FILTER(Table4[Discipine Area],(Table4[Discipline No.]=C233)*(Table4[Discipline No.]=C233))))</f>
        <v>SALOON</v>
      </c>
      <c r="N184" t="str">
        <v>Companion door</v>
      </c>
      <c r="O184" t="str">
        <v>Fwd cockpit door</v>
      </c>
      <c r="P184" t="str">
        <v>Windows</v>
      </c>
      <c r="Q184" t="str">
        <v>U shape settee</v>
      </c>
      <c r="R184" t="str">
        <v>Saloon table</v>
      </c>
      <c r="S184" t="str">
        <v>Formica Bulkheads</v>
      </c>
      <c r="T184" t="str">
        <v>Magazine locker/shelf locker</v>
      </c>
      <c r="U184" t="str">
        <v>Vents</v>
      </c>
      <c r="V184" t="str">
        <v>Hullside vinyl panels</v>
      </c>
      <c r="W184" t="str">
        <v>Window blinds</v>
      </c>
      <c r="X184" t="str">
        <v>Nav desk</v>
      </c>
      <c r="Y184" t="str">
        <v>Chart table with storage locker under hinged lid</v>
      </c>
      <c r="Z184" t="str">
        <v>Storage locker under chart table</v>
      </c>
      <c r="AA184" t="str">
        <v xml:space="preserve">AC Outlets </v>
      </c>
      <c r="AB184" t="str">
        <v>Ottoman</v>
      </c>
      <c r="AC184" t="str">
        <v>Galley lockers</v>
      </c>
      <c r="AD184" t="str">
        <v>Stove locker</v>
      </c>
      <c r="AE184" t="str">
        <v>Draw locker</v>
      </c>
      <c r="AF184" t="str">
        <v>Fridge/Freezer locker</v>
      </c>
      <c r="AG184" t="str">
        <v>Microwave locker</v>
      </c>
      <c r="AH184" t="str">
        <v>Tv locker</v>
      </c>
      <c r="AI184" t="str">
        <v>AC/DC locker</v>
      </c>
      <c r="AJ184" t="str">
        <v>Vinyl ceiling</v>
      </c>
      <c r="AK184" t="str">
        <v>Floor</v>
      </c>
      <c r="AL184" t="str">
        <v>Large bowl s/s sink</v>
      </c>
      <c r="AM184" t="str">
        <v>Dish and cutlery drying recess with drainage</v>
      </c>
      <c r="AN184" t="str">
        <v>Cover for drying recess</v>
      </c>
      <c r="AO184" t="str">
        <v xml:space="preserve">Vitrifrigo 2 drawer front-opening fridge/freezer </v>
      </c>
      <c r="AP184" t="str">
        <v>Ice maker</v>
      </c>
      <c r="AQ184" t="str">
        <v>Wine cooler</v>
      </c>
      <c r="AR184" t="str">
        <v>Burner gas hob</v>
      </c>
      <c r="AS184" t="str">
        <v>Gas oven</v>
      </c>
      <c r="AT184" t="str">
        <v>Gas solenoid shut-off valve with control &amp; warning light at cooker</v>
      </c>
      <c r="AU184" t="str">
        <v xml:space="preserve">Formica steps </v>
      </c>
      <c r="AV184" t="str">
        <v>Gas detectors in each hull connected to alarm in saloon</v>
      </c>
      <c r="AW184" t="str">
        <v>Smoke detector/alarm</v>
      </c>
      <c r="AX184" t="str">
        <v>LED overhead lighting</v>
      </c>
      <c r="AY184" t="str">
        <v>CABIN/ STUDY/PASSAGE</v>
      </c>
      <c r="AZ184" t="str">
        <v>Inspection lids</v>
      </c>
      <c r="BA184" t="str">
        <v>Vinyl panels</v>
      </c>
      <c r="BB184" t="str">
        <v>Stairs</v>
      </c>
      <c r="BC184" t="str">
        <v>Bedside table outboard</v>
      </c>
      <c r="BD184" t="str">
        <v>Bedside cave locker inboard</v>
      </c>
      <c r="BE184" t="str">
        <v>Bunktop/Double berth</v>
      </c>
      <c r="BF184" t="str">
        <v>Hanging locker</v>
      </c>
      <c r="BG184" t="str">
        <v>Bunk Drawers</v>
      </c>
      <c r="BH184" t="str">
        <v>Cabin Door</v>
      </c>
      <c r="BI184" t="str">
        <v>Door frames</v>
      </c>
      <c r="BJ184" t="str">
        <v>Fiddles</v>
      </c>
      <c r="BK184" t="str">
        <v>Fan</v>
      </c>
      <c r="BL184" t="str">
        <v>Hatch</v>
      </c>
      <c r="BM184" t="str">
        <v>2 x LED reading lamps over bunk</v>
      </c>
      <c r="BN184" t="str">
        <v>Vanity table/desk with storage locker and mirror under lid</v>
      </c>
      <c r="BO184" t="str">
        <v>Fold up vanity mirror</v>
      </c>
      <c r="BP184" t="str">
        <v>Sliding entrance door with lock</v>
      </c>
      <c r="BQ184" t="str">
        <v>Doors</v>
      </c>
      <c r="BR184" t="str">
        <v>Large mirror behind sliding entrance door</v>
      </c>
      <c r="BS184" t="str">
        <v xml:space="preserve">HEADS </v>
      </c>
      <c r="BT184" t="str">
        <v>Under-basin locker with toilet roll holder</v>
      </c>
      <c r="BU184" t="str">
        <v>Vanity locker with mirror</v>
      </c>
      <c r="BV184" t="str">
        <v>Double towel rail</v>
      </c>
      <c r="BW184" t="str">
        <v>Sliding or hinged heads door</v>
      </c>
      <c r="BX184" t="str">
        <v>Washing machine locker</v>
      </c>
      <c r="BY184" t="str">
        <v>Dedicated trashcan locker</v>
      </c>
      <c r="BZ184" t="str">
        <v>Coat hook</v>
      </c>
      <c r="CA184" t="str">
        <v>Waste tank</v>
      </c>
      <c r="CB184" t="str">
        <v>Forepeak panel</v>
      </c>
      <c r="CC184" t="str">
        <v>Portlight with roller blind</v>
      </c>
      <c r="CD184" t="str">
        <v>Overhead roller blinds for privacy</v>
      </c>
    </row>
    <row r="185" spans="1:82" ht="15" customHeight="1" x14ac:dyDescent="0.25">
      <c r="A185" s="131" t="s">
        <v>414</v>
      </c>
      <c r="B185" s="132"/>
      <c r="C185" s="132"/>
      <c r="D185" s="132"/>
      <c r="E185" s="132"/>
      <c r="F185" s="133"/>
      <c r="G185" s="3" t="s">
        <v>415</v>
      </c>
      <c r="H185" s="141"/>
      <c r="I185" s="142"/>
      <c r="J185" s="134" t="s">
        <v>416</v>
      </c>
      <c r="K185" s="135"/>
      <c r="L185" s="136"/>
      <c r="M185" t="e" cm="1" vm="1">
        <f t="array" ref="M185">TRANSPOSE(_xlfn.UNIQUE(_xlfn._xlws.FILTER(Table4[Discipine Area],(Table4[Discipline No.]=C185)*(Table4[Discipline No.]=C185))))</f>
        <v>#VALUE!</v>
      </c>
    </row>
    <row r="186" spans="1:82" ht="15" customHeight="1" x14ac:dyDescent="0.25">
      <c r="A186" s="127" t="s">
        <v>0</v>
      </c>
      <c r="B186" s="127" t="s">
        <v>1</v>
      </c>
      <c r="C186" s="129" t="s">
        <v>2</v>
      </c>
      <c r="D186" s="129" t="s">
        <v>3</v>
      </c>
      <c r="E186" s="129" t="s">
        <v>4</v>
      </c>
      <c r="F186" s="129" t="s">
        <v>410</v>
      </c>
      <c r="G186" s="139" t="s">
        <v>216</v>
      </c>
      <c r="H186" s="139" t="s">
        <v>6</v>
      </c>
      <c r="I186" s="139" t="s">
        <v>7</v>
      </c>
      <c r="J186" s="137" t="s">
        <v>8</v>
      </c>
      <c r="K186" s="138" t="s">
        <v>9</v>
      </c>
      <c r="L186" s="138"/>
      <c r="M186" t="e" cm="1" vm="1">
        <f t="array" ref="M186">TRANSPOSE(_xlfn.UNIQUE(_xlfn._xlws.FILTER(Table4[Discipine Area],(Table4[Discipline No.]=C237)*(Table4[Discipline No.]=C237))))</f>
        <v>#VALUE!</v>
      </c>
    </row>
    <row r="187" spans="1:82" ht="15" customHeight="1" x14ac:dyDescent="0.25">
      <c r="A187" s="128"/>
      <c r="B187" s="128"/>
      <c r="C187" s="130"/>
      <c r="D187" s="130"/>
      <c r="E187" s="130"/>
      <c r="F187" s="130"/>
      <c r="G187" s="140"/>
      <c r="H187" s="140"/>
      <c r="I187" s="140"/>
      <c r="J187" s="137"/>
      <c r="K187" s="78" t="s">
        <v>10</v>
      </c>
      <c r="L187" s="78" t="s">
        <v>11</v>
      </c>
      <c r="M187" t="e" cm="1" vm="1">
        <f t="array" ref="M187">TRANSPOSE(_xlfn.UNIQUE(_xlfn._xlws.FILTER(Table4[Discipine Area],(Table4[Discipline No.]=C238)*(Table4[Discipline No.]=C238))))</f>
        <v>#VALUE!</v>
      </c>
    </row>
    <row r="188" spans="1:82" ht="27" customHeight="1" x14ac:dyDescent="0.25">
      <c r="A188" s="76"/>
      <c r="B188" s="113" t="s">
        <v>520</v>
      </c>
      <c r="C188" s="9"/>
      <c r="D188" s="73"/>
      <c r="E188" s="73"/>
      <c r="F188" s="73"/>
      <c r="G188" s="74"/>
      <c r="H188" s="75"/>
      <c r="I188" s="3"/>
      <c r="J188" s="3"/>
      <c r="K188" s="3"/>
      <c r="L188" s="3"/>
      <c r="M188" t="e" cm="1" vm="1">
        <f t="array" ref="M188">TRANSPOSE(_xlfn.UNIQUE(_xlfn._xlws.FILTER(Table4[Discipine Area],(Table4[Discipline No.]=C249)*(Table4[Discipline No.]=C249))))</f>
        <v>#VALUE!</v>
      </c>
    </row>
    <row r="189" spans="1:82" ht="16.5" customHeight="1" x14ac:dyDescent="0.25">
      <c r="A189" s="76"/>
      <c r="B189" s="116"/>
      <c r="C189" s="9"/>
      <c r="D189" s="73"/>
      <c r="E189" s="73"/>
      <c r="F189" s="73"/>
      <c r="G189" s="74"/>
      <c r="H189" s="75"/>
      <c r="I189" s="3"/>
      <c r="J189" s="3"/>
      <c r="K189" s="3"/>
      <c r="L189" s="3"/>
      <c r="M189" t="e" cm="1" vm="1">
        <f t="array" ref="M189">TRANSPOSE(_xlfn.UNIQUE(_xlfn._xlws.FILTER(Table4[Discipine Area],(Table4[Discipline No.]=C250)*(Table4[Discipline No.]=C250))))</f>
        <v>#VALUE!</v>
      </c>
    </row>
    <row r="190" spans="1:82" ht="28.5" customHeight="1" x14ac:dyDescent="0.25">
      <c r="A190" s="76"/>
      <c r="B190" s="143"/>
      <c r="C190" s="9"/>
      <c r="D190" s="73"/>
      <c r="E190" s="73"/>
      <c r="F190" s="73"/>
      <c r="G190" s="74"/>
      <c r="H190" s="75"/>
      <c r="I190" s="3"/>
      <c r="J190" s="3"/>
      <c r="K190" s="3"/>
      <c r="L190" s="3"/>
      <c r="M190" t="e" cm="1" vm="1">
        <f t="array" ref="M190">TRANSPOSE(_xlfn.UNIQUE(_xlfn._xlws.FILTER(Table4[Discipine Area],(Table4[Discipline No.]=C251)*(Table4[Discipline No.]=C251))))</f>
        <v>#VALUE!</v>
      </c>
    </row>
    <row r="191" spans="1:82" x14ac:dyDescent="0.25">
      <c r="A191" s="76"/>
      <c r="B191" s="115"/>
      <c r="C191" s="9"/>
      <c r="D191" s="73"/>
      <c r="E191" s="73"/>
      <c r="F191" s="73"/>
      <c r="G191" s="74"/>
      <c r="H191" s="75"/>
      <c r="I191" s="3"/>
      <c r="J191" s="3"/>
      <c r="K191" s="3"/>
      <c r="L191" s="3"/>
      <c r="M191" t="e" cm="1">
        <f t="array" ref="M191">TRANSPOSE(_xlfn.UNIQUE(_xlfn._xlws.FILTER(Table4[Discipine Area],(Table4[Discipline No.]=#REF!)*(Table4[Discipline No.]=#REF!))))</f>
        <v>#REF!</v>
      </c>
    </row>
    <row r="192" spans="1:82" ht="30" x14ac:dyDescent="0.25">
      <c r="A192" s="76"/>
      <c r="B192" s="116"/>
      <c r="C192" s="9">
        <v>3</v>
      </c>
      <c r="D192" s="73" t="s">
        <v>112</v>
      </c>
      <c r="E192" s="73" t="s">
        <v>301</v>
      </c>
      <c r="F192" s="73"/>
      <c r="G192" s="74" t="s">
        <v>492</v>
      </c>
      <c r="H192" s="75"/>
      <c r="I192" s="3"/>
      <c r="J192" s="3"/>
      <c r="K192" s="3"/>
      <c r="L192" s="3"/>
      <c r="M192" t="e" cm="1">
        <f t="array" ref="M192">TRANSPOSE(_xlfn.UNIQUE(_xlfn._xlws.FILTER(Table4[Discipine Area],(Table4[Discipline No.]=#REF!)*(Table4[Discipline No.]=#REF!))))</f>
        <v>#REF!</v>
      </c>
    </row>
    <row r="193" spans="1:82" ht="25.5" customHeight="1" x14ac:dyDescent="0.25">
      <c r="A193" s="76"/>
      <c r="B193" s="116"/>
      <c r="C193" s="9">
        <v>3</v>
      </c>
      <c r="D193" s="73" t="s">
        <v>112</v>
      </c>
      <c r="E193" s="73" t="s">
        <v>213</v>
      </c>
      <c r="F193" s="73"/>
      <c r="G193" s="74" t="s">
        <v>521</v>
      </c>
      <c r="H193" s="75"/>
      <c r="I193" s="3"/>
      <c r="J193" s="3"/>
      <c r="K193" s="3"/>
      <c r="L193" s="3"/>
      <c r="M193" t="e" cm="1">
        <f t="array" ref="M193">TRANSPOSE(_xlfn.UNIQUE(_xlfn._xlws.FILTER(Table4[Discipine Area],(Table4[Discipline No.]=#REF!)*(Table4[Discipline No.]=#REF!))))</f>
        <v>#REF!</v>
      </c>
    </row>
    <row r="194" spans="1:82" ht="15" customHeight="1" x14ac:dyDescent="0.25">
      <c r="A194" s="76"/>
      <c r="B194" s="115"/>
      <c r="C194" s="9">
        <v>3</v>
      </c>
      <c r="D194" s="73" t="s">
        <v>112</v>
      </c>
      <c r="E194" s="73" t="s">
        <v>298</v>
      </c>
      <c r="F194" s="73"/>
      <c r="G194" s="74" t="s">
        <v>522</v>
      </c>
      <c r="H194" s="75"/>
      <c r="I194" s="3"/>
      <c r="J194" s="3"/>
      <c r="K194" s="3"/>
      <c r="L194" s="3"/>
      <c r="M194" t="e" cm="1">
        <f t="array" ref="M194">TRANSPOSE(_xlfn.UNIQUE(_xlfn._xlws.FILTER(Table4[Discipine Area],(Table4[Discipline No.]=#REF!)*(Table4[Discipline No.]=#REF!))))</f>
        <v>#REF!</v>
      </c>
    </row>
    <row r="195" spans="1:82" ht="27" customHeight="1" x14ac:dyDescent="0.25">
      <c r="A195" s="76"/>
      <c r="B195" s="115"/>
      <c r="C195" s="9">
        <v>3</v>
      </c>
      <c r="D195" s="73" t="s">
        <v>384</v>
      </c>
      <c r="E195" s="73" t="s">
        <v>301</v>
      </c>
      <c r="F195" s="73"/>
      <c r="G195" s="74" t="s">
        <v>523</v>
      </c>
      <c r="H195" s="75"/>
      <c r="I195" s="3"/>
      <c r="J195" s="3"/>
      <c r="K195" s="3"/>
      <c r="L195" s="3"/>
      <c r="M195" t="e" cm="1" vm="1">
        <f t="array" ref="M195">TRANSPOSE(_xlfn.UNIQUE(_xlfn._xlws.FILTER(Table4[Discipine Area],(Table4[Discipline No.]=C252)*(Table4[Discipline No.]=C252))))</f>
        <v>#VALUE!</v>
      </c>
    </row>
    <row r="196" spans="1:82" ht="15" customHeight="1" x14ac:dyDescent="0.25">
      <c r="A196" s="76"/>
      <c r="B196" s="116"/>
      <c r="C196" s="9">
        <v>3</v>
      </c>
      <c r="D196" s="73" t="s">
        <v>110</v>
      </c>
      <c r="E196" s="73" t="s">
        <v>362</v>
      </c>
      <c r="F196" s="73"/>
      <c r="G196" s="74" t="s">
        <v>524</v>
      </c>
      <c r="H196" s="75"/>
      <c r="I196" s="3"/>
      <c r="J196" s="3"/>
      <c r="K196" s="3"/>
      <c r="L196" s="3"/>
      <c r="M196" t="e" cm="1">
        <f t="array" ref="M196">TRANSPOSE(_xlfn.UNIQUE(_xlfn._xlws.FILTER(Table4[Discipine Area],(Table4[Discipline No.]=#REF!)*(Table4[Discipline No.]=#REF!))))</f>
        <v>#REF!</v>
      </c>
    </row>
    <row r="197" spans="1:82" ht="15" customHeight="1" x14ac:dyDescent="0.25">
      <c r="A197" s="76"/>
      <c r="B197" s="116"/>
      <c r="C197" s="9">
        <v>3</v>
      </c>
      <c r="D197" s="73" t="s">
        <v>109</v>
      </c>
      <c r="E197" s="73" t="s">
        <v>300</v>
      </c>
      <c r="F197" s="73"/>
      <c r="G197" s="74" t="s">
        <v>525</v>
      </c>
      <c r="H197" s="75"/>
      <c r="I197" s="3"/>
      <c r="J197" s="3"/>
      <c r="K197" s="3"/>
      <c r="L197" s="3"/>
    </row>
    <row r="198" spans="1:82" ht="27" customHeight="1" x14ac:dyDescent="0.25">
      <c r="A198" s="76"/>
      <c r="B198" s="116"/>
      <c r="C198" s="9">
        <v>3</v>
      </c>
      <c r="D198" s="73" t="s">
        <v>109</v>
      </c>
      <c r="E198" s="73" t="s">
        <v>299</v>
      </c>
      <c r="F198" s="73"/>
      <c r="G198" s="74" t="s">
        <v>526</v>
      </c>
      <c r="H198" s="75"/>
      <c r="I198" s="3"/>
      <c r="J198" s="3"/>
      <c r="K198" s="3"/>
      <c r="L198" s="3"/>
      <c r="M198" t="e" cm="1">
        <f t="array" ref="M198">TRANSPOSE(_xlfn.UNIQUE(_xlfn._xlws.FILTER(Table4[Discipine Area],(Table4[Discipline No.]=#REF!)*(Table4[Discipline No.]=#REF!))))</f>
        <v>#REF!</v>
      </c>
    </row>
    <row r="199" spans="1:82" ht="27" customHeight="1" x14ac:dyDescent="0.25">
      <c r="A199" s="76"/>
      <c r="B199" s="144"/>
      <c r="C199" s="9">
        <v>3</v>
      </c>
      <c r="D199" s="73" t="s">
        <v>339</v>
      </c>
      <c r="E199" s="73" t="s">
        <v>301</v>
      </c>
      <c r="F199" s="73"/>
      <c r="G199" s="74" t="s">
        <v>527</v>
      </c>
      <c r="H199" s="75"/>
      <c r="I199" s="3"/>
      <c r="J199" s="3"/>
      <c r="K199" s="3"/>
      <c r="L199" s="3"/>
      <c r="M199" t="e" cm="1">
        <f t="array" ref="M199">TRANSPOSE(_xlfn.UNIQUE(_xlfn._xlws.FILTER(Table4[Discipine Area],(Table4[Discipline No.]=#REF!)*(Table4[Discipline No.]=#REF!))))</f>
        <v>#REF!</v>
      </c>
    </row>
    <row r="200" spans="1:82" ht="16.5" customHeight="1" x14ac:dyDescent="0.25">
      <c r="A200" s="76"/>
      <c r="B200" s="115"/>
      <c r="C200" s="9">
        <v>3</v>
      </c>
      <c r="D200" s="73" t="s">
        <v>262</v>
      </c>
      <c r="E200" s="73" t="s">
        <v>215</v>
      </c>
      <c r="F200" s="73"/>
      <c r="G200" s="74" t="s">
        <v>513</v>
      </c>
      <c r="H200" s="75"/>
      <c r="I200" s="3"/>
      <c r="J200" s="3"/>
      <c r="K200" s="3"/>
      <c r="L200" s="3"/>
      <c r="M200" t="str" cm="1">
        <f t="array" ref="M200:CD200">TRANSPOSE(_xlfn.UNIQUE(_xlfn._xlws.FILTER(Table4[Discipine Area],(Table4[Discipline No.]=C261)*(Table4[Discipline No.]=C261))))</f>
        <v>SALOON</v>
      </c>
      <c r="N200" t="str">
        <v>Companion door</v>
      </c>
      <c r="O200" t="str">
        <v>Fwd cockpit door</v>
      </c>
      <c r="P200" t="str">
        <v>Windows</v>
      </c>
      <c r="Q200" t="str">
        <v>U shape settee</v>
      </c>
      <c r="R200" t="str">
        <v>Saloon table</v>
      </c>
      <c r="S200" t="str">
        <v>Formica Bulkheads</v>
      </c>
      <c r="T200" t="str">
        <v>Magazine locker/shelf locker</v>
      </c>
      <c r="U200" t="str">
        <v>Vents</v>
      </c>
      <c r="V200" t="str">
        <v>Hullside vinyl panels</v>
      </c>
      <c r="W200" t="str">
        <v>Window blinds</v>
      </c>
      <c r="X200" t="str">
        <v>Nav desk</v>
      </c>
      <c r="Y200" t="str">
        <v>Chart table with storage locker under hinged lid</v>
      </c>
      <c r="Z200" t="str">
        <v>Storage locker under chart table</v>
      </c>
      <c r="AA200" t="str">
        <v xml:space="preserve">AC Outlets </v>
      </c>
      <c r="AB200" t="str">
        <v>Ottoman</v>
      </c>
      <c r="AC200" t="str">
        <v>Galley lockers</v>
      </c>
      <c r="AD200" t="str">
        <v>Stove locker</v>
      </c>
      <c r="AE200" t="str">
        <v>Draw locker</v>
      </c>
      <c r="AF200" t="str">
        <v>Fridge/Freezer locker</v>
      </c>
      <c r="AG200" t="str">
        <v>Microwave locker</v>
      </c>
      <c r="AH200" t="str">
        <v>Tv locker</v>
      </c>
      <c r="AI200" t="str">
        <v>AC/DC locker</v>
      </c>
      <c r="AJ200" t="str">
        <v>Vinyl ceiling</v>
      </c>
      <c r="AK200" t="str">
        <v>Floor</v>
      </c>
      <c r="AL200" t="str">
        <v>Large bowl s/s sink</v>
      </c>
      <c r="AM200" t="str">
        <v>Dish and cutlery drying recess with drainage</v>
      </c>
      <c r="AN200" t="str">
        <v>Cover for drying recess</v>
      </c>
      <c r="AO200" t="str">
        <v xml:space="preserve">Vitrifrigo 2 drawer front-opening fridge/freezer </v>
      </c>
      <c r="AP200" t="str">
        <v>Ice maker</v>
      </c>
      <c r="AQ200" t="str">
        <v>Wine cooler</v>
      </c>
      <c r="AR200" t="str">
        <v>Burner gas hob</v>
      </c>
      <c r="AS200" t="str">
        <v>Gas oven</v>
      </c>
      <c r="AT200" t="str">
        <v>Gas solenoid shut-off valve with control &amp; warning light at cooker</v>
      </c>
      <c r="AU200" t="str">
        <v xml:space="preserve">Formica steps </v>
      </c>
      <c r="AV200" t="str">
        <v>Gas detectors in each hull connected to alarm in saloon</v>
      </c>
      <c r="AW200" t="str">
        <v>Smoke detector/alarm</v>
      </c>
      <c r="AX200" t="str">
        <v>LED overhead lighting</v>
      </c>
      <c r="AY200" t="str">
        <v>CABIN/ STUDY/PASSAGE</v>
      </c>
      <c r="AZ200" t="str">
        <v>Inspection lids</v>
      </c>
      <c r="BA200" t="str">
        <v>Vinyl panels</v>
      </c>
      <c r="BB200" t="str">
        <v>Stairs</v>
      </c>
      <c r="BC200" t="str">
        <v>Bedside table outboard</v>
      </c>
      <c r="BD200" t="str">
        <v>Bedside cave locker inboard</v>
      </c>
      <c r="BE200" t="str">
        <v>Bunktop/Double berth</v>
      </c>
      <c r="BF200" t="str">
        <v>Hanging locker</v>
      </c>
      <c r="BG200" t="str">
        <v>Bunk Drawers</v>
      </c>
      <c r="BH200" t="str">
        <v>Cabin Door</v>
      </c>
      <c r="BI200" t="str">
        <v>Door frames</v>
      </c>
      <c r="BJ200" t="str">
        <v>Fiddles</v>
      </c>
      <c r="BK200" t="str">
        <v>Fan</v>
      </c>
      <c r="BL200" t="str">
        <v>Hatch</v>
      </c>
      <c r="BM200" t="str">
        <v>2 x LED reading lamps over bunk</v>
      </c>
      <c r="BN200" t="str">
        <v>Vanity table/desk with storage locker and mirror under lid</v>
      </c>
      <c r="BO200" t="str">
        <v>Fold up vanity mirror</v>
      </c>
      <c r="BP200" t="str">
        <v>Sliding entrance door with lock</v>
      </c>
      <c r="BQ200" t="str">
        <v>Doors</v>
      </c>
      <c r="BR200" t="str">
        <v>Large mirror behind sliding entrance door</v>
      </c>
      <c r="BS200" t="str">
        <v xml:space="preserve">HEADS </v>
      </c>
      <c r="BT200" t="str">
        <v>Under-basin locker with toilet roll holder</v>
      </c>
      <c r="BU200" t="str">
        <v>Vanity locker with mirror</v>
      </c>
      <c r="BV200" t="str">
        <v>Double towel rail</v>
      </c>
      <c r="BW200" t="str">
        <v>Sliding or hinged heads door</v>
      </c>
      <c r="BX200" t="str">
        <v>Washing machine locker</v>
      </c>
      <c r="BY200" t="str">
        <v>Dedicated trashcan locker</v>
      </c>
      <c r="BZ200" t="str">
        <v>Coat hook</v>
      </c>
      <c r="CA200" t="str">
        <v>Waste tank</v>
      </c>
      <c r="CB200" t="str">
        <v>Forepeak panel</v>
      </c>
      <c r="CC200" t="str">
        <v>Portlight with roller blind</v>
      </c>
      <c r="CD200" t="str">
        <v>Overhead roller blinds for privacy</v>
      </c>
    </row>
    <row r="201" spans="1:82" x14ac:dyDescent="0.25">
      <c r="A201" s="76"/>
      <c r="B201" s="116"/>
      <c r="C201" s="9">
        <v>1</v>
      </c>
      <c r="D201" s="73" t="s">
        <v>39</v>
      </c>
      <c r="E201" s="73" t="s">
        <v>296</v>
      </c>
      <c r="F201" s="73"/>
      <c r="G201" s="74" t="s">
        <v>528</v>
      </c>
      <c r="H201" s="75"/>
      <c r="I201" s="3"/>
      <c r="J201" s="3"/>
      <c r="K201" s="3"/>
      <c r="L201" s="3"/>
      <c r="M201" t="e" cm="1">
        <f t="array" ref="M201">TRANSPOSE(_xlfn.UNIQUE(_xlfn._xlws.FILTER(Table4[Discipine Area],(Table4[Discipline No.]=#REF!)*(Table4[Discipline No.]=#REF!))))</f>
        <v>#REF!</v>
      </c>
    </row>
    <row r="202" spans="1:82" ht="28.5" customHeight="1" x14ac:dyDescent="0.25">
      <c r="A202" s="76"/>
      <c r="B202" s="115"/>
      <c r="C202" s="9">
        <v>3</v>
      </c>
      <c r="D202" s="73" t="s">
        <v>117</v>
      </c>
      <c r="E202" s="73" t="s">
        <v>362</v>
      </c>
      <c r="F202" s="73"/>
      <c r="G202" s="74" t="s">
        <v>529</v>
      </c>
      <c r="H202" s="75"/>
      <c r="I202" s="3"/>
      <c r="J202" s="3"/>
      <c r="K202" s="3"/>
      <c r="L202" s="3"/>
      <c r="M202" t="e" cm="1" vm="1">
        <f t="array" ref="M202">TRANSPOSE(_xlfn.UNIQUE(_xlfn._xlws.FILTER(Table4[Discipine Area],(Table4[Discipline No.]=C254)*(Table4[Discipline No.]=C254))))</f>
        <v>#VALUE!</v>
      </c>
    </row>
    <row r="203" spans="1:82" ht="15" customHeight="1" x14ac:dyDescent="0.25">
      <c r="A203" s="76"/>
      <c r="B203" s="115"/>
      <c r="C203" s="9">
        <v>3</v>
      </c>
      <c r="D203" s="73" t="s">
        <v>333</v>
      </c>
      <c r="E203" s="73" t="s">
        <v>300</v>
      </c>
      <c r="F203" s="73"/>
      <c r="G203" s="74" t="s">
        <v>530</v>
      </c>
      <c r="H203" s="75"/>
      <c r="I203" s="3"/>
      <c r="J203" s="3"/>
      <c r="K203" s="3"/>
      <c r="L203" s="3"/>
      <c r="M203" t="e" cm="1" vm="1">
        <f t="array" ref="M203">TRANSPOSE(_xlfn.UNIQUE(_xlfn._xlws.FILTER(Table4[Discipine Area],(Table4[Discipline No.]=C255)*(Table4[Discipline No.]=C255))))</f>
        <v>#VALUE!</v>
      </c>
    </row>
    <row r="204" spans="1:82" ht="15" customHeight="1" x14ac:dyDescent="0.25">
      <c r="A204" s="76"/>
      <c r="B204" s="116"/>
      <c r="C204" s="9"/>
      <c r="D204" s="73"/>
      <c r="E204" s="73"/>
      <c r="F204" s="73"/>
      <c r="G204" s="74"/>
      <c r="H204" s="75"/>
      <c r="I204" s="3"/>
      <c r="J204" s="3"/>
      <c r="K204" s="3"/>
      <c r="L204" s="3"/>
      <c r="M204" t="e" cm="1" vm="1">
        <f t="array" ref="M204">TRANSPOSE(_xlfn.UNIQUE(_xlfn._xlws.FILTER(Table4[Discipine Area],(Table4[Discipline No.]=C256)*(Table4[Discipline No.]=C256))))</f>
        <v>#VALUE!</v>
      </c>
    </row>
    <row r="205" spans="1:82" ht="15" customHeight="1" x14ac:dyDescent="0.25">
      <c r="A205" s="76"/>
      <c r="B205" s="115"/>
      <c r="C205" s="9"/>
      <c r="D205" s="73"/>
      <c r="E205" s="73"/>
      <c r="F205" s="73"/>
      <c r="G205" s="74"/>
      <c r="H205" s="75"/>
      <c r="I205" s="3"/>
      <c r="J205" s="3"/>
      <c r="K205" s="3"/>
      <c r="L205" s="3"/>
      <c r="M205" t="e" cm="1" vm="1">
        <f t="array" ref="M205">TRANSPOSE(_xlfn.UNIQUE(_xlfn._xlws.FILTER(Table4[Discipine Area],(Table4[Discipline No.]=C257)*(Table4[Discipline No.]=C257))))</f>
        <v>#VALUE!</v>
      </c>
    </row>
    <row r="206" spans="1:82" ht="15" customHeight="1" x14ac:dyDescent="0.25">
      <c r="A206" s="76"/>
      <c r="B206" s="115"/>
      <c r="C206" s="9"/>
      <c r="D206" s="73"/>
      <c r="E206" s="73"/>
      <c r="F206" s="73"/>
      <c r="G206" s="74"/>
      <c r="H206" s="75"/>
      <c r="I206" s="3"/>
      <c r="J206" s="3"/>
      <c r="K206" s="3"/>
      <c r="L206" s="3"/>
      <c r="M206" t="e" cm="1" vm="1">
        <f t="array" ref="M206">TRANSPOSE(_xlfn.UNIQUE(_xlfn._xlws.FILTER(Table4[Discipine Area],(Table4[Discipline No.]=C258)*(Table4[Discipline No.]=C258))))</f>
        <v>#VALUE!</v>
      </c>
    </row>
    <row r="207" spans="1:82" ht="15" customHeight="1" x14ac:dyDescent="0.25">
      <c r="A207" s="76"/>
      <c r="B207" s="115"/>
      <c r="C207" s="9"/>
      <c r="D207" s="73"/>
      <c r="E207" s="73"/>
      <c r="F207" s="73"/>
      <c r="G207" s="74"/>
      <c r="H207" s="75"/>
      <c r="I207" s="3"/>
      <c r="J207" s="3"/>
      <c r="K207" s="3"/>
      <c r="L207" s="3"/>
      <c r="M207" t="str" cm="1">
        <f t="array" ref="M207:CD207">TRANSPOSE(_xlfn.UNIQUE(_xlfn._xlws.FILTER(Table4[Discipine Area],(Table4[Discipline No.]=C259)*(Table4[Discipline No.]=C259))))</f>
        <v>SALOON</v>
      </c>
      <c r="N207" t="str">
        <v>Companion door</v>
      </c>
      <c r="O207" t="str">
        <v>Fwd cockpit door</v>
      </c>
      <c r="P207" t="str">
        <v>Windows</v>
      </c>
      <c r="Q207" t="str">
        <v>U shape settee</v>
      </c>
      <c r="R207" t="str">
        <v>Saloon table</v>
      </c>
      <c r="S207" t="str">
        <v>Formica Bulkheads</v>
      </c>
      <c r="T207" t="str">
        <v>Magazine locker/shelf locker</v>
      </c>
      <c r="U207" t="str">
        <v>Vents</v>
      </c>
      <c r="V207" t="str">
        <v>Hullside vinyl panels</v>
      </c>
      <c r="W207" t="str">
        <v>Window blinds</v>
      </c>
      <c r="X207" t="str">
        <v>Nav desk</v>
      </c>
      <c r="Y207" t="str">
        <v>Chart table with storage locker under hinged lid</v>
      </c>
      <c r="Z207" t="str">
        <v>Storage locker under chart table</v>
      </c>
      <c r="AA207" t="str">
        <v xml:space="preserve">AC Outlets </v>
      </c>
      <c r="AB207" t="str">
        <v>Ottoman</v>
      </c>
      <c r="AC207" t="str">
        <v>Galley lockers</v>
      </c>
      <c r="AD207" t="str">
        <v>Stove locker</v>
      </c>
      <c r="AE207" t="str">
        <v>Draw locker</v>
      </c>
      <c r="AF207" t="str">
        <v>Fridge/Freezer locker</v>
      </c>
      <c r="AG207" t="str">
        <v>Microwave locker</v>
      </c>
      <c r="AH207" t="str">
        <v>Tv locker</v>
      </c>
      <c r="AI207" t="str">
        <v>AC/DC locker</v>
      </c>
      <c r="AJ207" t="str">
        <v>Vinyl ceiling</v>
      </c>
      <c r="AK207" t="str">
        <v>Floor</v>
      </c>
      <c r="AL207" t="str">
        <v>Large bowl s/s sink</v>
      </c>
      <c r="AM207" t="str">
        <v>Dish and cutlery drying recess with drainage</v>
      </c>
      <c r="AN207" t="str">
        <v>Cover for drying recess</v>
      </c>
      <c r="AO207" t="str">
        <v xml:space="preserve">Vitrifrigo 2 drawer front-opening fridge/freezer </v>
      </c>
      <c r="AP207" t="str">
        <v>Ice maker</v>
      </c>
      <c r="AQ207" t="str">
        <v>Wine cooler</v>
      </c>
      <c r="AR207" t="str">
        <v>Burner gas hob</v>
      </c>
      <c r="AS207" t="str">
        <v>Gas oven</v>
      </c>
      <c r="AT207" t="str">
        <v>Gas solenoid shut-off valve with control &amp; warning light at cooker</v>
      </c>
      <c r="AU207" t="str">
        <v xml:space="preserve">Formica steps </v>
      </c>
      <c r="AV207" t="str">
        <v>Gas detectors in each hull connected to alarm in saloon</v>
      </c>
      <c r="AW207" t="str">
        <v>Smoke detector/alarm</v>
      </c>
      <c r="AX207" t="str">
        <v>LED overhead lighting</v>
      </c>
      <c r="AY207" t="str">
        <v>CABIN/ STUDY/PASSAGE</v>
      </c>
      <c r="AZ207" t="str">
        <v>Inspection lids</v>
      </c>
      <c r="BA207" t="str">
        <v>Vinyl panels</v>
      </c>
      <c r="BB207" t="str">
        <v>Stairs</v>
      </c>
      <c r="BC207" t="str">
        <v>Bedside table outboard</v>
      </c>
      <c r="BD207" t="str">
        <v>Bedside cave locker inboard</v>
      </c>
      <c r="BE207" t="str">
        <v>Bunktop/Double berth</v>
      </c>
      <c r="BF207" t="str">
        <v>Hanging locker</v>
      </c>
      <c r="BG207" t="str">
        <v>Bunk Drawers</v>
      </c>
      <c r="BH207" t="str">
        <v>Cabin Door</v>
      </c>
      <c r="BI207" t="str">
        <v>Door frames</v>
      </c>
      <c r="BJ207" t="str">
        <v>Fiddles</v>
      </c>
      <c r="BK207" t="str">
        <v>Fan</v>
      </c>
      <c r="BL207" t="str">
        <v>Hatch</v>
      </c>
      <c r="BM207" t="str">
        <v>2 x LED reading lamps over bunk</v>
      </c>
      <c r="BN207" t="str">
        <v>Vanity table/desk with storage locker and mirror under lid</v>
      </c>
      <c r="BO207" t="str">
        <v>Fold up vanity mirror</v>
      </c>
      <c r="BP207" t="str">
        <v>Sliding entrance door with lock</v>
      </c>
      <c r="BQ207" t="str">
        <v>Doors</v>
      </c>
      <c r="BR207" t="str">
        <v>Large mirror behind sliding entrance door</v>
      </c>
      <c r="BS207" t="str">
        <v xml:space="preserve">HEADS </v>
      </c>
      <c r="BT207" t="str">
        <v>Under-basin locker with toilet roll holder</v>
      </c>
      <c r="BU207" t="str">
        <v>Vanity locker with mirror</v>
      </c>
      <c r="BV207" t="str">
        <v>Double towel rail</v>
      </c>
      <c r="BW207" t="str">
        <v>Sliding or hinged heads door</v>
      </c>
      <c r="BX207" t="str">
        <v>Washing machine locker</v>
      </c>
      <c r="BY207" t="str">
        <v>Dedicated trashcan locker</v>
      </c>
      <c r="BZ207" t="str">
        <v>Coat hook</v>
      </c>
      <c r="CA207" t="str">
        <v>Waste tank</v>
      </c>
      <c r="CB207" t="str">
        <v>Forepeak panel</v>
      </c>
      <c r="CC207" t="str">
        <v>Portlight with roller blind</v>
      </c>
      <c r="CD207" t="str">
        <v>Overhead roller blinds for privacy</v>
      </c>
    </row>
    <row r="208" spans="1:82" ht="15" customHeight="1" x14ac:dyDescent="0.25">
      <c r="A208" s="76"/>
      <c r="B208" s="115"/>
      <c r="C208" s="9"/>
      <c r="D208" s="73"/>
      <c r="E208" s="73"/>
      <c r="F208" s="73"/>
      <c r="G208" s="74"/>
      <c r="H208" s="75"/>
      <c r="I208" s="3"/>
      <c r="J208" s="3"/>
      <c r="K208" s="3"/>
      <c r="L208" s="3"/>
      <c r="M208" t="str" cm="1">
        <f t="array" ref="M208:CD208">TRANSPOSE(_xlfn.UNIQUE(_xlfn._xlws.FILTER(Table4[Discipine Area],(Table4[Discipline No.]=C260)*(Table4[Discipline No.]=C260))))</f>
        <v>SALOON</v>
      </c>
      <c r="N208" t="str">
        <v>Companion door</v>
      </c>
      <c r="O208" t="str">
        <v>Fwd cockpit door</v>
      </c>
      <c r="P208" t="str">
        <v>Windows</v>
      </c>
      <c r="Q208" t="str">
        <v>U shape settee</v>
      </c>
      <c r="R208" t="str">
        <v>Saloon table</v>
      </c>
      <c r="S208" t="str">
        <v>Formica Bulkheads</v>
      </c>
      <c r="T208" t="str">
        <v>Magazine locker/shelf locker</v>
      </c>
      <c r="U208" t="str">
        <v>Vents</v>
      </c>
      <c r="V208" t="str">
        <v>Hullside vinyl panels</v>
      </c>
      <c r="W208" t="str">
        <v>Window blinds</v>
      </c>
      <c r="X208" t="str">
        <v>Nav desk</v>
      </c>
      <c r="Y208" t="str">
        <v>Chart table with storage locker under hinged lid</v>
      </c>
      <c r="Z208" t="str">
        <v>Storage locker under chart table</v>
      </c>
      <c r="AA208" t="str">
        <v xml:space="preserve">AC Outlets </v>
      </c>
      <c r="AB208" t="str">
        <v>Ottoman</v>
      </c>
      <c r="AC208" t="str">
        <v>Galley lockers</v>
      </c>
      <c r="AD208" t="str">
        <v>Stove locker</v>
      </c>
      <c r="AE208" t="str">
        <v>Draw locker</v>
      </c>
      <c r="AF208" t="str">
        <v>Fridge/Freezer locker</v>
      </c>
      <c r="AG208" t="str">
        <v>Microwave locker</v>
      </c>
      <c r="AH208" t="str">
        <v>Tv locker</v>
      </c>
      <c r="AI208" t="str">
        <v>AC/DC locker</v>
      </c>
      <c r="AJ208" t="str">
        <v>Vinyl ceiling</v>
      </c>
      <c r="AK208" t="str">
        <v>Floor</v>
      </c>
      <c r="AL208" t="str">
        <v>Large bowl s/s sink</v>
      </c>
      <c r="AM208" t="str">
        <v>Dish and cutlery drying recess with drainage</v>
      </c>
      <c r="AN208" t="str">
        <v>Cover for drying recess</v>
      </c>
      <c r="AO208" t="str">
        <v xml:space="preserve">Vitrifrigo 2 drawer front-opening fridge/freezer </v>
      </c>
      <c r="AP208" t="str">
        <v>Ice maker</v>
      </c>
      <c r="AQ208" t="str">
        <v>Wine cooler</v>
      </c>
      <c r="AR208" t="str">
        <v>Burner gas hob</v>
      </c>
      <c r="AS208" t="str">
        <v>Gas oven</v>
      </c>
      <c r="AT208" t="str">
        <v>Gas solenoid shut-off valve with control &amp; warning light at cooker</v>
      </c>
      <c r="AU208" t="str">
        <v xml:space="preserve">Formica steps </v>
      </c>
      <c r="AV208" t="str">
        <v>Gas detectors in each hull connected to alarm in saloon</v>
      </c>
      <c r="AW208" t="str">
        <v>Smoke detector/alarm</v>
      </c>
      <c r="AX208" t="str">
        <v>LED overhead lighting</v>
      </c>
      <c r="AY208" t="str">
        <v>CABIN/ STUDY/PASSAGE</v>
      </c>
      <c r="AZ208" t="str">
        <v>Inspection lids</v>
      </c>
      <c r="BA208" t="str">
        <v>Vinyl panels</v>
      </c>
      <c r="BB208" t="str">
        <v>Stairs</v>
      </c>
      <c r="BC208" t="str">
        <v>Bedside table outboard</v>
      </c>
      <c r="BD208" t="str">
        <v>Bedside cave locker inboard</v>
      </c>
      <c r="BE208" t="str">
        <v>Bunktop/Double berth</v>
      </c>
      <c r="BF208" t="str">
        <v>Hanging locker</v>
      </c>
      <c r="BG208" t="str">
        <v>Bunk Drawers</v>
      </c>
      <c r="BH208" t="str">
        <v>Cabin Door</v>
      </c>
      <c r="BI208" t="str">
        <v>Door frames</v>
      </c>
      <c r="BJ208" t="str">
        <v>Fiddles</v>
      </c>
      <c r="BK208" t="str">
        <v>Fan</v>
      </c>
      <c r="BL208" t="str">
        <v>Hatch</v>
      </c>
      <c r="BM208" t="str">
        <v>2 x LED reading lamps over bunk</v>
      </c>
      <c r="BN208" t="str">
        <v>Vanity table/desk with storage locker and mirror under lid</v>
      </c>
      <c r="BO208" t="str">
        <v>Fold up vanity mirror</v>
      </c>
      <c r="BP208" t="str">
        <v>Sliding entrance door with lock</v>
      </c>
      <c r="BQ208" t="str">
        <v>Doors</v>
      </c>
      <c r="BR208" t="str">
        <v>Large mirror behind sliding entrance door</v>
      </c>
      <c r="BS208" t="str">
        <v xml:space="preserve">HEADS </v>
      </c>
      <c r="BT208" t="str">
        <v>Under-basin locker with toilet roll holder</v>
      </c>
      <c r="BU208" t="str">
        <v>Vanity locker with mirror</v>
      </c>
      <c r="BV208" t="str">
        <v>Double towel rail</v>
      </c>
      <c r="BW208" t="str">
        <v>Sliding or hinged heads door</v>
      </c>
      <c r="BX208" t="str">
        <v>Washing machine locker</v>
      </c>
      <c r="BY208" t="str">
        <v>Dedicated trashcan locker</v>
      </c>
      <c r="BZ208" t="str">
        <v>Coat hook</v>
      </c>
      <c r="CA208" t="str">
        <v>Waste tank</v>
      </c>
      <c r="CB208" t="str">
        <v>Forepeak panel</v>
      </c>
      <c r="CC208" t="str">
        <v>Portlight with roller blind</v>
      </c>
      <c r="CD208" t="str">
        <v>Overhead roller blinds for privacy</v>
      </c>
    </row>
    <row r="209" spans="1:82" ht="15" customHeight="1" x14ac:dyDescent="0.25">
      <c r="A209" s="76"/>
      <c r="B209" s="115"/>
      <c r="C209" s="9"/>
      <c r="D209" s="73"/>
      <c r="E209" s="73"/>
      <c r="F209" s="73"/>
      <c r="G209" s="74"/>
      <c r="H209" s="75"/>
      <c r="I209" s="3"/>
      <c r="J209" s="3"/>
      <c r="K209" s="3"/>
      <c r="L209" s="3"/>
      <c r="M209" t="str" cm="1">
        <f t="array" ref="M209:CD209">TRANSPOSE(_xlfn.UNIQUE(_xlfn._xlws.FILTER(Table4[Discipine Area],(Table4[Discipline No.]=C261)*(Table4[Discipline No.]=C261))))</f>
        <v>SALOON</v>
      </c>
      <c r="N209" t="str">
        <v>Companion door</v>
      </c>
      <c r="O209" t="str">
        <v>Fwd cockpit door</v>
      </c>
      <c r="P209" t="str">
        <v>Windows</v>
      </c>
      <c r="Q209" t="str">
        <v>U shape settee</v>
      </c>
      <c r="R209" t="str">
        <v>Saloon table</v>
      </c>
      <c r="S209" t="str">
        <v>Formica Bulkheads</v>
      </c>
      <c r="T209" t="str">
        <v>Magazine locker/shelf locker</v>
      </c>
      <c r="U209" t="str">
        <v>Vents</v>
      </c>
      <c r="V209" t="str">
        <v>Hullside vinyl panels</v>
      </c>
      <c r="W209" t="str">
        <v>Window blinds</v>
      </c>
      <c r="X209" t="str">
        <v>Nav desk</v>
      </c>
      <c r="Y209" t="str">
        <v>Chart table with storage locker under hinged lid</v>
      </c>
      <c r="Z209" t="str">
        <v>Storage locker under chart table</v>
      </c>
      <c r="AA209" t="str">
        <v xml:space="preserve">AC Outlets </v>
      </c>
      <c r="AB209" t="str">
        <v>Ottoman</v>
      </c>
      <c r="AC209" t="str">
        <v>Galley lockers</v>
      </c>
      <c r="AD209" t="str">
        <v>Stove locker</v>
      </c>
      <c r="AE209" t="str">
        <v>Draw locker</v>
      </c>
      <c r="AF209" t="str">
        <v>Fridge/Freezer locker</v>
      </c>
      <c r="AG209" t="str">
        <v>Microwave locker</v>
      </c>
      <c r="AH209" t="str">
        <v>Tv locker</v>
      </c>
      <c r="AI209" t="str">
        <v>AC/DC locker</v>
      </c>
      <c r="AJ209" t="str">
        <v>Vinyl ceiling</v>
      </c>
      <c r="AK209" t="str">
        <v>Floor</v>
      </c>
      <c r="AL209" t="str">
        <v>Large bowl s/s sink</v>
      </c>
      <c r="AM209" t="str">
        <v>Dish and cutlery drying recess with drainage</v>
      </c>
      <c r="AN209" t="str">
        <v>Cover for drying recess</v>
      </c>
      <c r="AO209" t="str">
        <v xml:space="preserve">Vitrifrigo 2 drawer front-opening fridge/freezer </v>
      </c>
      <c r="AP209" t="str">
        <v>Ice maker</v>
      </c>
      <c r="AQ209" t="str">
        <v>Wine cooler</v>
      </c>
      <c r="AR209" t="str">
        <v>Burner gas hob</v>
      </c>
      <c r="AS209" t="str">
        <v>Gas oven</v>
      </c>
      <c r="AT209" t="str">
        <v>Gas solenoid shut-off valve with control &amp; warning light at cooker</v>
      </c>
      <c r="AU209" t="str">
        <v xml:space="preserve">Formica steps </v>
      </c>
      <c r="AV209" t="str">
        <v>Gas detectors in each hull connected to alarm in saloon</v>
      </c>
      <c r="AW209" t="str">
        <v>Smoke detector/alarm</v>
      </c>
      <c r="AX209" t="str">
        <v>LED overhead lighting</v>
      </c>
      <c r="AY209" t="str">
        <v>CABIN/ STUDY/PASSAGE</v>
      </c>
      <c r="AZ209" t="str">
        <v>Inspection lids</v>
      </c>
      <c r="BA209" t="str">
        <v>Vinyl panels</v>
      </c>
      <c r="BB209" t="str">
        <v>Stairs</v>
      </c>
      <c r="BC209" t="str">
        <v>Bedside table outboard</v>
      </c>
      <c r="BD209" t="str">
        <v>Bedside cave locker inboard</v>
      </c>
      <c r="BE209" t="str">
        <v>Bunktop/Double berth</v>
      </c>
      <c r="BF209" t="str">
        <v>Hanging locker</v>
      </c>
      <c r="BG209" t="str">
        <v>Bunk Drawers</v>
      </c>
      <c r="BH209" t="str">
        <v>Cabin Door</v>
      </c>
      <c r="BI209" t="str">
        <v>Door frames</v>
      </c>
      <c r="BJ209" t="str">
        <v>Fiddles</v>
      </c>
      <c r="BK209" t="str">
        <v>Fan</v>
      </c>
      <c r="BL209" t="str">
        <v>Hatch</v>
      </c>
      <c r="BM209" t="str">
        <v>2 x LED reading lamps over bunk</v>
      </c>
      <c r="BN209" t="str">
        <v>Vanity table/desk with storage locker and mirror under lid</v>
      </c>
      <c r="BO209" t="str">
        <v>Fold up vanity mirror</v>
      </c>
      <c r="BP209" t="str">
        <v>Sliding entrance door with lock</v>
      </c>
      <c r="BQ209" t="str">
        <v>Doors</v>
      </c>
      <c r="BR209" t="str">
        <v>Large mirror behind sliding entrance door</v>
      </c>
      <c r="BS209" t="str">
        <v xml:space="preserve">HEADS </v>
      </c>
      <c r="BT209" t="str">
        <v>Under-basin locker with toilet roll holder</v>
      </c>
      <c r="BU209" t="str">
        <v>Vanity locker with mirror</v>
      </c>
      <c r="BV209" t="str">
        <v>Double towel rail</v>
      </c>
      <c r="BW209" t="str">
        <v>Sliding or hinged heads door</v>
      </c>
      <c r="BX209" t="str">
        <v>Washing machine locker</v>
      </c>
      <c r="BY209" t="str">
        <v>Dedicated trashcan locker</v>
      </c>
      <c r="BZ209" t="str">
        <v>Coat hook</v>
      </c>
      <c r="CA209" t="str">
        <v>Waste tank</v>
      </c>
      <c r="CB209" t="str">
        <v>Forepeak panel</v>
      </c>
      <c r="CC209" t="str">
        <v>Portlight with roller blind</v>
      </c>
      <c r="CD209" t="str">
        <v>Overhead roller blinds for privacy</v>
      </c>
    </row>
    <row r="210" spans="1:82" ht="15" customHeight="1" x14ac:dyDescent="0.25">
      <c r="A210" s="76"/>
      <c r="B210" s="115"/>
      <c r="C210" s="76"/>
      <c r="D210" s="75"/>
      <c r="E210" s="3"/>
      <c r="F210" s="73"/>
      <c r="G210" s="75"/>
      <c r="H210" s="75"/>
      <c r="I210" s="3"/>
      <c r="J210" s="3"/>
      <c r="K210" s="3"/>
      <c r="L210" s="3"/>
      <c r="M210" t="str" cm="1">
        <f t="array" ref="M210:CD210">TRANSPOSE(_xlfn.UNIQUE(_xlfn._xlws.FILTER(Table4[Discipine Area],(Table4[Discipline No.]=C262)*(Table4[Discipline No.]=C262))))</f>
        <v>SALOON</v>
      </c>
      <c r="N210" t="str">
        <v>Companion door</v>
      </c>
      <c r="O210" t="str">
        <v>Fwd cockpit door</v>
      </c>
      <c r="P210" t="str">
        <v>Windows</v>
      </c>
      <c r="Q210" t="str">
        <v>U shape settee</v>
      </c>
      <c r="R210" t="str">
        <v>Saloon table</v>
      </c>
      <c r="S210" t="str">
        <v>Formica Bulkheads</v>
      </c>
      <c r="T210" t="str">
        <v>Magazine locker/shelf locker</v>
      </c>
      <c r="U210" t="str">
        <v>Vents</v>
      </c>
      <c r="V210" t="str">
        <v>Hullside vinyl panels</v>
      </c>
      <c r="W210" t="str">
        <v>Window blinds</v>
      </c>
      <c r="X210" t="str">
        <v>Nav desk</v>
      </c>
      <c r="Y210" t="str">
        <v>Chart table with storage locker under hinged lid</v>
      </c>
      <c r="Z210" t="str">
        <v>Storage locker under chart table</v>
      </c>
      <c r="AA210" t="str">
        <v xml:space="preserve">AC Outlets </v>
      </c>
      <c r="AB210" t="str">
        <v>Ottoman</v>
      </c>
      <c r="AC210" t="str">
        <v>Galley lockers</v>
      </c>
      <c r="AD210" t="str">
        <v>Stove locker</v>
      </c>
      <c r="AE210" t="str">
        <v>Draw locker</v>
      </c>
      <c r="AF210" t="str">
        <v>Fridge/Freezer locker</v>
      </c>
      <c r="AG210" t="str">
        <v>Microwave locker</v>
      </c>
      <c r="AH210" t="str">
        <v>Tv locker</v>
      </c>
      <c r="AI210" t="str">
        <v>AC/DC locker</v>
      </c>
      <c r="AJ210" t="str">
        <v>Vinyl ceiling</v>
      </c>
      <c r="AK210" t="str">
        <v>Floor</v>
      </c>
      <c r="AL210" t="str">
        <v>Large bowl s/s sink</v>
      </c>
      <c r="AM210" t="str">
        <v>Dish and cutlery drying recess with drainage</v>
      </c>
      <c r="AN210" t="str">
        <v>Cover for drying recess</v>
      </c>
      <c r="AO210" t="str">
        <v xml:space="preserve">Vitrifrigo 2 drawer front-opening fridge/freezer </v>
      </c>
      <c r="AP210" t="str">
        <v>Ice maker</v>
      </c>
      <c r="AQ210" t="str">
        <v>Wine cooler</v>
      </c>
      <c r="AR210" t="str">
        <v>Burner gas hob</v>
      </c>
      <c r="AS210" t="str">
        <v>Gas oven</v>
      </c>
      <c r="AT210" t="str">
        <v>Gas solenoid shut-off valve with control &amp; warning light at cooker</v>
      </c>
      <c r="AU210" t="str">
        <v xml:space="preserve">Formica steps </v>
      </c>
      <c r="AV210" t="str">
        <v>Gas detectors in each hull connected to alarm in saloon</v>
      </c>
      <c r="AW210" t="str">
        <v>Smoke detector/alarm</v>
      </c>
      <c r="AX210" t="str">
        <v>LED overhead lighting</v>
      </c>
      <c r="AY210" t="str">
        <v>CABIN/ STUDY/PASSAGE</v>
      </c>
      <c r="AZ210" t="str">
        <v>Inspection lids</v>
      </c>
      <c r="BA210" t="str">
        <v>Vinyl panels</v>
      </c>
      <c r="BB210" t="str">
        <v>Stairs</v>
      </c>
      <c r="BC210" t="str">
        <v>Bedside table outboard</v>
      </c>
      <c r="BD210" t="str">
        <v>Bedside cave locker inboard</v>
      </c>
      <c r="BE210" t="str">
        <v>Bunktop/Double berth</v>
      </c>
      <c r="BF210" t="str">
        <v>Hanging locker</v>
      </c>
      <c r="BG210" t="str">
        <v>Bunk Drawers</v>
      </c>
      <c r="BH210" t="str">
        <v>Cabin Door</v>
      </c>
      <c r="BI210" t="str">
        <v>Door frames</v>
      </c>
      <c r="BJ210" t="str">
        <v>Fiddles</v>
      </c>
      <c r="BK210" t="str">
        <v>Fan</v>
      </c>
      <c r="BL210" t="str">
        <v>Hatch</v>
      </c>
      <c r="BM210" t="str">
        <v>2 x LED reading lamps over bunk</v>
      </c>
      <c r="BN210" t="str">
        <v>Vanity table/desk with storage locker and mirror under lid</v>
      </c>
      <c r="BO210" t="str">
        <v>Fold up vanity mirror</v>
      </c>
      <c r="BP210" t="str">
        <v>Sliding entrance door with lock</v>
      </c>
      <c r="BQ210" t="str">
        <v>Doors</v>
      </c>
      <c r="BR210" t="str">
        <v>Large mirror behind sliding entrance door</v>
      </c>
      <c r="BS210" t="str">
        <v xml:space="preserve">HEADS </v>
      </c>
      <c r="BT210" t="str">
        <v>Under-basin locker with toilet roll holder</v>
      </c>
      <c r="BU210" t="str">
        <v>Vanity locker with mirror</v>
      </c>
      <c r="BV210" t="str">
        <v>Double towel rail</v>
      </c>
      <c r="BW210" t="str">
        <v>Sliding or hinged heads door</v>
      </c>
      <c r="BX210" t="str">
        <v>Washing machine locker</v>
      </c>
      <c r="BY210" t="str">
        <v>Dedicated trashcan locker</v>
      </c>
      <c r="BZ210" t="str">
        <v>Coat hook</v>
      </c>
      <c r="CA210" t="str">
        <v>Waste tank</v>
      </c>
      <c r="CB210" t="str">
        <v>Forepeak panel</v>
      </c>
      <c r="CC210" t="str">
        <v>Portlight with roller blind</v>
      </c>
      <c r="CD210" t="str">
        <v>Overhead roller blinds for privacy</v>
      </c>
    </row>
    <row r="211" spans="1:82" ht="15" customHeight="1" x14ac:dyDescent="0.25">
      <c r="A211" s="76"/>
      <c r="B211" s="115"/>
      <c r="C211" s="76"/>
      <c r="D211" s="3"/>
      <c r="E211" s="3"/>
      <c r="F211" s="73"/>
      <c r="G211" s="75"/>
      <c r="H211" s="75"/>
      <c r="I211" s="3"/>
      <c r="J211" s="3"/>
      <c r="K211" s="3"/>
      <c r="L211" s="3"/>
      <c r="M211" t="str" cm="1">
        <f t="array" ref="M211:CD211">TRANSPOSE(_xlfn.UNIQUE(_xlfn._xlws.FILTER(Table4[Discipine Area],(Table4[Discipline No.]=C268)*(Table4[Discipline No.]=C268))))</f>
        <v>SALOON</v>
      </c>
      <c r="N211" t="str">
        <v>Companion door</v>
      </c>
      <c r="O211" t="str">
        <v>Fwd cockpit door</v>
      </c>
      <c r="P211" t="str">
        <v>Windows</v>
      </c>
      <c r="Q211" t="str">
        <v>U shape settee</v>
      </c>
      <c r="R211" t="str">
        <v>Saloon table</v>
      </c>
      <c r="S211" t="str">
        <v>Formica Bulkheads</v>
      </c>
      <c r="T211" t="str">
        <v>Magazine locker/shelf locker</v>
      </c>
      <c r="U211" t="str">
        <v>Vents</v>
      </c>
      <c r="V211" t="str">
        <v>Hullside vinyl panels</v>
      </c>
      <c r="W211" t="str">
        <v>Window blinds</v>
      </c>
      <c r="X211" t="str">
        <v>Nav desk</v>
      </c>
      <c r="Y211" t="str">
        <v>Chart table with storage locker under hinged lid</v>
      </c>
      <c r="Z211" t="str">
        <v>Storage locker under chart table</v>
      </c>
      <c r="AA211" t="str">
        <v xml:space="preserve">AC Outlets </v>
      </c>
      <c r="AB211" t="str">
        <v>Ottoman</v>
      </c>
      <c r="AC211" t="str">
        <v>Galley lockers</v>
      </c>
      <c r="AD211" t="str">
        <v>Stove locker</v>
      </c>
      <c r="AE211" t="str">
        <v>Draw locker</v>
      </c>
      <c r="AF211" t="str">
        <v>Fridge/Freezer locker</v>
      </c>
      <c r="AG211" t="str">
        <v>Microwave locker</v>
      </c>
      <c r="AH211" t="str">
        <v>Tv locker</v>
      </c>
      <c r="AI211" t="str">
        <v>AC/DC locker</v>
      </c>
      <c r="AJ211" t="str">
        <v>Vinyl ceiling</v>
      </c>
      <c r="AK211" t="str">
        <v>Floor</v>
      </c>
      <c r="AL211" t="str">
        <v>Large bowl s/s sink</v>
      </c>
      <c r="AM211" t="str">
        <v>Dish and cutlery drying recess with drainage</v>
      </c>
      <c r="AN211" t="str">
        <v>Cover for drying recess</v>
      </c>
      <c r="AO211" t="str">
        <v xml:space="preserve">Vitrifrigo 2 drawer front-opening fridge/freezer </v>
      </c>
      <c r="AP211" t="str">
        <v>Ice maker</v>
      </c>
      <c r="AQ211" t="str">
        <v>Wine cooler</v>
      </c>
      <c r="AR211" t="str">
        <v>Burner gas hob</v>
      </c>
      <c r="AS211" t="str">
        <v>Gas oven</v>
      </c>
      <c r="AT211" t="str">
        <v>Gas solenoid shut-off valve with control &amp; warning light at cooker</v>
      </c>
      <c r="AU211" t="str">
        <v xml:space="preserve">Formica steps </v>
      </c>
      <c r="AV211" t="str">
        <v>Gas detectors in each hull connected to alarm in saloon</v>
      </c>
      <c r="AW211" t="str">
        <v>Smoke detector/alarm</v>
      </c>
      <c r="AX211" t="str">
        <v>LED overhead lighting</v>
      </c>
      <c r="AY211" t="str">
        <v>CABIN/ STUDY/PASSAGE</v>
      </c>
      <c r="AZ211" t="str">
        <v>Inspection lids</v>
      </c>
      <c r="BA211" t="str">
        <v>Vinyl panels</v>
      </c>
      <c r="BB211" t="str">
        <v>Stairs</v>
      </c>
      <c r="BC211" t="str">
        <v>Bedside table outboard</v>
      </c>
      <c r="BD211" t="str">
        <v>Bedside cave locker inboard</v>
      </c>
      <c r="BE211" t="str">
        <v>Bunktop/Double berth</v>
      </c>
      <c r="BF211" t="str">
        <v>Hanging locker</v>
      </c>
      <c r="BG211" t="str">
        <v>Bunk Drawers</v>
      </c>
      <c r="BH211" t="str">
        <v>Cabin Door</v>
      </c>
      <c r="BI211" t="str">
        <v>Door frames</v>
      </c>
      <c r="BJ211" t="str">
        <v>Fiddles</v>
      </c>
      <c r="BK211" t="str">
        <v>Fan</v>
      </c>
      <c r="BL211" t="str">
        <v>Hatch</v>
      </c>
      <c r="BM211" t="str">
        <v>2 x LED reading lamps over bunk</v>
      </c>
      <c r="BN211" t="str">
        <v>Vanity table/desk with storage locker and mirror under lid</v>
      </c>
      <c r="BO211" t="str">
        <v>Fold up vanity mirror</v>
      </c>
      <c r="BP211" t="str">
        <v>Sliding entrance door with lock</v>
      </c>
      <c r="BQ211" t="str">
        <v>Doors</v>
      </c>
      <c r="BR211" t="str">
        <v>Large mirror behind sliding entrance door</v>
      </c>
      <c r="BS211" t="str">
        <v xml:space="preserve">HEADS </v>
      </c>
      <c r="BT211" t="str">
        <v>Under-basin locker with toilet roll holder</v>
      </c>
      <c r="BU211" t="str">
        <v>Vanity locker with mirror</v>
      </c>
      <c r="BV211" t="str">
        <v>Double towel rail</v>
      </c>
      <c r="BW211" t="str">
        <v>Sliding or hinged heads door</v>
      </c>
      <c r="BX211" t="str">
        <v>Washing machine locker</v>
      </c>
      <c r="BY211" t="str">
        <v>Dedicated trashcan locker</v>
      </c>
      <c r="BZ211" t="str">
        <v>Coat hook</v>
      </c>
      <c r="CA211" t="str">
        <v>Waste tank</v>
      </c>
      <c r="CB211" t="str">
        <v>Forepeak panel</v>
      </c>
      <c r="CC211" t="str">
        <v>Portlight with roller blind</v>
      </c>
      <c r="CD211" t="str">
        <v>Overhead roller blinds for privacy</v>
      </c>
    </row>
    <row r="212" spans="1:82" ht="15" customHeight="1" x14ac:dyDescent="0.25">
      <c r="A212" s="76"/>
      <c r="B212" s="115"/>
      <c r="C212" s="76"/>
      <c r="D212" s="3"/>
      <c r="E212" s="3"/>
      <c r="F212" s="73"/>
      <c r="G212" s="75"/>
      <c r="H212" s="75"/>
      <c r="I212" s="3"/>
      <c r="J212" s="3"/>
      <c r="K212" s="3"/>
      <c r="L212" s="3"/>
      <c r="M212" t="str" cm="1">
        <f t="array" ref="M212:CD212">TRANSPOSE(_xlfn.UNIQUE(_xlfn._xlws.FILTER(Table4[Discipine Area],(Table4[Discipline No.]=C269)*(Table4[Discipline No.]=C269))))</f>
        <v>SALOON</v>
      </c>
      <c r="N212" t="str">
        <v>Companion door</v>
      </c>
      <c r="O212" t="str">
        <v>Fwd cockpit door</v>
      </c>
      <c r="P212" t="str">
        <v>Windows</v>
      </c>
      <c r="Q212" t="str">
        <v>U shape settee</v>
      </c>
      <c r="R212" t="str">
        <v>Saloon table</v>
      </c>
      <c r="S212" t="str">
        <v>Formica Bulkheads</v>
      </c>
      <c r="T212" t="str">
        <v>Magazine locker/shelf locker</v>
      </c>
      <c r="U212" t="str">
        <v>Vents</v>
      </c>
      <c r="V212" t="str">
        <v>Hullside vinyl panels</v>
      </c>
      <c r="W212" t="str">
        <v>Window blinds</v>
      </c>
      <c r="X212" t="str">
        <v>Nav desk</v>
      </c>
      <c r="Y212" t="str">
        <v>Chart table with storage locker under hinged lid</v>
      </c>
      <c r="Z212" t="str">
        <v>Storage locker under chart table</v>
      </c>
      <c r="AA212" t="str">
        <v xml:space="preserve">AC Outlets </v>
      </c>
      <c r="AB212" t="str">
        <v>Ottoman</v>
      </c>
      <c r="AC212" t="str">
        <v>Galley lockers</v>
      </c>
      <c r="AD212" t="str">
        <v>Stove locker</v>
      </c>
      <c r="AE212" t="str">
        <v>Draw locker</v>
      </c>
      <c r="AF212" t="str">
        <v>Fridge/Freezer locker</v>
      </c>
      <c r="AG212" t="str">
        <v>Microwave locker</v>
      </c>
      <c r="AH212" t="str">
        <v>Tv locker</v>
      </c>
      <c r="AI212" t="str">
        <v>AC/DC locker</v>
      </c>
      <c r="AJ212" t="str">
        <v>Vinyl ceiling</v>
      </c>
      <c r="AK212" t="str">
        <v>Floor</v>
      </c>
      <c r="AL212" t="str">
        <v>Large bowl s/s sink</v>
      </c>
      <c r="AM212" t="str">
        <v>Dish and cutlery drying recess with drainage</v>
      </c>
      <c r="AN212" t="str">
        <v>Cover for drying recess</v>
      </c>
      <c r="AO212" t="str">
        <v xml:space="preserve">Vitrifrigo 2 drawer front-opening fridge/freezer </v>
      </c>
      <c r="AP212" t="str">
        <v>Ice maker</v>
      </c>
      <c r="AQ212" t="str">
        <v>Wine cooler</v>
      </c>
      <c r="AR212" t="str">
        <v>Burner gas hob</v>
      </c>
      <c r="AS212" t="str">
        <v>Gas oven</v>
      </c>
      <c r="AT212" t="str">
        <v>Gas solenoid shut-off valve with control &amp; warning light at cooker</v>
      </c>
      <c r="AU212" t="str">
        <v xml:space="preserve">Formica steps </v>
      </c>
      <c r="AV212" t="str">
        <v>Gas detectors in each hull connected to alarm in saloon</v>
      </c>
      <c r="AW212" t="str">
        <v>Smoke detector/alarm</v>
      </c>
      <c r="AX212" t="str">
        <v>LED overhead lighting</v>
      </c>
      <c r="AY212" t="str">
        <v>CABIN/ STUDY/PASSAGE</v>
      </c>
      <c r="AZ212" t="str">
        <v>Inspection lids</v>
      </c>
      <c r="BA212" t="str">
        <v>Vinyl panels</v>
      </c>
      <c r="BB212" t="str">
        <v>Stairs</v>
      </c>
      <c r="BC212" t="str">
        <v>Bedside table outboard</v>
      </c>
      <c r="BD212" t="str">
        <v>Bedside cave locker inboard</v>
      </c>
      <c r="BE212" t="str">
        <v>Bunktop/Double berth</v>
      </c>
      <c r="BF212" t="str">
        <v>Hanging locker</v>
      </c>
      <c r="BG212" t="str">
        <v>Bunk Drawers</v>
      </c>
      <c r="BH212" t="str">
        <v>Cabin Door</v>
      </c>
      <c r="BI212" t="str">
        <v>Door frames</v>
      </c>
      <c r="BJ212" t="str">
        <v>Fiddles</v>
      </c>
      <c r="BK212" t="str">
        <v>Fan</v>
      </c>
      <c r="BL212" t="str">
        <v>Hatch</v>
      </c>
      <c r="BM212" t="str">
        <v>2 x LED reading lamps over bunk</v>
      </c>
      <c r="BN212" t="str">
        <v>Vanity table/desk with storage locker and mirror under lid</v>
      </c>
      <c r="BO212" t="str">
        <v>Fold up vanity mirror</v>
      </c>
      <c r="BP212" t="str">
        <v>Sliding entrance door with lock</v>
      </c>
      <c r="BQ212" t="str">
        <v>Doors</v>
      </c>
      <c r="BR212" t="str">
        <v>Large mirror behind sliding entrance door</v>
      </c>
      <c r="BS212" t="str">
        <v xml:space="preserve">HEADS </v>
      </c>
      <c r="BT212" t="str">
        <v>Under-basin locker with toilet roll holder</v>
      </c>
      <c r="BU212" t="str">
        <v>Vanity locker with mirror</v>
      </c>
      <c r="BV212" t="str">
        <v>Double towel rail</v>
      </c>
      <c r="BW212" t="str">
        <v>Sliding or hinged heads door</v>
      </c>
      <c r="BX212" t="str">
        <v>Washing machine locker</v>
      </c>
      <c r="BY212" t="str">
        <v>Dedicated trashcan locker</v>
      </c>
      <c r="BZ212" t="str">
        <v>Coat hook</v>
      </c>
      <c r="CA212" t="str">
        <v>Waste tank</v>
      </c>
      <c r="CB212" t="str">
        <v>Forepeak panel</v>
      </c>
      <c r="CC212" t="str">
        <v>Portlight with roller blind</v>
      </c>
      <c r="CD212" t="str">
        <v>Overhead roller blinds for privacy</v>
      </c>
    </row>
    <row r="213" spans="1:82" ht="15" customHeight="1" x14ac:dyDescent="0.25">
      <c r="A213" s="76"/>
      <c r="B213" s="97"/>
      <c r="C213" s="76"/>
      <c r="D213" s="3"/>
      <c r="E213" s="3"/>
      <c r="F213" s="73"/>
      <c r="G213" s="75"/>
      <c r="H213" s="75"/>
      <c r="I213" s="3"/>
      <c r="J213" s="3"/>
      <c r="K213" s="3"/>
      <c r="L213" s="3"/>
      <c r="M213" t="e" cm="1" vm="1">
        <f t="array" ref="M213">TRANSPOSE(_xlfn.UNIQUE(_xlfn._xlws.FILTER(Table4[Discipine Area],(Table4[Discipline No.]=C270)*(Table4[Discipline No.]=C270))))</f>
        <v>#VALUE!</v>
      </c>
    </row>
    <row r="214" spans="1:82" ht="15" customHeight="1" x14ac:dyDescent="0.25">
      <c r="A214" s="76"/>
      <c r="B214" s="97"/>
      <c r="C214" s="76"/>
      <c r="D214" s="3"/>
      <c r="E214" s="3"/>
      <c r="F214" s="73"/>
      <c r="G214" s="75"/>
      <c r="H214" s="75"/>
      <c r="I214" s="3"/>
      <c r="J214" s="3"/>
      <c r="K214" s="3"/>
      <c r="L214" s="3"/>
      <c r="M214" t="e" cm="1" vm="1">
        <f t="array" ref="M214">TRANSPOSE(_xlfn.UNIQUE(_xlfn._xlws.FILTER(Table4[Discipine Area],(Table4[Discipline No.]=C271)*(Table4[Discipline No.]=C271))))</f>
        <v>#VALUE!</v>
      </c>
    </row>
    <row r="215" spans="1:82" ht="15.75" customHeight="1" x14ac:dyDescent="0.25">
      <c r="A215" s="76"/>
      <c r="B215" s="97"/>
      <c r="C215" s="76"/>
      <c r="D215" s="3"/>
      <c r="E215" s="3"/>
      <c r="F215" s="73"/>
      <c r="G215" s="75"/>
      <c r="H215" s="73"/>
      <c r="I215" s="3"/>
      <c r="J215" s="3"/>
      <c r="K215" s="3"/>
      <c r="L215" s="3"/>
      <c r="M215" t="e" cm="1" vm="1">
        <f t="array" ref="M215">TRANSPOSE(_xlfn.UNIQUE(_xlfn._xlws.FILTER(Table4[Discipine Area],(Table4[Discipline No.]=C272)*(Table4[Discipline No.]=C272))))</f>
        <v>#VALUE!</v>
      </c>
    </row>
    <row r="216" spans="1:82" ht="15.75" customHeight="1" x14ac:dyDescent="0.25">
      <c r="A216" s="76"/>
      <c r="B216" s="97"/>
      <c r="C216" s="76"/>
      <c r="D216" s="3"/>
      <c r="E216" s="3"/>
      <c r="F216" s="73"/>
      <c r="G216" s="75"/>
      <c r="H216" s="73"/>
      <c r="I216" s="3"/>
      <c r="J216" s="3"/>
      <c r="K216" s="3"/>
      <c r="L216" s="3"/>
    </row>
    <row r="217" spans="1:82" ht="15.75" customHeight="1" x14ac:dyDescent="0.25">
      <c r="A217" s="76"/>
      <c r="B217" s="97"/>
      <c r="C217" s="76"/>
      <c r="D217" s="3"/>
      <c r="E217" s="3"/>
      <c r="F217" s="73"/>
      <c r="G217" s="75"/>
      <c r="H217" s="3"/>
      <c r="I217" s="3"/>
      <c r="J217" s="3"/>
      <c r="K217" s="3"/>
      <c r="L217" s="3"/>
    </row>
    <row r="218" spans="1:82" ht="15.75" customHeight="1" x14ac:dyDescent="0.25">
      <c r="A218" s="76"/>
      <c r="B218" s="97"/>
      <c r="C218" s="76"/>
      <c r="D218" s="3"/>
      <c r="E218" s="3"/>
      <c r="F218" s="73"/>
      <c r="G218" s="75"/>
      <c r="H218" s="3"/>
      <c r="I218" s="3"/>
      <c r="J218" s="3"/>
      <c r="K218" s="3"/>
      <c r="L218" s="3"/>
      <c r="M218" t="e" cm="1" vm="1">
        <f t="array" ref="M218">TRANSPOSE(_xlfn.UNIQUE(_xlfn._xlws.FILTER(Table4[Discipine Area],(Table4[Discipline No.]=C275)*(Table4[Discipline No.]=C275))))</f>
        <v>#VALUE!</v>
      </c>
    </row>
    <row r="219" spans="1:82" ht="15" customHeight="1" x14ac:dyDescent="0.25">
      <c r="A219" s="131" t="s">
        <v>414</v>
      </c>
      <c r="B219" s="132"/>
      <c r="C219" s="132"/>
      <c r="D219" s="132"/>
      <c r="E219" s="132"/>
      <c r="F219" s="133"/>
      <c r="G219" s="3" t="s">
        <v>415</v>
      </c>
      <c r="H219" s="141"/>
      <c r="I219" s="142"/>
      <c r="J219" s="134" t="s">
        <v>416</v>
      </c>
      <c r="K219" s="135"/>
      <c r="L219" s="136"/>
      <c r="M219" t="e" cm="1" vm="1">
        <f t="array" ref="M219">TRANSPOSE(_xlfn.UNIQUE(_xlfn._xlws.FILTER(Table4[Discipine Area],(Table4[Discipline No.]=C219)*(Table4[Discipline No.]=C219))))</f>
        <v>#VALUE!</v>
      </c>
    </row>
    <row r="220" spans="1:82" ht="15" customHeight="1" x14ac:dyDescent="0.25">
      <c r="A220" s="127" t="s">
        <v>0</v>
      </c>
      <c r="B220" s="127" t="s">
        <v>1</v>
      </c>
      <c r="C220" s="129" t="s">
        <v>2</v>
      </c>
      <c r="D220" s="129" t="s">
        <v>3</v>
      </c>
      <c r="E220" s="129" t="s">
        <v>4</v>
      </c>
      <c r="F220" s="129" t="s">
        <v>410</v>
      </c>
      <c r="G220" s="139" t="s">
        <v>216</v>
      </c>
      <c r="H220" s="139" t="s">
        <v>6</v>
      </c>
      <c r="I220" s="139" t="s">
        <v>7</v>
      </c>
      <c r="J220" s="137" t="s">
        <v>8</v>
      </c>
      <c r="K220" s="138" t="s">
        <v>9</v>
      </c>
      <c r="L220" s="138"/>
      <c r="M220" t="e" cm="1" vm="1">
        <f t="array" ref="M220">TRANSPOSE(_xlfn.UNIQUE(_xlfn._xlws.FILTER(Table4[Discipine Area],(Table4[Discipline No.]=C277)*(Table4[Discipline No.]=C277))))</f>
        <v>#VALUE!</v>
      </c>
    </row>
    <row r="221" spans="1:82" ht="15" customHeight="1" x14ac:dyDescent="0.25">
      <c r="A221" s="128"/>
      <c r="B221" s="128"/>
      <c r="C221" s="130"/>
      <c r="D221" s="130"/>
      <c r="E221" s="130"/>
      <c r="F221" s="130"/>
      <c r="G221" s="140"/>
      <c r="H221" s="140"/>
      <c r="I221" s="140"/>
      <c r="J221" s="137"/>
      <c r="K221" s="78" t="s">
        <v>10</v>
      </c>
      <c r="L221" s="78" t="s">
        <v>11</v>
      </c>
      <c r="M221" t="e" cm="1" vm="1">
        <f t="array" ref="M221">TRANSPOSE(_xlfn.UNIQUE(_xlfn._xlws.FILTER(Table4[Discipine Area],(Table4[Discipline No.]=C278)*(Table4[Discipline No.]=C278))))</f>
        <v>#VALUE!</v>
      </c>
    </row>
    <row r="222" spans="1:82" ht="23.25" customHeight="1" x14ac:dyDescent="0.25">
      <c r="A222" s="9"/>
      <c r="B222" s="112" t="s">
        <v>531</v>
      </c>
      <c r="C222" s="9"/>
      <c r="D222" s="73"/>
      <c r="E222" s="73"/>
      <c r="F222" s="73"/>
      <c r="G222" s="74"/>
      <c r="H222" s="74"/>
      <c r="I222" s="73"/>
      <c r="J222" s="3"/>
      <c r="K222" s="3"/>
      <c r="L222" s="3"/>
      <c r="M222" t="e" cm="1" vm="1">
        <f t="array" ref="M222">TRANSPOSE(_xlfn.UNIQUE(_xlfn._xlws.FILTER(Table4[Discipine Area],(Table4[Discipline No.]=C279)*(Table4[Discipline No.]=C279))))</f>
        <v>#VALUE!</v>
      </c>
    </row>
    <row r="223" spans="1:82" x14ac:dyDescent="0.25">
      <c r="A223" s="9"/>
      <c r="B223" s="115"/>
      <c r="C223" s="9"/>
      <c r="D223" s="73"/>
      <c r="E223" s="73"/>
      <c r="F223" s="73"/>
      <c r="G223" s="74"/>
      <c r="H223" s="74"/>
      <c r="I223" s="73"/>
      <c r="J223" s="3"/>
      <c r="K223" s="3"/>
      <c r="L223" s="3"/>
      <c r="M223" t="e" cm="1" vm="1">
        <f t="array" ref="M223">TRANSPOSE(_xlfn.UNIQUE(_xlfn._xlws.FILTER(Table4[Discipine Area],(Table4[Discipline No.]=C280)*(Table4[Discipline No.]=C280))))</f>
        <v>#VALUE!</v>
      </c>
    </row>
    <row r="224" spans="1:82" x14ac:dyDescent="0.25">
      <c r="A224" s="9"/>
      <c r="B224" s="115"/>
      <c r="C224" s="9"/>
      <c r="D224" s="73"/>
      <c r="E224" s="73"/>
      <c r="F224" s="73"/>
      <c r="G224" s="74"/>
      <c r="H224" s="74"/>
      <c r="I224" s="73"/>
      <c r="J224" s="3"/>
      <c r="K224" s="3"/>
      <c r="L224" s="3"/>
      <c r="M224" t="e" cm="1" vm="1">
        <f t="array" ref="M224">TRANSPOSE(_xlfn.UNIQUE(_xlfn._xlws.FILTER(Table4[Discipine Area],(Table4[Discipline No.]=C281)*(Table4[Discipline No.]=C281))))</f>
        <v>#VALUE!</v>
      </c>
    </row>
    <row r="225" spans="1:86" x14ac:dyDescent="0.25">
      <c r="A225" s="9"/>
      <c r="B225" s="115"/>
      <c r="C225" s="9"/>
      <c r="D225" s="73"/>
      <c r="E225" s="73"/>
      <c r="F225" s="73"/>
      <c r="G225" s="74"/>
      <c r="H225" s="74"/>
      <c r="I225" s="73"/>
      <c r="J225" s="3"/>
      <c r="K225" s="3"/>
      <c r="L225" s="3"/>
      <c r="M225" t="e" cm="1" vm="1">
        <f t="array" ref="M225">TRANSPOSE(_xlfn.UNIQUE(_xlfn._xlws.FILTER(Table4[Discipine Area],(Table4[Discipline No.]=C282)*(Table4[Discipline No.]=C282))))</f>
        <v>#VALUE!</v>
      </c>
    </row>
    <row r="226" spans="1:86" x14ac:dyDescent="0.25">
      <c r="A226" s="9"/>
      <c r="B226" s="118"/>
      <c r="C226" s="9">
        <v>1</v>
      </c>
      <c r="D226" s="73" t="s">
        <v>303</v>
      </c>
      <c r="E226" s="73" t="s">
        <v>298</v>
      </c>
      <c r="F226" s="73"/>
      <c r="G226" s="74" t="s">
        <v>532</v>
      </c>
      <c r="H226" s="74"/>
      <c r="I226" s="73"/>
      <c r="J226" s="3"/>
      <c r="K226" s="3"/>
      <c r="L226" s="3"/>
      <c r="M226" t="e" cm="1" vm="1">
        <f t="array" ref="M226">TRANSPOSE(_xlfn.UNIQUE(_xlfn._xlws.FILTER(Table4[Discipine Area],(Table4[Discipline No.]=C283)*(Table4[Discipline No.]=C283))))</f>
        <v>#VALUE!</v>
      </c>
    </row>
    <row r="227" spans="1:86" x14ac:dyDescent="0.25">
      <c r="A227" s="9"/>
      <c r="B227" s="118"/>
      <c r="C227" s="9">
        <v>3</v>
      </c>
      <c r="D227" s="73" t="s">
        <v>326</v>
      </c>
      <c r="E227" s="73" t="s">
        <v>298</v>
      </c>
      <c r="F227" s="73"/>
      <c r="G227" s="74" t="s">
        <v>533</v>
      </c>
      <c r="H227" s="74"/>
      <c r="I227" s="73"/>
      <c r="J227" s="3"/>
      <c r="K227" s="3"/>
      <c r="L227" s="3"/>
      <c r="M227" t="e" cm="1" vm="1">
        <f t="array" ref="M227">TRANSPOSE(_xlfn.UNIQUE(_xlfn._xlws.FILTER(Table4[Discipine Area],(Table4[Discipline No.]=C284)*(Table4[Discipline No.]=C284))))</f>
        <v>#VALUE!</v>
      </c>
    </row>
    <row r="228" spans="1:86" x14ac:dyDescent="0.25">
      <c r="A228" s="9"/>
      <c r="B228" s="116"/>
      <c r="C228" s="9">
        <v>3</v>
      </c>
      <c r="D228" s="73" t="s">
        <v>339</v>
      </c>
      <c r="E228" s="73" t="s">
        <v>362</v>
      </c>
      <c r="F228" s="73"/>
      <c r="G228" s="74" t="s">
        <v>534</v>
      </c>
      <c r="H228" s="74"/>
      <c r="I228" s="73"/>
      <c r="J228" s="3"/>
      <c r="K228" s="3"/>
      <c r="L228" s="3"/>
      <c r="M228" t="e" cm="1" vm="1">
        <f t="array" ref="M228">TRANSPOSE(_xlfn.UNIQUE(_xlfn._xlws.FILTER(Table4[Discipine Area],(Table4[Discipline No.]=C285)*(Table4[Discipline No.]=C285))))</f>
        <v>#VALUE!</v>
      </c>
    </row>
    <row r="229" spans="1:86" x14ac:dyDescent="0.25">
      <c r="A229" s="9"/>
      <c r="B229" s="118"/>
      <c r="C229" s="9">
        <v>3</v>
      </c>
      <c r="D229" s="73" t="s">
        <v>336</v>
      </c>
      <c r="E229" s="73" t="s">
        <v>300</v>
      </c>
      <c r="F229" s="73"/>
      <c r="G229" s="74" t="s">
        <v>535</v>
      </c>
      <c r="H229" s="74"/>
      <c r="I229" s="73"/>
      <c r="J229" s="3"/>
      <c r="K229" s="3"/>
      <c r="L229" s="3"/>
      <c r="M229" t="e" cm="1" vm="1">
        <f t="array" ref="M229">TRANSPOSE(_xlfn.UNIQUE(_xlfn._xlws.FILTER(Table4[Discipine Area],(Table4[Discipline No.]=C287)*(Table4[Discipline No.]=C287))))</f>
        <v>#VALUE!</v>
      </c>
    </row>
    <row r="230" spans="1:86" ht="15" customHeight="1" x14ac:dyDescent="0.25">
      <c r="A230" s="9"/>
      <c r="B230" s="115"/>
      <c r="C230" s="9">
        <v>3</v>
      </c>
      <c r="D230" s="73" t="s">
        <v>336</v>
      </c>
      <c r="E230" s="73" t="s">
        <v>298</v>
      </c>
      <c r="F230" s="73"/>
      <c r="G230" s="74" t="s">
        <v>536</v>
      </c>
      <c r="H230" s="74"/>
      <c r="I230" s="73"/>
      <c r="J230" s="3"/>
      <c r="K230" s="3"/>
      <c r="L230" s="3"/>
      <c r="M230" t="e" cm="1" vm="1">
        <f t="array" ref="M230">TRANSPOSE(_xlfn.UNIQUE(_xlfn._xlws.FILTER(Table4[Discipine Area],(Table4[Discipline No.]=C290)*(Table4[Discipline No.]=C290))))</f>
        <v>#VALUE!</v>
      </c>
    </row>
    <row r="231" spans="1:86" ht="30" x14ac:dyDescent="0.25">
      <c r="A231" s="9"/>
      <c r="B231" s="118"/>
      <c r="C231" s="9">
        <v>3</v>
      </c>
      <c r="D231" s="73" t="s">
        <v>321</v>
      </c>
      <c r="E231" s="73" t="s">
        <v>300</v>
      </c>
      <c r="F231" s="73"/>
      <c r="G231" s="74" t="s">
        <v>537</v>
      </c>
      <c r="H231" s="74"/>
      <c r="I231" s="73"/>
      <c r="J231" s="3"/>
      <c r="K231" s="3"/>
      <c r="L231" s="3"/>
      <c r="M231" t="e" cm="1" vm="1">
        <f t="array" ref="M231">TRANSPOSE(_xlfn.UNIQUE(_xlfn._xlws.FILTER(Table4[Discipine Area],(Table4[Discipline No.]=C291)*(Table4[Discipline No.]=C291))))</f>
        <v>#VALUE!</v>
      </c>
    </row>
    <row r="232" spans="1:86" ht="30" x14ac:dyDescent="0.25">
      <c r="A232" s="9"/>
      <c r="B232" s="117"/>
      <c r="C232" s="9">
        <v>3</v>
      </c>
      <c r="D232" s="73" t="s">
        <v>321</v>
      </c>
      <c r="E232" s="73" t="s">
        <v>300</v>
      </c>
      <c r="F232" s="73"/>
      <c r="G232" s="74" t="s">
        <v>538</v>
      </c>
      <c r="H232" s="74"/>
      <c r="I232" s="73"/>
      <c r="J232" s="3"/>
      <c r="K232" s="3"/>
      <c r="L232" s="3"/>
      <c r="M232" t="e" cm="1" vm="1">
        <f t="array" ref="M232">TRANSPOSE(_xlfn.UNIQUE(_xlfn._xlws.FILTER(Table4[Discipine Area],(Table4[Discipline No.]=C292)*(Table4[Discipline No.]=C292))))</f>
        <v>#VALUE!</v>
      </c>
    </row>
    <row r="233" spans="1:86" x14ac:dyDescent="0.25">
      <c r="A233" s="9"/>
      <c r="B233" s="117"/>
      <c r="C233" s="9">
        <v>3</v>
      </c>
      <c r="D233" s="73" t="s">
        <v>262</v>
      </c>
      <c r="E233" s="73" t="s">
        <v>215</v>
      </c>
      <c r="F233" s="73"/>
      <c r="G233" s="74" t="s">
        <v>513</v>
      </c>
      <c r="H233" s="74"/>
      <c r="I233" s="73"/>
      <c r="J233" s="3"/>
      <c r="K233" s="3"/>
      <c r="L233" s="3"/>
      <c r="M233" t="e" cm="1" vm="1">
        <f t="array" ref="M233">TRANSPOSE(_xlfn.UNIQUE(_xlfn._xlws.FILTER(Table4[Discipine Area],(Table4[Discipline No.]=C293)*(Table4[Discipline No.]=C293))))</f>
        <v>#VALUE!</v>
      </c>
    </row>
    <row r="234" spans="1:86" x14ac:dyDescent="0.25">
      <c r="A234" s="9"/>
      <c r="B234" s="117"/>
      <c r="C234" s="9">
        <v>3</v>
      </c>
      <c r="D234" s="73" t="s">
        <v>100</v>
      </c>
      <c r="E234" s="73" t="s">
        <v>299</v>
      </c>
      <c r="F234" s="73"/>
      <c r="G234" s="74" t="s">
        <v>539</v>
      </c>
      <c r="H234" s="74"/>
      <c r="I234" s="73"/>
      <c r="J234" s="3"/>
      <c r="K234" s="3"/>
      <c r="L234" s="3"/>
      <c r="M234" t="e" cm="1" vm="1">
        <f t="array" ref="M234">TRANSPOSE(_xlfn.UNIQUE(_xlfn._xlws.FILTER(Table4[Discipine Area],(Table4[Discipline No.]=C294)*(Table4[Discipline No.]=C294))))</f>
        <v>#VALUE!</v>
      </c>
    </row>
    <row r="235" spans="1:86" ht="23.25" customHeight="1" x14ac:dyDescent="0.25">
      <c r="A235" s="9"/>
      <c r="B235" s="117"/>
      <c r="C235" s="9"/>
      <c r="D235" s="73"/>
      <c r="E235" s="73"/>
      <c r="F235" s="73"/>
      <c r="G235" s="74"/>
      <c r="H235" s="74"/>
      <c r="I235" s="73"/>
      <c r="J235" s="3"/>
      <c r="K235" s="3"/>
      <c r="L235" s="3"/>
      <c r="M235" t="e" cm="1" vm="1">
        <f t="array" ref="M235">TRANSPOSE(_xlfn.UNIQUE(_xlfn._xlws.FILTER(Table4[Discipine Area],(Table4[Discipline No.]=C295)*(Table4[Discipline No.]=C295))))</f>
        <v>#VALUE!</v>
      </c>
    </row>
    <row r="236" spans="1:86" x14ac:dyDescent="0.25">
      <c r="A236" s="9"/>
      <c r="B236" s="117"/>
      <c r="C236" s="9"/>
      <c r="D236" s="73"/>
      <c r="E236" s="73"/>
      <c r="F236" s="73"/>
      <c r="G236" s="74"/>
      <c r="H236" s="74"/>
      <c r="I236" s="73"/>
      <c r="J236" s="3"/>
      <c r="K236" s="3"/>
      <c r="L236" s="3"/>
      <c r="M236" t="str" cm="1">
        <f t="array" ref="M236:AZ236">TRANSPOSE(_xlfn.UNIQUE(_xlfn._xlws.FILTER(Table4[Discipine Area],(Table4[Discipline No.]=C296)*(Table4[Discipline No.]=C296))))</f>
        <v>Exterior</v>
      </c>
      <c r="N236" t="str">
        <v>Fwd area</v>
      </c>
      <c r="O236" t="str">
        <v>Midship area</v>
      </c>
      <c r="P236" t="str">
        <v>Aft area</v>
      </c>
      <c r="Q236" t="str">
        <v>window surround</v>
      </c>
      <c r="R236" t="str">
        <v>Bows</v>
      </c>
      <c r="S236" t="str">
        <v>fwd deck steps</v>
      </c>
      <c r="T236" t="str">
        <v>Deck flange</v>
      </c>
      <c r="U236" t="str">
        <v>Waterchannel</v>
      </c>
      <c r="V236" t="str">
        <v>Helmstation</v>
      </c>
      <c r="W236" t="str">
        <v>window module</v>
      </c>
      <c r="X236" t="str">
        <v>deck Join</v>
      </c>
      <c r="Y236" t="str">
        <v>side deck step</v>
      </c>
      <c r="Z236" t="str">
        <v>Bimini</v>
      </c>
      <c r="AA236" t="str">
        <v>Helmstation steps</v>
      </c>
      <c r="AB236" t="str">
        <v>toe rail</v>
      </c>
      <c r="AC236" t="str">
        <v>Inboard liner</v>
      </c>
      <c r="AD236" t="str">
        <v>Settee</v>
      </c>
      <c r="AE236" t="str">
        <v>Transom</v>
      </c>
      <c r="AF236" t="str">
        <v>Floating step</v>
      </c>
      <c r="AG236" t="str">
        <v>Locker lids</v>
      </c>
      <c r="AH236" t="str">
        <v>Table</v>
      </c>
      <c r="AI236" t="str">
        <v>Ceiling</v>
      </c>
      <c r="AJ236" t="str">
        <v>Targawing</v>
      </c>
      <c r="AK236" t="str">
        <v>Eyebrow</v>
      </c>
      <c r="AL236" t="str">
        <v>Decklid</v>
      </c>
      <c r="AM236" t="str">
        <v>Skylight</v>
      </c>
      <c r="AN236" t="str">
        <v>Floor</v>
      </c>
      <c r="AO236" t="str">
        <v>Flybridge steps</v>
      </c>
      <c r="AP236" t="str">
        <v>INTERIOR</v>
      </c>
      <c r="AQ236" t="str">
        <v>Stowage space under floorboards</v>
      </c>
      <c r="AR236" t="str">
        <v>Door surround</v>
      </c>
      <c r="AS236" t="str">
        <v>Staircase</v>
      </c>
      <c r="AT236" t="str">
        <v>Plinth/Skirting</v>
      </c>
      <c r="AU236" t="str">
        <v>Ceiling Liner</v>
      </c>
      <c r="AV236" t="str">
        <v>BBQ Locker</v>
      </c>
      <c r="AW236" t="str">
        <v>Bunk Liners</v>
      </c>
      <c r="AX236" t="str">
        <v>Basin module</v>
      </c>
      <c r="AY236" t="str">
        <v>Shower bulkhead module</v>
      </c>
      <c r="AZ236" t="str">
        <v>Heads bulkhead module</v>
      </c>
    </row>
    <row r="237" spans="1:86" x14ac:dyDescent="0.25">
      <c r="A237" s="9"/>
      <c r="B237" s="117"/>
      <c r="C237" s="9"/>
      <c r="D237" s="73"/>
      <c r="E237" s="73"/>
      <c r="F237" s="73"/>
      <c r="G237" s="74"/>
      <c r="H237" s="74"/>
      <c r="I237" s="73"/>
      <c r="J237" s="3"/>
      <c r="K237" s="3"/>
      <c r="L237" s="3"/>
      <c r="M237" t="str" cm="1">
        <f t="array" ref="M237:CH237">TRANSPOSE(_xlfn.UNIQUE(_xlfn._xlws.FILTER(Table4[Discipine Area],(Table4[Discipline No.]=C297)*(Table4[Discipline No.]=C297))))</f>
        <v>DECKFITTING</v>
      </c>
      <c r="N237" t="str">
        <v>Guard wires with stanchions, bases, port &amp; starboard side gates</v>
      </c>
      <c r="O237" t="str">
        <v>Guard wires across bow and stern</v>
      </c>
      <c r="P237" t="str">
        <v>Windlass, 10mm gypsy &amp; hand-held remote</v>
      </c>
      <c r="Q237" t="str">
        <v>Anchor bow roller fitting</v>
      </c>
      <c r="R237" t="str">
        <v>Anchor chain stopper</v>
      </c>
      <c r="S237" t="str">
        <v>Life raft locker with convertible fore/aft seat bolster</v>
      </c>
      <c r="T237" t="str">
        <v>Backrest s/s railing</v>
      </c>
      <c r="U237" t="str">
        <v>Sliding companionway door/window</v>
      </c>
      <c r="V237" t="str">
        <v>Sliding hatch over forward cockpit steps</v>
      </c>
      <c r="W237" t="str">
        <v>Hardtop over forward and aft cockpit complete with LED lighting</v>
      </c>
      <c r="X237" t="str">
        <v>Hardtop bimini over helm with supports and LED light</v>
      </c>
      <c r="Y237" t="str">
        <v>Hull windows</v>
      </c>
      <c r="Z237" t="str">
        <v>Folding swimming ladder c/w teak steps</v>
      </c>
      <c r="AA237" t="str">
        <v>Emergency ladder on port transom</v>
      </c>
      <c r="AB237" t="str">
        <v>Aft Cockpit table</v>
      </c>
      <c r="AC237" t="str">
        <v>Wetbar</v>
      </c>
      <c r="AD237" t="str">
        <v>Fold down Forward Cockpit table</v>
      </c>
      <c r="AE237" t="str">
        <v>Mainsheet system</v>
      </c>
      <c r="AF237" t="str">
        <v xml:space="preserve">Trampoline </v>
      </c>
      <c r="AG237" t="str">
        <v>Helm seat with upholstered backrest</v>
      </c>
      <c r="AH237" t="str">
        <v>Acrylic smoke grey tinted windows</v>
      </c>
      <c r="AI237" t="str">
        <v>Hardtop supports</v>
      </c>
      <c r="AJ237" t="str">
        <v>Flush Hatch over heads</v>
      </c>
      <c r="AK237" t="str">
        <v>Flush Hatch over cabins</v>
      </c>
      <c r="AL237" t="str">
        <v>Flush Hatch over port forepeak (includes mushroom cowl)</v>
      </c>
      <c r="AM237" t="str">
        <v>Portlight windscreen</v>
      </c>
      <c r="AN237" t="str">
        <v>chain plate</v>
      </c>
      <c r="AO237" t="str">
        <v>chafe plate</v>
      </c>
      <c r="AP237" t="str">
        <v>Portlight hull side</v>
      </c>
      <c r="AQ237" t="str">
        <v>Stbd hull side</v>
      </c>
      <c r="AR237" t="str">
        <v>Portlight  in transom</v>
      </c>
      <c r="AS237" t="str">
        <v>Anchor chain bin</v>
      </c>
      <c r="AT237" t="str">
        <v>Anchor/windlass locker</v>
      </c>
      <c r="AU237" t="str">
        <v>Foredeck/forward cockpit lockers</v>
      </c>
      <c r="AV237" t="str">
        <v>Forward access to foredeck c/w watertight Lewmar door</v>
      </c>
      <c r="AW237" t="str">
        <v>S/S cupholder</v>
      </c>
      <c r="AX237" t="str">
        <v>Pulpits with seats</v>
      </c>
      <c r="AY237" t="str">
        <v>Pushpits</v>
      </c>
      <c r="AZ237" t="str">
        <v>Coachroof handrails</v>
      </c>
      <c r="BA237" t="str">
        <v>Hardtop grab handles</v>
      </c>
      <c r="BB237" t="str">
        <v>Transom grab handles</v>
      </c>
      <c r="BC237" t="str">
        <v>Mooring cleats</v>
      </c>
      <c r="BD237" t="str">
        <v>Lewmar winch handles</v>
      </c>
      <c r="BE237" t="str">
        <v xml:space="preserve">Primary electric winches </v>
      </c>
      <c r="BF237" t="str">
        <v xml:space="preserve">Mainsheet winch </v>
      </c>
      <c r="BG237" t="str">
        <v>Lewmar genoa cars with pin stop</v>
      </c>
      <c r="BH237" t="str">
        <v>Lewmar genoa tracks</v>
      </c>
      <c r="BI237" t="str">
        <v>Halyard clutch at helm (mainsail)</v>
      </c>
      <c r="BJ237" t="str">
        <v>Halyard clutch at helm (gennaker)</v>
      </c>
      <c r="BK237" t="str">
        <v>Genoa sheet clutch at helm</v>
      </c>
      <c r="BL237" t="str">
        <v>Main sheet clutch at helm</v>
      </c>
      <c r="BM237" t="str">
        <v>Reef clutch at helm</v>
      </c>
      <c r="BN237" t="str">
        <v>Clutch and cleat on mast for genoa halyard</v>
      </c>
      <c r="BO237" t="str">
        <v>Furler clutch</v>
      </c>
      <c r="BP237" t="str">
        <v>Drinks holders - 2 in fwd cockpit and 1 at helm</v>
      </c>
      <c r="BQ237" t="str">
        <v>Rope bag at helm with integral winch handle pocket</v>
      </c>
      <c r="BR237" t="str">
        <v>Natural anodized mast</v>
      </c>
      <c r="BS237" t="str">
        <v>Natural anodized crossbeam c/w mooring cleats</v>
      </c>
      <c r="BT237" t="str">
        <v>Wind indicator</v>
      </c>
      <c r="BU237" t="str">
        <v>Genoa furler</v>
      </c>
      <c r="BV237" t="str">
        <v>Mainsail full battened c/w 2 rows reefs</v>
      </c>
      <c r="BW237" t="str">
        <v>Furling genoa</v>
      </c>
      <c r="BX237" t="str">
        <v>2 x Additional spare 12v wires in mast</v>
      </c>
      <c r="BY237" t="str">
        <v>Additional spare conduit with messenger in mast</v>
      </c>
      <c r="BZ237" t="str">
        <v xml:space="preserve">Main sheets </v>
      </c>
      <c r="CA237" t="str">
        <v>Genoa sheets</v>
      </c>
      <c r="CB237" t="str">
        <v>Halyards (main, genoa &amp; spare)</v>
      </c>
      <c r="CC237" t="str">
        <v>Engine Room</v>
      </c>
      <c r="CD237" t="str">
        <v>Single line reefs lead aft</v>
      </c>
      <c r="CE237" t="str">
        <v xml:space="preserve">BBQ </v>
      </c>
      <c r="CF237" t="str">
        <v>Step ladder</v>
      </c>
      <c r="CG237" t="str">
        <v>Pop up lights</v>
      </c>
      <c r="CH237" t="str">
        <v>Main boom topping lift</v>
      </c>
    </row>
    <row r="238" spans="1:86" x14ac:dyDescent="0.25">
      <c r="A238" s="9"/>
      <c r="B238" s="117"/>
      <c r="C238" s="9"/>
      <c r="D238" s="73"/>
      <c r="E238" s="73"/>
      <c r="F238" s="73"/>
      <c r="G238" s="74"/>
      <c r="H238" s="74"/>
      <c r="I238" s="73"/>
      <c r="J238" s="3"/>
      <c r="K238" s="3"/>
      <c r="L238" s="3"/>
      <c r="M238" t="str" cm="1">
        <f t="array" ref="M238:CD238">TRANSPOSE(_xlfn.UNIQUE(_xlfn._xlws.FILTER(Table4[Discipine Area],(Table4[Discipline No.]=C298)*(Table4[Discipline No.]=C298))))</f>
        <v>SALOON</v>
      </c>
      <c r="N238" t="str">
        <v>Companion door</v>
      </c>
      <c r="O238" t="str">
        <v>Fwd cockpit door</v>
      </c>
      <c r="P238" t="str">
        <v>Windows</v>
      </c>
      <c r="Q238" t="str">
        <v>U shape settee</v>
      </c>
      <c r="R238" t="str">
        <v>Saloon table</v>
      </c>
      <c r="S238" t="str">
        <v>Formica Bulkheads</v>
      </c>
      <c r="T238" t="str">
        <v>Magazine locker/shelf locker</v>
      </c>
      <c r="U238" t="str">
        <v>Vents</v>
      </c>
      <c r="V238" t="str">
        <v>Hullside vinyl panels</v>
      </c>
      <c r="W238" t="str">
        <v>Window blinds</v>
      </c>
      <c r="X238" t="str">
        <v>Nav desk</v>
      </c>
      <c r="Y238" t="str">
        <v>Chart table with storage locker under hinged lid</v>
      </c>
      <c r="Z238" t="str">
        <v>Storage locker under chart table</v>
      </c>
      <c r="AA238" t="str">
        <v xml:space="preserve">AC Outlets </v>
      </c>
      <c r="AB238" t="str">
        <v>Ottoman</v>
      </c>
      <c r="AC238" t="str">
        <v>Galley lockers</v>
      </c>
      <c r="AD238" t="str">
        <v>Stove locker</v>
      </c>
      <c r="AE238" t="str">
        <v>Draw locker</v>
      </c>
      <c r="AF238" t="str">
        <v>Fridge/Freezer locker</v>
      </c>
      <c r="AG238" t="str">
        <v>Microwave locker</v>
      </c>
      <c r="AH238" t="str">
        <v>Tv locker</v>
      </c>
      <c r="AI238" t="str">
        <v>AC/DC locker</v>
      </c>
      <c r="AJ238" t="str">
        <v>Vinyl ceiling</v>
      </c>
      <c r="AK238" t="str">
        <v>Floor</v>
      </c>
      <c r="AL238" t="str">
        <v>Large bowl s/s sink</v>
      </c>
      <c r="AM238" t="str">
        <v>Dish and cutlery drying recess with drainage</v>
      </c>
      <c r="AN238" t="str">
        <v>Cover for drying recess</v>
      </c>
      <c r="AO238" t="str">
        <v xml:space="preserve">Vitrifrigo 2 drawer front-opening fridge/freezer </v>
      </c>
      <c r="AP238" t="str">
        <v>Ice maker</v>
      </c>
      <c r="AQ238" t="str">
        <v>Wine cooler</v>
      </c>
      <c r="AR238" t="str">
        <v>Burner gas hob</v>
      </c>
      <c r="AS238" t="str">
        <v>Gas oven</v>
      </c>
      <c r="AT238" t="str">
        <v>Gas solenoid shut-off valve with control &amp; warning light at cooker</v>
      </c>
      <c r="AU238" t="str">
        <v xml:space="preserve">Formica steps </v>
      </c>
      <c r="AV238" t="str">
        <v>Gas detectors in each hull connected to alarm in saloon</v>
      </c>
      <c r="AW238" t="str">
        <v>Smoke detector/alarm</v>
      </c>
      <c r="AX238" t="str">
        <v>LED overhead lighting</v>
      </c>
      <c r="AY238" t="str">
        <v>CABIN/ STUDY/PASSAGE</v>
      </c>
      <c r="AZ238" t="str">
        <v>Inspection lids</v>
      </c>
      <c r="BA238" t="str">
        <v>Vinyl panels</v>
      </c>
      <c r="BB238" t="str">
        <v>Stairs</v>
      </c>
      <c r="BC238" t="str">
        <v>Bedside table outboard</v>
      </c>
      <c r="BD238" t="str">
        <v>Bedside cave locker inboard</v>
      </c>
      <c r="BE238" t="str">
        <v>Bunktop/Double berth</v>
      </c>
      <c r="BF238" t="str">
        <v>Hanging locker</v>
      </c>
      <c r="BG238" t="str">
        <v>Bunk Drawers</v>
      </c>
      <c r="BH238" t="str">
        <v>Cabin Door</v>
      </c>
      <c r="BI238" t="str">
        <v>Door frames</v>
      </c>
      <c r="BJ238" t="str">
        <v>Fiddles</v>
      </c>
      <c r="BK238" t="str">
        <v>Fan</v>
      </c>
      <c r="BL238" t="str">
        <v>Hatch</v>
      </c>
      <c r="BM238" t="str">
        <v>2 x LED reading lamps over bunk</v>
      </c>
      <c r="BN238" t="str">
        <v>Vanity table/desk with storage locker and mirror under lid</v>
      </c>
      <c r="BO238" t="str">
        <v>Fold up vanity mirror</v>
      </c>
      <c r="BP238" t="str">
        <v>Sliding entrance door with lock</v>
      </c>
      <c r="BQ238" t="str">
        <v>Doors</v>
      </c>
      <c r="BR238" t="str">
        <v>Large mirror behind sliding entrance door</v>
      </c>
      <c r="BS238" t="str">
        <v xml:space="preserve">HEADS </v>
      </c>
      <c r="BT238" t="str">
        <v>Under-basin locker with toilet roll holder</v>
      </c>
      <c r="BU238" t="str">
        <v>Vanity locker with mirror</v>
      </c>
      <c r="BV238" t="str">
        <v>Double towel rail</v>
      </c>
      <c r="BW238" t="str">
        <v>Sliding or hinged heads door</v>
      </c>
      <c r="BX238" t="str">
        <v>Washing machine locker</v>
      </c>
      <c r="BY238" t="str">
        <v>Dedicated trashcan locker</v>
      </c>
      <c r="BZ238" t="str">
        <v>Coat hook</v>
      </c>
      <c r="CA238" t="str">
        <v>Waste tank</v>
      </c>
      <c r="CB238" t="str">
        <v>Forepeak panel</v>
      </c>
      <c r="CC238" t="str">
        <v>Portlight with roller blind</v>
      </c>
      <c r="CD238" t="str">
        <v>Overhead roller blinds for privacy</v>
      </c>
    </row>
    <row r="239" spans="1:86" x14ac:dyDescent="0.25">
      <c r="A239" s="9"/>
      <c r="B239" s="124"/>
      <c r="C239" s="9"/>
      <c r="D239" s="73"/>
      <c r="E239" s="73"/>
      <c r="F239" s="73"/>
      <c r="G239" s="74"/>
      <c r="H239" s="73"/>
      <c r="I239" s="73"/>
      <c r="J239" s="3"/>
      <c r="K239" s="3"/>
      <c r="L239" s="3"/>
      <c r="M239" t="str" cm="1">
        <f t="array" ref="M239:CD239">TRANSPOSE(_xlfn.UNIQUE(_xlfn._xlws.FILTER(Table4[Discipine Area],(Table4[Discipline No.]=C300)*(Table4[Discipline No.]=C300))))</f>
        <v>SALOON</v>
      </c>
      <c r="N239" t="str">
        <v>Companion door</v>
      </c>
      <c r="O239" t="str">
        <v>Fwd cockpit door</v>
      </c>
      <c r="P239" t="str">
        <v>Windows</v>
      </c>
      <c r="Q239" t="str">
        <v>U shape settee</v>
      </c>
      <c r="R239" t="str">
        <v>Saloon table</v>
      </c>
      <c r="S239" t="str">
        <v>Formica Bulkheads</v>
      </c>
      <c r="T239" t="str">
        <v>Magazine locker/shelf locker</v>
      </c>
      <c r="U239" t="str">
        <v>Vents</v>
      </c>
      <c r="V239" t="str">
        <v>Hullside vinyl panels</v>
      </c>
      <c r="W239" t="str">
        <v>Window blinds</v>
      </c>
      <c r="X239" t="str">
        <v>Nav desk</v>
      </c>
      <c r="Y239" t="str">
        <v>Chart table with storage locker under hinged lid</v>
      </c>
      <c r="Z239" t="str">
        <v>Storage locker under chart table</v>
      </c>
      <c r="AA239" t="str">
        <v xml:space="preserve">AC Outlets </v>
      </c>
      <c r="AB239" t="str">
        <v>Ottoman</v>
      </c>
      <c r="AC239" t="str">
        <v>Galley lockers</v>
      </c>
      <c r="AD239" t="str">
        <v>Stove locker</v>
      </c>
      <c r="AE239" t="str">
        <v>Draw locker</v>
      </c>
      <c r="AF239" t="str">
        <v>Fridge/Freezer locker</v>
      </c>
      <c r="AG239" t="str">
        <v>Microwave locker</v>
      </c>
      <c r="AH239" t="str">
        <v>Tv locker</v>
      </c>
      <c r="AI239" t="str">
        <v>AC/DC locker</v>
      </c>
      <c r="AJ239" t="str">
        <v>Vinyl ceiling</v>
      </c>
      <c r="AK239" t="str">
        <v>Floor</v>
      </c>
      <c r="AL239" t="str">
        <v>Large bowl s/s sink</v>
      </c>
      <c r="AM239" t="str">
        <v>Dish and cutlery drying recess with drainage</v>
      </c>
      <c r="AN239" t="str">
        <v>Cover for drying recess</v>
      </c>
      <c r="AO239" t="str">
        <v xml:space="preserve">Vitrifrigo 2 drawer front-opening fridge/freezer </v>
      </c>
      <c r="AP239" t="str">
        <v>Ice maker</v>
      </c>
      <c r="AQ239" t="str">
        <v>Wine cooler</v>
      </c>
      <c r="AR239" t="str">
        <v>Burner gas hob</v>
      </c>
      <c r="AS239" t="str">
        <v>Gas oven</v>
      </c>
      <c r="AT239" t="str">
        <v>Gas solenoid shut-off valve with control &amp; warning light at cooker</v>
      </c>
      <c r="AU239" t="str">
        <v xml:space="preserve">Formica steps </v>
      </c>
      <c r="AV239" t="str">
        <v>Gas detectors in each hull connected to alarm in saloon</v>
      </c>
      <c r="AW239" t="str">
        <v>Smoke detector/alarm</v>
      </c>
      <c r="AX239" t="str">
        <v>LED overhead lighting</v>
      </c>
      <c r="AY239" t="str">
        <v>CABIN/ STUDY/PASSAGE</v>
      </c>
      <c r="AZ239" t="str">
        <v>Inspection lids</v>
      </c>
      <c r="BA239" t="str">
        <v>Vinyl panels</v>
      </c>
      <c r="BB239" t="str">
        <v>Stairs</v>
      </c>
      <c r="BC239" t="str">
        <v>Bedside table outboard</v>
      </c>
      <c r="BD239" t="str">
        <v>Bedside cave locker inboard</v>
      </c>
      <c r="BE239" t="str">
        <v>Bunktop/Double berth</v>
      </c>
      <c r="BF239" t="str">
        <v>Hanging locker</v>
      </c>
      <c r="BG239" t="str">
        <v>Bunk Drawers</v>
      </c>
      <c r="BH239" t="str">
        <v>Cabin Door</v>
      </c>
      <c r="BI239" t="str">
        <v>Door frames</v>
      </c>
      <c r="BJ239" t="str">
        <v>Fiddles</v>
      </c>
      <c r="BK239" t="str">
        <v>Fan</v>
      </c>
      <c r="BL239" t="str">
        <v>Hatch</v>
      </c>
      <c r="BM239" t="str">
        <v>2 x LED reading lamps over bunk</v>
      </c>
      <c r="BN239" t="str">
        <v>Vanity table/desk with storage locker and mirror under lid</v>
      </c>
      <c r="BO239" t="str">
        <v>Fold up vanity mirror</v>
      </c>
      <c r="BP239" t="str">
        <v>Sliding entrance door with lock</v>
      </c>
      <c r="BQ239" t="str">
        <v>Doors</v>
      </c>
      <c r="BR239" t="str">
        <v>Large mirror behind sliding entrance door</v>
      </c>
      <c r="BS239" t="str">
        <v xml:space="preserve">HEADS </v>
      </c>
      <c r="BT239" t="str">
        <v>Under-basin locker with toilet roll holder</v>
      </c>
      <c r="BU239" t="str">
        <v>Vanity locker with mirror</v>
      </c>
      <c r="BV239" t="str">
        <v>Double towel rail</v>
      </c>
      <c r="BW239" t="str">
        <v>Sliding or hinged heads door</v>
      </c>
      <c r="BX239" t="str">
        <v>Washing machine locker</v>
      </c>
      <c r="BY239" t="str">
        <v>Dedicated trashcan locker</v>
      </c>
      <c r="BZ239" t="str">
        <v>Coat hook</v>
      </c>
      <c r="CA239" t="str">
        <v>Waste tank</v>
      </c>
      <c r="CB239" t="str">
        <v>Forepeak panel</v>
      </c>
      <c r="CC239" t="str">
        <v>Portlight with roller blind</v>
      </c>
      <c r="CD239" t="str">
        <v>Overhead roller blinds for privacy</v>
      </c>
    </row>
    <row r="240" spans="1:86" x14ac:dyDescent="0.25">
      <c r="A240" s="9"/>
      <c r="B240" s="124"/>
      <c r="C240" s="9"/>
      <c r="D240" s="73"/>
      <c r="E240" s="73"/>
      <c r="F240" s="73"/>
      <c r="G240" s="74"/>
      <c r="H240" s="73"/>
      <c r="I240" s="73"/>
      <c r="J240" s="3"/>
      <c r="K240" s="3"/>
      <c r="L240" s="3"/>
      <c r="M240" t="str" cm="1">
        <f t="array" ref="M240:CD240">TRANSPOSE(_xlfn.UNIQUE(_xlfn._xlws.FILTER(Table4[Discipine Area],(Table4[Discipline No.]=C302)*(Table4[Discipline No.]=C302))))</f>
        <v>SALOON</v>
      </c>
      <c r="N240" t="str">
        <v>Companion door</v>
      </c>
      <c r="O240" t="str">
        <v>Fwd cockpit door</v>
      </c>
      <c r="P240" t="str">
        <v>Windows</v>
      </c>
      <c r="Q240" t="str">
        <v>U shape settee</v>
      </c>
      <c r="R240" t="str">
        <v>Saloon table</v>
      </c>
      <c r="S240" t="str">
        <v>Formica Bulkheads</v>
      </c>
      <c r="T240" t="str">
        <v>Magazine locker/shelf locker</v>
      </c>
      <c r="U240" t="str">
        <v>Vents</v>
      </c>
      <c r="V240" t="str">
        <v>Hullside vinyl panels</v>
      </c>
      <c r="W240" t="str">
        <v>Window blinds</v>
      </c>
      <c r="X240" t="str">
        <v>Nav desk</v>
      </c>
      <c r="Y240" t="str">
        <v>Chart table with storage locker under hinged lid</v>
      </c>
      <c r="Z240" t="str">
        <v>Storage locker under chart table</v>
      </c>
      <c r="AA240" t="str">
        <v xml:space="preserve">AC Outlets </v>
      </c>
      <c r="AB240" t="str">
        <v>Ottoman</v>
      </c>
      <c r="AC240" t="str">
        <v>Galley lockers</v>
      </c>
      <c r="AD240" t="str">
        <v>Stove locker</v>
      </c>
      <c r="AE240" t="str">
        <v>Draw locker</v>
      </c>
      <c r="AF240" t="str">
        <v>Fridge/Freezer locker</v>
      </c>
      <c r="AG240" t="str">
        <v>Microwave locker</v>
      </c>
      <c r="AH240" t="str">
        <v>Tv locker</v>
      </c>
      <c r="AI240" t="str">
        <v>AC/DC locker</v>
      </c>
      <c r="AJ240" t="str">
        <v>Vinyl ceiling</v>
      </c>
      <c r="AK240" t="str">
        <v>Floor</v>
      </c>
      <c r="AL240" t="str">
        <v>Large bowl s/s sink</v>
      </c>
      <c r="AM240" t="str">
        <v>Dish and cutlery drying recess with drainage</v>
      </c>
      <c r="AN240" t="str">
        <v>Cover for drying recess</v>
      </c>
      <c r="AO240" t="str">
        <v xml:space="preserve">Vitrifrigo 2 drawer front-opening fridge/freezer </v>
      </c>
      <c r="AP240" t="str">
        <v>Ice maker</v>
      </c>
      <c r="AQ240" t="str">
        <v>Wine cooler</v>
      </c>
      <c r="AR240" t="str">
        <v>Burner gas hob</v>
      </c>
      <c r="AS240" t="str">
        <v>Gas oven</v>
      </c>
      <c r="AT240" t="str">
        <v>Gas solenoid shut-off valve with control &amp; warning light at cooker</v>
      </c>
      <c r="AU240" t="str">
        <v xml:space="preserve">Formica steps </v>
      </c>
      <c r="AV240" t="str">
        <v>Gas detectors in each hull connected to alarm in saloon</v>
      </c>
      <c r="AW240" t="str">
        <v>Smoke detector/alarm</v>
      </c>
      <c r="AX240" t="str">
        <v>LED overhead lighting</v>
      </c>
      <c r="AY240" t="str">
        <v>CABIN/ STUDY/PASSAGE</v>
      </c>
      <c r="AZ240" t="str">
        <v>Inspection lids</v>
      </c>
      <c r="BA240" t="str">
        <v>Vinyl panels</v>
      </c>
      <c r="BB240" t="str">
        <v>Stairs</v>
      </c>
      <c r="BC240" t="str">
        <v>Bedside table outboard</v>
      </c>
      <c r="BD240" t="str">
        <v>Bedside cave locker inboard</v>
      </c>
      <c r="BE240" t="str">
        <v>Bunktop/Double berth</v>
      </c>
      <c r="BF240" t="str">
        <v>Hanging locker</v>
      </c>
      <c r="BG240" t="str">
        <v>Bunk Drawers</v>
      </c>
      <c r="BH240" t="str">
        <v>Cabin Door</v>
      </c>
      <c r="BI240" t="str">
        <v>Door frames</v>
      </c>
      <c r="BJ240" t="str">
        <v>Fiddles</v>
      </c>
      <c r="BK240" t="str">
        <v>Fan</v>
      </c>
      <c r="BL240" t="str">
        <v>Hatch</v>
      </c>
      <c r="BM240" t="str">
        <v>2 x LED reading lamps over bunk</v>
      </c>
      <c r="BN240" t="str">
        <v>Vanity table/desk with storage locker and mirror under lid</v>
      </c>
      <c r="BO240" t="str">
        <v>Fold up vanity mirror</v>
      </c>
      <c r="BP240" t="str">
        <v>Sliding entrance door with lock</v>
      </c>
      <c r="BQ240" t="str">
        <v>Doors</v>
      </c>
      <c r="BR240" t="str">
        <v>Large mirror behind sliding entrance door</v>
      </c>
      <c r="BS240" t="str">
        <v xml:space="preserve">HEADS </v>
      </c>
      <c r="BT240" t="str">
        <v>Under-basin locker with toilet roll holder</v>
      </c>
      <c r="BU240" t="str">
        <v>Vanity locker with mirror</v>
      </c>
      <c r="BV240" t="str">
        <v>Double towel rail</v>
      </c>
      <c r="BW240" t="str">
        <v>Sliding or hinged heads door</v>
      </c>
      <c r="BX240" t="str">
        <v>Washing machine locker</v>
      </c>
      <c r="BY240" t="str">
        <v>Dedicated trashcan locker</v>
      </c>
      <c r="BZ240" t="str">
        <v>Coat hook</v>
      </c>
      <c r="CA240" t="str">
        <v>Waste tank</v>
      </c>
      <c r="CB240" t="str">
        <v>Forepeak panel</v>
      </c>
      <c r="CC240" t="str">
        <v>Portlight with roller blind</v>
      </c>
      <c r="CD240" t="str">
        <v>Overhead roller blinds for privacy</v>
      </c>
    </row>
    <row r="241" spans="1:82" x14ac:dyDescent="0.25">
      <c r="A241" s="9"/>
      <c r="B241" s="120"/>
      <c r="C241" s="9"/>
      <c r="D241" s="73"/>
      <c r="E241" s="73"/>
      <c r="F241" s="73"/>
      <c r="G241" s="74"/>
      <c r="H241" s="73"/>
      <c r="I241" s="73"/>
      <c r="J241" s="3"/>
      <c r="K241" s="3"/>
      <c r="L241" s="3"/>
      <c r="M241" t="str" cm="1">
        <f t="array" ref="M241:AZ241">TRANSPOSE(_xlfn.UNIQUE(_xlfn._xlws.FILTER(Table4[Discipine Area],(Table4[Discipline No.]=C303)*(Table4[Discipline No.]=C303))))</f>
        <v>Exterior</v>
      </c>
      <c r="N241" t="str">
        <v>Fwd area</v>
      </c>
      <c r="O241" t="str">
        <v>Midship area</v>
      </c>
      <c r="P241" t="str">
        <v>Aft area</v>
      </c>
      <c r="Q241" t="str">
        <v>window surround</v>
      </c>
      <c r="R241" t="str">
        <v>Bows</v>
      </c>
      <c r="S241" t="str">
        <v>fwd deck steps</v>
      </c>
      <c r="T241" t="str">
        <v>Deck flange</v>
      </c>
      <c r="U241" t="str">
        <v>Waterchannel</v>
      </c>
      <c r="V241" t="str">
        <v>Helmstation</v>
      </c>
      <c r="W241" t="str">
        <v>window module</v>
      </c>
      <c r="X241" t="str">
        <v>deck Join</v>
      </c>
      <c r="Y241" t="str">
        <v>side deck step</v>
      </c>
      <c r="Z241" t="str">
        <v>Bimini</v>
      </c>
      <c r="AA241" t="str">
        <v>Helmstation steps</v>
      </c>
      <c r="AB241" t="str">
        <v>toe rail</v>
      </c>
      <c r="AC241" t="str">
        <v>Inboard liner</v>
      </c>
      <c r="AD241" t="str">
        <v>Settee</v>
      </c>
      <c r="AE241" t="str">
        <v>Transom</v>
      </c>
      <c r="AF241" t="str">
        <v>Floating step</v>
      </c>
      <c r="AG241" t="str">
        <v>Locker lids</v>
      </c>
      <c r="AH241" t="str">
        <v>Table</v>
      </c>
      <c r="AI241" t="str">
        <v>Ceiling</v>
      </c>
      <c r="AJ241" t="str">
        <v>Targawing</v>
      </c>
      <c r="AK241" t="str">
        <v>Eyebrow</v>
      </c>
      <c r="AL241" t="str">
        <v>Decklid</v>
      </c>
      <c r="AM241" t="str">
        <v>Skylight</v>
      </c>
      <c r="AN241" t="str">
        <v>Floor</v>
      </c>
      <c r="AO241" t="str">
        <v>Flybridge steps</v>
      </c>
      <c r="AP241" t="str">
        <v>INTERIOR</v>
      </c>
      <c r="AQ241" t="str">
        <v>Stowage space under floorboards</v>
      </c>
      <c r="AR241" t="str">
        <v>Door surround</v>
      </c>
      <c r="AS241" t="str">
        <v>Staircase</v>
      </c>
      <c r="AT241" t="str">
        <v>Plinth/Skirting</v>
      </c>
      <c r="AU241" t="str">
        <v>Ceiling Liner</v>
      </c>
      <c r="AV241" t="str">
        <v>BBQ Locker</v>
      </c>
      <c r="AW241" t="str">
        <v>Bunk Liners</v>
      </c>
      <c r="AX241" t="str">
        <v>Basin module</v>
      </c>
      <c r="AY241" t="str">
        <v>Shower bulkhead module</v>
      </c>
      <c r="AZ241" t="str">
        <v>Heads bulkhead module</v>
      </c>
    </row>
    <row r="242" spans="1:82" x14ac:dyDescent="0.25">
      <c r="A242" s="9"/>
      <c r="B242" s="125"/>
      <c r="C242" s="9"/>
      <c r="D242" s="73"/>
      <c r="E242" s="73"/>
      <c r="F242" s="73"/>
      <c r="G242" s="74"/>
      <c r="H242" s="73"/>
      <c r="I242" s="73"/>
      <c r="J242" s="3"/>
      <c r="K242" s="3"/>
      <c r="L242" s="3"/>
      <c r="M242" t="str" cm="1">
        <f t="array" ref="M242:CD242">TRANSPOSE(_xlfn.UNIQUE(_xlfn._xlws.FILTER(Table4[Discipine Area],(Table4[Discipline No.]=C305)*(Table4[Discipline No.]=C305))))</f>
        <v>SALOON</v>
      </c>
      <c r="N242" t="str">
        <v>Companion door</v>
      </c>
      <c r="O242" t="str">
        <v>Fwd cockpit door</v>
      </c>
      <c r="P242" t="str">
        <v>Windows</v>
      </c>
      <c r="Q242" t="str">
        <v>U shape settee</v>
      </c>
      <c r="R242" t="str">
        <v>Saloon table</v>
      </c>
      <c r="S242" t="str">
        <v>Formica Bulkheads</v>
      </c>
      <c r="T242" t="str">
        <v>Magazine locker/shelf locker</v>
      </c>
      <c r="U242" t="str">
        <v>Vents</v>
      </c>
      <c r="V242" t="str">
        <v>Hullside vinyl panels</v>
      </c>
      <c r="W242" t="str">
        <v>Window blinds</v>
      </c>
      <c r="X242" t="str">
        <v>Nav desk</v>
      </c>
      <c r="Y242" t="str">
        <v>Chart table with storage locker under hinged lid</v>
      </c>
      <c r="Z242" t="str">
        <v>Storage locker under chart table</v>
      </c>
      <c r="AA242" t="str">
        <v xml:space="preserve">AC Outlets </v>
      </c>
      <c r="AB242" t="str">
        <v>Ottoman</v>
      </c>
      <c r="AC242" t="str">
        <v>Galley lockers</v>
      </c>
      <c r="AD242" t="str">
        <v>Stove locker</v>
      </c>
      <c r="AE242" t="str">
        <v>Draw locker</v>
      </c>
      <c r="AF242" t="str">
        <v>Fridge/Freezer locker</v>
      </c>
      <c r="AG242" t="str">
        <v>Microwave locker</v>
      </c>
      <c r="AH242" t="str">
        <v>Tv locker</v>
      </c>
      <c r="AI242" t="str">
        <v>AC/DC locker</v>
      </c>
      <c r="AJ242" t="str">
        <v>Vinyl ceiling</v>
      </c>
      <c r="AK242" t="str">
        <v>Floor</v>
      </c>
      <c r="AL242" t="str">
        <v>Large bowl s/s sink</v>
      </c>
      <c r="AM242" t="str">
        <v>Dish and cutlery drying recess with drainage</v>
      </c>
      <c r="AN242" t="str">
        <v>Cover for drying recess</v>
      </c>
      <c r="AO242" t="str">
        <v xml:space="preserve">Vitrifrigo 2 drawer front-opening fridge/freezer </v>
      </c>
      <c r="AP242" t="str">
        <v>Ice maker</v>
      </c>
      <c r="AQ242" t="str">
        <v>Wine cooler</v>
      </c>
      <c r="AR242" t="str">
        <v>Burner gas hob</v>
      </c>
      <c r="AS242" t="str">
        <v>Gas oven</v>
      </c>
      <c r="AT242" t="str">
        <v>Gas solenoid shut-off valve with control &amp; warning light at cooker</v>
      </c>
      <c r="AU242" t="str">
        <v xml:space="preserve">Formica steps </v>
      </c>
      <c r="AV242" t="str">
        <v>Gas detectors in each hull connected to alarm in saloon</v>
      </c>
      <c r="AW242" t="str">
        <v>Smoke detector/alarm</v>
      </c>
      <c r="AX242" t="str">
        <v>LED overhead lighting</v>
      </c>
      <c r="AY242" t="str">
        <v>CABIN/ STUDY/PASSAGE</v>
      </c>
      <c r="AZ242" t="str">
        <v>Inspection lids</v>
      </c>
      <c r="BA242" t="str">
        <v>Vinyl panels</v>
      </c>
      <c r="BB242" t="str">
        <v>Stairs</v>
      </c>
      <c r="BC242" t="str">
        <v>Bedside table outboard</v>
      </c>
      <c r="BD242" t="str">
        <v>Bedside cave locker inboard</v>
      </c>
      <c r="BE242" t="str">
        <v>Bunktop/Double berth</v>
      </c>
      <c r="BF242" t="str">
        <v>Hanging locker</v>
      </c>
      <c r="BG242" t="str">
        <v>Bunk Drawers</v>
      </c>
      <c r="BH242" t="str">
        <v>Cabin Door</v>
      </c>
      <c r="BI242" t="str">
        <v>Door frames</v>
      </c>
      <c r="BJ242" t="str">
        <v>Fiddles</v>
      </c>
      <c r="BK242" t="str">
        <v>Fan</v>
      </c>
      <c r="BL242" t="str">
        <v>Hatch</v>
      </c>
      <c r="BM242" t="str">
        <v>2 x LED reading lamps over bunk</v>
      </c>
      <c r="BN242" t="str">
        <v>Vanity table/desk with storage locker and mirror under lid</v>
      </c>
      <c r="BO242" t="str">
        <v>Fold up vanity mirror</v>
      </c>
      <c r="BP242" t="str">
        <v>Sliding entrance door with lock</v>
      </c>
      <c r="BQ242" t="str">
        <v>Doors</v>
      </c>
      <c r="BR242" t="str">
        <v>Large mirror behind sliding entrance door</v>
      </c>
      <c r="BS242" t="str">
        <v xml:space="preserve">HEADS </v>
      </c>
      <c r="BT242" t="str">
        <v>Under-basin locker with toilet roll holder</v>
      </c>
      <c r="BU242" t="str">
        <v>Vanity locker with mirror</v>
      </c>
      <c r="BV242" t="str">
        <v>Double towel rail</v>
      </c>
      <c r="BW242" t="str">
        <v>Sliding or hinged heads door</v>
      </c>
      <c r="BX242" t="str">
        <v>Washing machine locker</v>
      </c>
      <c r="BY242" t="str">
        <v>Dedicated trashcan locker</v>
      </c>
      <c r="BZ242" t="str">
        <v>Coat hook</v>
      </c>
      <c r="CA242" t="str">
        <v>Waste tank</v>
      </c>
      <c r="CB242" t="str">
        <v>Forepeak panel</v>
      </c>
      <c r="CC242" t="str">
        <v>Portlight with roller blind</v>
      </c>
      <c r="CD242" t="str">
        <v>Overhead roller blinds for privacy</v>
      </c>
    </row>
    <row r="243" spans="1:82" x14ac:dyDescent="0.25">
      <c r="A243" s="9"/>
      <c r="B243" s="125"/>
      <c r="C243" s="9"/>
      <c r="D243" s="73"/>
      <c r="E243" s="73"/>
      <c r="F243" s="73"/>
      <c r="G243" s="74"/>
      <c r="H243" s="73"/>
      <c r="I243" s="73"/>
      <c r="J243" s="3"/>
      <c r="K243" s="3"/>
      <c r="L243" s="3"/>
    </row>
    <row r="244" spans="1:82" x14ac:dyDescent="0.25">
      <c r="A244" s="9"/>
      <c r="B244" s="120"/>
      <c r="C244" s="9"/>
      <c r="D244" s="73"/>
      <c r="E244" s="73"/>
      <c r="F244" s="73"/>
      <c r="G244" s="74"/>
      <c r="H244" s="73"/>
      <c r="I244" s="73"/>
      <c r="J244" s="3"/>
      <c r="K244" s="3"/>
      <c r="L244" s="3"/>
    </row>
    <row r="245" spans="1:82" x14ac:dyDescent="0.25">
      <c r="A245" s="9"/>
      <c r="B245" s="125"/>
      <c r="C245" s="9"/>
      <c r="D245" s="73"/>
      <c r="E245" s="73"/>
      <c r="F245" s="73"/>
      <c r="G245" s="74"/>
      <c r="H245" s="73"/>
      <c r="I245" s="73"/>
      <c r="J245" s="3"/>
      <c r="K245" s="3"/>
      <c r="L245" s="3"/>
    </row>
    <row r="246" spans="1:82" x14ac:dyDescent="0.25">
      <c r="A246" s="9"/>
      <c r="B246" s="103"/>
      <c r="C246" s="9"/>
      <c r="D246" s="73"/>
      <c r="E246" s="73"/>
      <c r="F246" s="73"/>
      <c r="G246" s="74"/>
      <c r="H246" s="73"/>
      <c r="I246" s="73"/>
      <c r="J246" s="3"/>
      <c r="K246" s="3"/>
      <c r="L246" s="3"/>
    </row>
    <row r="247" spans="1:82" x14ac:dyDescent="0.25">
      <c r="A247" s="9"/>
      <c r="B247" s="103"/>
      <c r="C247" s="9"/>
      <c r="D247" s="73"/>
      <c r="E247" s="73"/>
      <c r="F247" s="73"/>
      <c r="G247" s="74"/>
      <c r="H247" s="73"/>
      <c r="I247" s="73"/>
      <c r="J247" s="3"/>
      <c r="K247" s="3"/>
      <c r="L247" s="3"/>
    </row>
    <row r="248" spans="1:82" x14ac:dyDescent="0.25">
      <c r="A248" s="9"/>
      <c r="B248" s="103"/>
      <c r="C248" s="9"/>
      <c r="D248" s="73"/>
      <c r="E248" s="73"/>
      <c r="F248" s="73"/>
      <c r="G248" s="74"/>
      <c r="H248" s="73"/>
      <c r="I248" s="73"/>
      <c r="J248" s="3"/>
      <c r="K248" s="3"/>
      <c r="L248" s="3"/>
    </row>
    <row r="249" spans="1:82" ht="14.25" customHeight="1" x14ac:dyDescent="0.25">
      <c r="A249" s="9"/>
      <c r="B249" s="103"/>
      <c r="C249" s="9"/>
      <c r="D249" s="73"/>
      <c r="E249" s="73"/>
      <c r="F249" s="73"/>
      <c r="G249" s="74"/>
      <c r="H249" s="73"/>
      <c r="I249" s="3"/>
      <c r="J249" s="3"/>
      <c r="K249" s="3"/>
      <c r="L249" s="3"/>
      <c r="M249" t="str" cm="1">
        <f t="array" ref="M249:CD249">TRANSPOSE(_xlfn.UNIQUE(_xlfn._xlws.FILTER(Table4[Discipine Area],(Table4[Discipline No.]=C306)*(Table4[Discipline No.]=C306))))</f>
        <v>SALOON</v>
      </c>
      <c r="N249" t="str">
        <v>Companion door</v>
      </c>
      <c r="O249" t="str">
        <v>Fwd cockpit door</v>
      </c>
      <c r="P249" t="str">
        <v>Windows</v>
      </c>
      <c r="Q249" t="str">
        <v>U shape settee</v>
      </c>
      <c r="R249" t="str">
        <v>Saloon table</v>
      </c>
      <c r="S249" t="str">
        <v>Formica Bulkheads</v>
      </c>
      <c r="T249" t="str">
        <v>Magazine locker/shelf locker</v>
      </c>
      <c r="U249" t="str">
        <v>Vents</v>
      </c>
      <c r="V249" t="str">
        <v>Hullside vinyl panels</v>
      </c>
      <c r="W249" t="str">
        <v>Window blinds</v>
      </c>
      <c r="X249" t="str">
        <v>Nav desk</v>
      </c>
      <c r="Y249" t="str">
        <v>Chart table with storage locker under hinged lid</v>
      </c>
      <c r="Z249" t="str">
        <v>Storage locker under chart table</v>
      </c>
      <c r="AA249" t="str">
        <v xml:space="preserve">AC Outlets </v>
      </c>
      <c r="AB249" t="str">
        <v>Ottoman</v>
      </c>
      <c r="AC249" t="str">
        <v>Galley lockers</v>
      </c>
      <c r="AD249" t="str">
        <v>Stove locker</v>
      </c>
      <c r="AE249" t="str">
        <v>Draw locker</v>
      </c>
      <c r="AF249" t="str">
        <v>Fridge/Freezer locker</v>
      </c>
      <c r="AG249" t="str">
        <v>Microwave locker</v>
      </c>
      <c r="AH249" t="str">
        <v>Tv locker</v>
      </c>
      <c r="AI249" t="str">
        <v>AC/DC locker</v>
      </c>
      <c r="AJ249" t="str">
        <v>Vinyl ceiling</v>
      </c>
      <c r="AK249" t="str">
        <v>Floor</v>
      </c>
      <c r="AL249" t="str">
        <v>Large bowl s/s sink</v>
      </c>
      <c r="AM249" t="str">
        <v>Dish and cutlery drying recess with drainage</v>
      </c>
      <c r="AN249" t="str">
        <v>Cover for drying recess</v>
      </c>
      <c r="AO249" t="str">
        <v xml:space="preserve">Vitrifrigo 2 drawer front-opening fridge/freezer </v>
      </c>
      <c r="AP249" t="str">
        <v>Ice maker</v>
      </c>
      <c r="AQ249" t="str">
        <v>Wine cooler</v>
      </c>
      <c r="AR249" t="str">
        <v>Burner gas hob</v>
      </c>
      <c r="AS249" t="str">
        <v>Gas oven</v>
      </c>
      <c r="AT249" t="str">
        <v>Gas solenoid shut-off valve with control &amp; warning light at cooker</v>
      </c>
      <c r="AU249" t="str">
        <v xml:space="preserve">Formica steps </v>
      </c>
      <c r="AV249" t="str">
        <v>Gas detectors in each hull connected to alarm in saloon</v>
      </c>
      <c r="AW249" t="str">
        <v>Smoke detector/alarm</v>
      </c>
      <c r="AX249" t="str">
        <v>LED overhead lighting</v>
      </c>
      <c r="AY249" t="str">
        <v>CABIN/ STUDY/PASSAGE</v>
      </c>
      <c r="AZ249" t="str">
        <v>Inspection lids</v>
      </c>
      <c r="BA249" t="str">
        <v>Vinyl panels</v>
      </c>
      <c r="BB249" t="str">
        <v>Stairs</v>
      </c>
      <c r="BC249" t="str">
        <v>Bedside table outboard</v>
      </c>
      <c r="BD249" t="str">
        <v>Bedside cave locker inboard</v>
      </c>
      <c r="BE249" t="str">
        <v>Bunktop/Double berth</v>
      </c>
      <c r="BF249" t="str">
        <v>Hanging locker</v>
      </c>
      <c r="BG249" t="str">
        <v>Bunk Drawers</v>
      </c>
      <c r="BH249" t="str">
        <v>Cabin Door</v>
      </c>
      <c r="BI249" t="str">
        <v>Door frames</v>
      </c>
      <c r="BJ249" t="str">
        <v>Fiddles</v>
      </c>
      <c r="BK249" t="str">
        <v>Fan</v>
      </c>
      <c r="BL249" t="str">
        <v>Hatch</v>
      </c>
      <c r="BM249" t="str">
        <v>2 x LED reading lamps over bunk</v>
      </c>
      <c r="BN249" t="str">
        <v>Vanity table/desk with storage locker and mirror under lid</v>
      </c>
      <c r="BO249" t="str">
        <v>Fold up vanity mirror</v>
      </c>
      <c r="BP249" t="str">
        <v>Sliding entrance door with lock</v>
      </c>
      <c r="BQ249" t="str">
        <v>Doors</v>
      </c>
      <c r="BR249" t="str">
        <v>Large mirror behind sliding entrance door</v>
      </c>
      <c r="BS249" t="str">
        <v xml:space="preserve">HEADS </v>
      </c>
      <c r="BT249" t="str">
        <v>Under-basin locker with toilet roll holder</v>
      </c>
      <c r="BU249" t="str">
        <v>Vanity locker with mirror</v>
      </c>
      <c r="BV249" t="str">
        <v>Double towel rail</v>
      </c>
      <c r="BW249" t="str">
        <v>Sliding or hinged heads door</v>
      </c>
      <c r="BX249" t="str">
        <v>Washing machine locker</v>
      </c>
      <c r="BY249" t="str">
        <v>Dedicated trashcan locker</v>
      </c>
      <c r="BZ249" t="str">
        <v>Coat hook</v>
      </c>
      <c r="CA249" t="str">
        <v>Waste tank</v>
      </c>
      <c r="CB249" t="str">
        <v>Forepeak panel</v>
      </c>
      <c r="CC249" t="str">
        <v>Portlight with roller blind</v>
      </c>
      <c r="CD249" t="str">
        <v>Overhead roller blinds for privacy</v>
      </c>
    </row>
    <row r="250" spans="1:82" x14ac:dyDescent="0.25">
      <c r="A250" s="9"/>
      <c r="B250" s="103"/>
      <c r="C250" s="9"/>
      <c r="D250" s="73"/>
      <c r="E250" s="73"/>
      <c r="F250" s="73"/>
      <c r="G250" s="74"/>
      <c r="H250" s="73"/>
      <c r="I250" s="3"/>
      <c r="J250" s="3"/>
      <c r="K250" s="3"/>
      <c r="L250" s="3"/>
      <c r="M250" t="str" cm="1">
        <f t="array" ref="M250:CD250">TRANSPOSE(_xlfn.UNIQUE(_xlfn._xlws.FILTER(Table4[Discipine Area],(Table4[Discipline No.]=C307)*(Table4[Discipline No.]=C307))))</f>
        <v>SALOON</v>
      </c>
      <c r="N250" t="str">
        <v>Companion door</v>
      </c>
      <c r="O250" t="str">
        <v>Fwd cockpit door</v>
      </c>
      <c r="P250" t="str">
        <v>Windows</v>
      </c>
      <c r="Q250" t="str">
        <v>U shape settee</v>
      </c>
      <c r="R250" t="str">
        <v>Saloon table</v>
      </c>
      <c r="S250" t="str">
        <v>Formica Bulkheads</v>
      </c>
      <c r="T250" t="str">
        <v>Magazine locker/shelf locker</v>
      </c>
      <c r="U250" t="str">
        <v>Vents</v>
      </c>
      <c r="V250" t="str">
        <v>Hullside vinyl panels</v>
      </c>
      <c r="W250" t="str">
        <v>Window blinds</v>
      </c>
      <c r="X250" t="str">
        <v>Nav desk</v>
      </c>
      <c r="Y250" t="str">
        <v>Chart table with storage locker under hinged lid</v>
      </c>
      <c r="Z250" t="str">
        <v>Storage locker under chart table</v>
      </c>
      <c r="AA250" t="str">
        <v xml:space="preserve">AC Outlets </v>
      </c>
      <c r="AB250" t="str">
        <v>Ottoman</v>
      </c>
      <c r="AC250" t="str">
        <v>Galley lockers</v>
      </c>
      <c r="AD250" t="str">
        <v>Stove locker</v>
      </c>
      <c r="AE250" t="str">
        <v>Draw locker</v>
      </c>
      <c r="AF250" t="str">
        <v>Fridge/Freezer locker</v>
      </c>
      <c r="AG250" t="str">
        <v>Microwave locker</v>
      </c>
      <c r="AH250" t="str">
        <v>Tv locker</v>
      </c>
      <c r="AI250" t="str">
        <v>AC/DC locker</v>
      </c>
      <c r="AJ250" t="str">
        <v>Vinyl ceiling</v>
      </c>
      <c r="AK250" t="str">
        <v>Floor</v>
      </c>
      <c r="AL250" t="str">
        <v>Large bowl s/s sink</v>
      </c>
      <c r="AM250" t="str">
        <v>Dish and cutlery drying recess with drainage</v>
      </c>
      <c r="AN250" t="str">
        <v>Cover for drying recess</v>
      </c>
      <c r="AO250" t="str">
        <v xml:space="preserve">Vitrifrigo 2 drawer front-opening fridge/freezer </v>
      </c>
      <c r="AP250" t="str">
        <v>Ice maker</v>
      </c>
      <c r="AQ250" t="str">
        <v>Wine cooler</v>
      </c>
      <c r="AR250" t="str">
        <v>Burner gas hob</v>
      </c>
      <c r="AS250" t="str">
        <v>Gas oven</v>
      </c>
      <c r="AT250" t="str">
        <v>Gas solenoid shut-off valve with control &amp; warning light at cooker</v>
      </c>
      <c r="AU250" t="str">
        <v xml:space="preserve">Formica steps </v>
      </c>
      <c r="AV250" t="str">
        <v>Gas detectors in each hull connected to alarm in saloon</v>
      </c>
      <c r="AW250" t="str">
        <v>Smoke detector/alarm</v>
      </c>
      <c r="AX250" t="str">
        <v>LED overhead lighting</v>
      </c>
      <c r="AY250" t="str">
        <v>CABIN/ STUDY/PASSAGE</v>
      </c>
      <c r="AZ250" t="str">
        <v>Inspection lids</v>
      </c>
      <c r="BA250" t="str">
        <v>Vinyl panels</v>
      </c>
      <c r="BB250" t="str">
        <v>Stairs</v>
      </c>
      <c r="BC250" t="str">
        <v>Bedside table outboard</v>
      </c>
      <c r="BD250" t="str">
        <v>Bedside cave locker inboard</v>
      </c>
      <c r="BE250" t="str">
        <v>Bunktop/Double berth</v>
      </c>
      <c r="BF250" t="str">
        <v>Hanging locker</v>
      </c>
      <c r="BG250" t="str">
        <v>Bunk Drawers</v>
      </c>
      <c r="BH250" t="str">
        <v>Cabin Door</v>
      </c>
      <c r="BI250" t="str">
        <v>Door frames</v>
      </c>
      <c r="BJ250" t="str">
        <v>Fiddles</v>
      </c>
      <c r="BK250" t="str">
        <v>Fan</v>
      </c>
      <c r="BL250" t="str">
        <v>Hatch</v>
      </c>
      <c r="BM250" t="str">
        <v>2 x LED reading lamps over bunk</v>
      </c>
      <c r="BN250" t="str">
        <v>Vanity table/desk with storage locker and mirror under lid</v>
      </c>
      <c r="BO250" t="str">
        <v>Fold up vanity mirror</v>
      </c>
      <c r="BP250" t="str">
        <v>Sliding entrance door with lock</v>
      </c>
      <c r="BQ250" t="str">
        <v>Doors</v>
      </c>
      <c r="BR250" t="str">
        <v>Large mirror behind sliding entrance door</v>
      </c>
      <c r="BS250" t="str">
        <v xml:space="preserve">HEADS </v>
      </c>
      <c r="BT250" t="str">
        <v>Under-basin locker with toilet roll holder</v>
      </c>
      <c r="BU250" t="str">
        <v>Vanity locker with mirror</v>
      </c>
      <c r="BV250" t="str">
        <v>Double towel rail</v>
      </c>
      <c r="BW250" t="str">
        <v>Sliding or hinged heads door</v>
      </c>
      <c r="BX250" t="str">
        <v>Washing machine locker</v>
      </c>
      <c r="BY250" t="str">
        <v>Dedicated trashcan locker</v>
      </c>
      <c r="BZ250" t="str">
        <v>Coat hook</v>
      </c>
      <c r="CA250" t="str">
        <v>Waste tank</v>
      </c>
      <c r="CB250" t="str">
        <v>Forepeak panel</v>
      </c>
      <c r="CC250" t="str">
        <v>Portlight with roller blind</v>
      </c>
      <c r="CD250" t="str">
        <v>Overhead roller blinds for privacy</v>
      </c>
    </row>
    <row r="251" spans="1:82" x14ac:dyDescent="0.25">
      <c r="A251" s="9"/>
      <c r="B251" s="103"/>
      <c r="C251" s="9"/>
      <c r="D251" s="73"/>
      <c r="E251" s="73"/>
      <c r="F251" s="73"/>
      <c r="G251" s="74"/>
      <c r="H251" s="73"/>
      <c r="I251" s="3"/>
      <c r="J251" s="3"/>
      <c r="K251" s="3"/>
      <c r="L251" s="3"/>
      <c r="M251" t="str" cm="1">
        <f t="array" ref="M251:CD251">TRANSPOSE(_xlfn.UNIQUE(_xlfn._xlws.FILTER(Table4[Discipine Area],(Table4[Discipline No.]=C308)*(Table4[Discipline No.]=C308))))</f>
        <v>SALOON</v>
      </c>
      <c r="N251" t="str">
        <v>Companion door</v>
      </c>
      <c r="O251" t="str">
        <v>Fwd cockpit door</v>
      </c>
      <c r="P251" t="str">
        <v>Windows</v>
      </c>
      <c r="Q251" t="str">
        <v>U shape settee</v>
      </c>
      <c r="R251" t="str">
        <v>Saloon table</v>
      </c>
      <c r="S251" t="str">
        <v>Formica Bulkheads</v>
      </c>
      <c r="T251" t="str">
        <v>Magazine locker/shelf locker</v>
      </c>
      <c r="U251" t="str">
        <v>Vents</v>
      </c>
      <c r="V251" t="str">
        <v>Hullside vinyl panels</v>
      </c>
      <c r="W251" t="str">
        <v>Window blinds</v>
      </c>
      <c r="X251" t="str">
        <v>Nav desk</v>
      </c>
      <c r="Y251" t="str">
        <v>Chart table with storage locker under hinged lid</v>
      </c>
      <c r="Z251" t="str">
        <v>Storage locker under chart table</v>
      </c>
      <c r="AA251" t="str">
        <v xml:space="preserve">AC Outlets </v>
      </c>
      <c r="AB251" t="str">
        <v>Ottoman</v>
      </c>
      <c r="AC251" t="str">
        <v>Galley lockers</v>
      </c>
      <c r="AD251" t="str">
        <v>Stove locker</v>
      </c>
      <c r="AE251" t="str">
        <v>Draw locker</v>
      </c>
      <c r="AF251" t="str">
        <v>Fridge/Freezer locker</v>
      </c>
      <c r="AG251" t="str">
        <v>Microwave locker</v>
      </c>
      <c r="AH251" t="str">
        <v>Tv locker</v>
      </c>
      <c r="AI251" t="str">
        <v>AC/DC locker</v>
      </c>
      <c r="AJ251" t="str">
        <v>Vinyl ceiling</v>
      </c>
      <c r="AK251" t="str">
        <v>Floor</v>
      </c>
      <c r="AL251" t="str">
        <v>Large bowl s/s sink</v>
      </c>
      <c r="AM251" t="str">
        <v>Dish and cutlery drying recess with drainage</v>
      </c>
      <c r="AN251" t="str">
        <v>Cover for drying recess</v>
      </c>
      <c r="AO251" t="str">
        <v xml:space="preserve">Vitrifrigo 2 drawer front-opening fridge/freezer </v>
      </c>
      <c r="AP251" t="str">
        <v>Ice maker</v>
      </c>
      <c r="AQ251" t="str">
        <v>Wine cooler</v>
      </c>
      <c r="AR251" t="str">
        <v>Burner gas hob</v>
      </c>
      <c r="AS251" t="str">
        <v>Gas oven</v>
      </c>
      <c r="AT251" t="str">
        <v>Gas solenoid shut-off valve with control &amp; warning light at cooker</v>
      </c>
      <c r="AU251" t="str">
        <v xml:space="preserve">Formica steps </v>
      </c>
      <c r="AV251" t="str">
        <v>Gas detectors in each hull connected to alarm in saloon</v>
      </c>
      <c r="AW251" t="str">
        <v>Smoke detector/alarm</v>
      </c>
      <c r="AX251" t="str">
        <v>LED overhead lighting</v>
      </c>
      <c r="AY251" t="str">
        <v>CABIN/ STUDY/PASSAGE</v>
      </c>
      <c r="AZ251" t="str">
        <v>Inspection lids</v>
      </c>
      <c r="BA251" t="str">
        <v>Vinyl panels</v>
      </c>
      <c r="BB251" t="str">
        <v>Stairs</v>
      </c>
      <c r="BC251" t="str">
        <v>Bedside table outboard</v>
      </c>
      <c r="BD251" t="str">
        <v>Bedside cave locker inboard</v>
      </c>
      <c r="BE251" t="str">
        <v>Bunktop/Double berth</v>
      </c>
      <c r="BF251" t="str">
        <v>Hanging locker</v>
      </c>
      <c r="BG251" t="str">
        <v>Bunk Drawers</v>
      </c>
      <c r="BH251" t="str">
        <v>Cabin Door</v>
      </c>
      <c r="BI251" t="str">
        <v>Door frames</v>
      </c>
      <c r="BJ251" t="str">
        <v>Fiddles</v>
      </c>
      <c r="BK251" t="str">
        <v>Fan</v>
      </c>
      <c r="BL251" t="str">
        <v>Hatch</v>
      </c>
      <c r="BM251" t="str">
        <v>2 x LED reading lamps over bunk</v>
      </c>
      <c r="BN251" t="str">
        <v>Vanity table/desk with storage locker and mirror under lid</v>
      </c>
      <c r="BO251" t="str">
        <v>Fold up vanity mirror</v>
      </c>
      <c r="BP251" t="str">
        <v>Sliding entrance door with lock</v>
      </c>
      <c r="BQ251" t="str">
        <v>Doors</v>
      </c>
      <c r="BR251" t="str">
        <v>Large mirror behind sliding entrance door</v>
      </c>
      <c r="BS251" t="str">
        <v xml:space="preserve">HEADS </v>
      </c>
      <c r="BT251" t="str">
        <v>Under-basin locker with toilet roll holder</v>
      </c>
      <c r="BU251" t="str">
        <v>Vanity locker with mirror</v>
      </c>
      <c r="BV251" t="str">
        <v>Double towel rail</v>
      </c>
      <c r="BW251" t="str">
        <v>Sliding or hinged heads door</v>
      </c>
      <c r="BX251" t="str">
        <v>Washing machine locker</v>
      </c>
      <c r="BY251" t="str">
        <v>Dedicated trashcan locker</v>
      </c>
      <c r="BZ251" t="str">
        <v>Coat hook</v>
      </c>
      <c r="CA251" t="str">
        <v>Waste tank</v>
      </c>
      <c r="CB251" t="str">
        <v>Forepeak panel</v>
      </c>
      <c r="CC251" t="str">
        <v>Portlight with roller blind</v>
      </c>
      <c r="CD251" t="str">
        <v>Overhead roller blinds for privacy</v>
      </c>
    </row>
    <row r="252" spans="1:82" ht="15" customHeight="1" x14ac:dyDescent="0.25">
      <c r="A252" s="131" t="s">
        <v>411</v>
      </c>
      <c r="B252" s="132"/>
      <c r="C252" s="132"/>
      <c r="D252" s="132"/>
      <c r="E252" s="132"/>
      <c r="F252" s="133"/>
      <c r="G252" s="3" t="s">
        <v>412</v>
      </c>
      <c r="H252" s="141"/>
      <c r="I252" s="142"/>
      <c r="J252" s="134" t="s">
        <v>409</v>
      </c>
      <c r="K252" s="135"/>
      <c r="L252" s="136"/>
      <c r="M252" t="e" cm="1" vm="1">
        <f t="array" ref="M252">TRANSPOSE(_xlfn.UNIQUE(_xlfn._xlws.FILTER(Table4[Discipine Area],(Table4[Discipline No.]=C313)*(Table4[Discipline No.]=C313))))</f>
        <v>#VALUE!</v>
      </c>
    </row>
    <row r="253" spans="1:82" ht="15" customHeight="1" x14ac:dyDescent="0.25">
      <c r="A253" s="127" t="s">
        <v>0</v>
      </c>
      <c r="B253" s="127" t="s">
        <v>1</v>
      </c>
      <c r="C253" s="129" t="s">
        <v>2</v>
      </c>
      <c r="D253" s="129" t="s">
        <v>3</v>
      </c>
      <c r="E253" s="129" t="s">
        <v>4</v>
      </c>
      <c r="F253" s="129" t="s">
        <v>410</v>
      </c>
      <c r="G253" s="139" t="s">
        <v>216</v>
      </c>
      <c r="H253" s="139" t="s">
        <v>6</v>
      </c>
      <c r="I253" s="139" t="s">
        <v>7</v>
      </c>
      <c r="J253" s="137" t="s">
        <v>8</v>
      </c>
      <c r="K253" s="138" t="s">
        <v>9</v>
      </c>
      <c r="L253" s="138"/>
      <c r="M253" t="e" cm="1" vm="1">
        <f t="array" ref="M253">TRANSPOSE(_xlfn.UNIQUE(_xlfn._xlws.FILTER(Table4[Discipine Area],(Table4[Discipline No.]=C314)*(Table4[Discipline No.]=C314))))</f>
        <v>#VALUE!</v>
      </c>
    </row>
    <row r="254" spans="1:82" ht="15" customHeight="1" x14ac:dyDescent="0.25">
      <c r="A254" s="128"/>
      <c r="B254" s="128"/>
      <c r="C254" s="130"/>
      <c r="D254" s="130"/>
      <c r="E254" s="130"/>
      <c r="F254" s="130"/>
      <c r="G254" s="140"/>
      <c r="H254" s="140"/>
      <c r="I254" s="140"/>
      <c r="J254" s="137"/>
      <c r="K254" s="78" t="s">
        <v>10</v>
      </c>
      <c r="L254" s="78" t="s">
        <v>11</v>
      </c>
      <c r="M254" t="e" cm="1" vm="1">
        <f t="array" ref="M254">TRANSPOSE(_xlfn.UNIQUE(_xlfn._xlws.FILTER(Table4[Discipine Area],(Table4[Discipline No.]=C315)*(Table4[Discipline No.]=C315))))</f>
        <v>#VALUE!</v>
      </c>
    </row>
    <row r="255" spans="1:82" ht="15" customHeight="1" x14ac:dyDescent="0.25">
      <c r="A255" s="9"/>
      <c r="B255" s="112" t="s">
        <v>540</v>
      </c>
      <c r="C255" s="9"/>
      <c r="D255" s="73"/>
      <c r="E255" s="73"/>
      <c r="F255" s="73"/>
      <c r="G255" s="74"/>
      <c r="H255" s="75"/>
      <c r="I255" s="3"/>
      <c r="J255" s="3"/>
      <c r="K255" s="3"/>
      <c r="L255" s="3"/>
      <c r="M255" t="e" cm="1" vm="1">
        <f t="array" ref="M255">TRANSPOSE(_xlfn.UNIQUE(_xlfn._xlws.FILTER(Table4[Discipine Area],(Table4[Discipline No.]=C316)*(Table4[Discipline No.]=C316))))</f>
        <v>#VALUE!</v>
      </c>
    </row>
    <row r="256" spans="1:82" x14ac:dyDescent="0.25">
      <c r="A256" s="9"/>
      <c r="B256" s="115"/>
      <c r="C256" s="9"/>
      <c r="D256" s="73"/>
      <c r="E256" s="73"/>
      <c r="F256" s="73"/>
      <c r="G256" s="74"/>
      <c r="H256" s="74"/>
      <c r="I256" s="73"/>
      <c r="J256" s="3"/>
      <c r="K256" s="3"/>
      <c r="L256" s="3"/>
      <c r="M256" t="e" cm="1" vm="1">
        <f t="array" ref="M256">TRANSPOSE(_xlfn.UNIQUE(_xlfn._xlws.FILTER(Table4[Discipine Area],(Table4[Discipline No.]=C317)*(Table4[Discipline No.]=C317))))</f>
        <v>#VALUE!</v>
      </c>
    </row>
    <row r="257" spans="1:13" x14ac:dyDescent="0.25">
      <c r="A257" s="9"/>
      <c r="B257" s="115"/>
      <c r="C257" s="9"/>
      <c r="D257" s="73"/>
      <c r="E257" s="73"/>
      <c r="F257" s="73"/>
      <c r="G257" s="74"/>
      <c r="H257" s="74"/>
      <c r="I257" s="73"/>
      <c r="J257" s="3"/>
      <c r="K257" s="3"/>
      <c r="L257" s="3"/>
      <c r="M257" t="e" cm="1" vm="1">
        <f t="array" ref="M257">TRANSPOSE(_xlfn.UNIQUE(_xlfn._xlws.FILTER(Table4[Discipine Area],(Table4[Discipline No.]=C318)*(Table4[Discipline No.]=C318))))</f>
        <v>#VALUE!</v>
      </c>
    </row>
    <row r="258" spans="1:13" x14ac:dyDescent="0.25">
      <c r="A258" s="9"/>
      <c r="B258" s="115"/>
      <c r="C258" s="9"/>
      <c r="D258" s="73"/>
      <c r="E258" s="73"/>
      <c r="F258" s="73"/>
      <c r="G258" s="74"/>
      <c r="H258" s="74"/>
      <c r="I258" s="73"/>
      <c r="J258" s="3"/>
      <c r="K258" s="3"/>
      <c r="L258" s="3"/>
      <c r="M258" t="e" cm="1" vm="1">
        <f t="array" ref="M258">TRANSPOSE(_xlfn.UNIQUE(_xlfn._xlws.FILTER(Table4[Discipine Area],(Table4[Discipline No.]=C319)*(Table4[Discipline No.]=C319))))</f>
        <v>#VALUE!</v>
      </c>
    </row>
    <row r="259" spans="1:13" x14ac:dyDescent="0.25">
      <c r="A259" s="9"/>
      <c r="B259" s="115"/>
      <c r="C259" s="9">
        <v>3</v>
      </c>
      <c r="D259" s="73" t="s">
        <v>336</v>
      </c>
      <c r="E259" s="73" t="s">
        <v>300</v>
      </c>
      <c r="F259" s="73"/>
      <c r="G259" s="74" t="s">
        <v>541</v>
      </c>
      <c r="H259" s="74"/>
      <c r="I259" s="73"/>
      <c r="J259" s="3"/>
      <c r="K259" s="3"/>
      <c r="L259" s="3"/>
      <c r="M259" t="e" cm="1" vm="1">
        <f t="array" ref="M259">TRANSPOSE(_xlfn.UNIQUE(_xlfn._xlws.FILTER(Table4[Discipine Area],(Table4[Discipline No.]=C320)*(Table4[Discipline No.]=C320))))</f>
        <v>#VALUE!</v>
      </c>
    </row>
    <row r="260" spans="1:13" x14ac:dyDescent="0.25">
      <c r="A260" s="9"/>
      <c r="B260" s="115"/>
      <c r="C260" s="9">
        <v>3</v>
      </c>
      <c r="D260" s="73" t="s">
        <v>336</v>
      </c>
      <c r="E260" s="73" t="s">
        <v>362</v>
      </c>
      <c r="F260" s="73"/>
      <c r="G260" s="74" t="s">
        <v>542</v>
      </c>
      <c r="H260" s="74"/>
      <c r="I260" s="73"/>
      <c r="J260" s="3"/>
      <c r="K260" s="3"/>
      <c r="L260" s="3"/>
      <c r="M260" t="e" cm="1" vm="1">
        <f t="array" ref="M260">TRANSPOSE(_xlfn.UNIQUE(_xlfn._xlws.FILTER(Table4[Discipine Area],(Table4[Discipline No.]=C321)*(Table4[Discipline No.]=C321))))</f>
        <v>#VALUE!</v>
      </c>
    </row>
    <row r="261" spans="1:13" x14ac:dyDescent="0.25">
      <c r="A261" s="9"/>
      <c r="B261" s="115"/>
      <c r="C261" s="9">
        <v>3</v>
      </c>
      <c r="D261" s="73" t="s">
        <v>97</v>
      </c>
      <c r="E261" s="73" t="s">
        <v>299</v>
      </c>
      <c r="F261" s="73"/>
      <c r="G261" s="74" t="s">
        <v>543</v>
      </c>
      <c r="H261" s="74"/>
      <c r="I261" s="73"/>
      <c r="J261" s="3"/>
      <c r="K261" s="3"/>
      <c r="L261" s="3"/>
      <c r="M261" t="e" cm="1" vm="1">
        <f t="array" ref="M261">TRANSPOSE(_xlfn.UNIQUE(_xlfn._xlws.FILTER(Table4[Discipine Area],(Table4[Discipline No.]=C322)*(Table4[Discipline No.]=C322))))</f>
        <v>#VALUE!</v>
      </c>
    </row>
    <row r="262" spans="1:13" x14ac:dyDescent="0.25">
      <c r="A262" s="9"/>
      <c r="B262" s="115"/>
      <c r="C262" s="9">
        <v>3</v>
      </c>
      <c r="D262" s="73" t="s">
        <v>97</v>
      </c>
      <c r="E262" s="73" t="s">
        <v>362</v>
      </c>
      <c r="F262" s="73"/>
      <c r="G262" s="74" t="s">
        <v>544</v>
      </c>
      <c r="H262" s="74"/>
      <c r="I262" s="73"/>
      <c r="J262" s="3"/>
      <c r="K262" s="3"/>
      <c r="L262" s="3"/>
      <c r="M262" t="e" cm="1" vm="1">
        <f t="array" ref="M262">TRANSPOSE(_xlfn.UNIQUE(_xlfn._xlws.FILTER(Table4[Discipine Area],(Table4[Discipline No.]=C323)*(Table4[Discipline No.]=C323))))</f>
        <v>#VALUE!</v>
      </c>
    </row>
    <row r="263" spans="1:13" x14ac:dyDescent="0.25">
      <c r="A263" s="9"/>
      <c r="B263" s="115"/>
      <c r="C263" s="9">
        <v>3</v>
      </c>
      <c r="D263" s="73" t="s">
        <v>316</v>
      </c>
      <c r="E263" s="73" t="s">
        <v>300</v>
      </c>
      <c r="F263" s="73"/>
      <c r="G263" s="74" t="s">
        <v>510</v>
      </c>
      <c r="H263" s="74"/>
      <c r="I263" s="73"/>
      <c r="J263" s="3"/>
      <c r="K263" s="3"/>
      <c r="L263" s="3"/>
      <c r="M263" t="e" cm="1" vm="1">
        <f t="array" ref="M263">TRANSPOSE(_xlfn.UNIQUE(_xlfn._xlws.FILTER(Table4[Discipine Area],(Table4[Discipline No.]=C324)*(Table4[Discipline No.]=C324))))</f>
        <v>#VALUE!</v>
      </c>
    </row>
    <row r="264" spans="1:13" x14ac:dyDescent="0.25">
      <c r="A264" s="9"/>
      <c r="B264" s="116"/>
      <c r="C264" s="9">
        <v>3</v>
      </c>
      <c r="D264" s="73" t="s">
        <v>338</v>
      </c>
      <c r="E264" s="73" t="s">
        <v>213</v>
      </c>
      <c r="F264" s="73"/>
      <c r="G264" s="74" t="s">
        <v>545</v>
      </c>
      <c r="H264" s="74"/>
      <c r="I264" s="73"/>
      <c r="J264" s="3"/>
      <c r="K264" s="3"/>
      <c r="L264" s="3"/>
      <c r="M264" t="e" cm="1" vm="1">
        <f t="array" ref="M264">TRANSPOSE(_xlfn.UNIQUE(_xlfn._xlws.FILTER(Table4[Discipine Area],(Table4[Discipline No.]=C325)*(Table4[Discipline No.]=C325))))</f>
        <v>#VALUE!</v>
      </c>
    </row>
    <row r="265" spans="1:13" x14ac:dyDescent="0.25">
      <c r="A265" s="9"/>
      <c r="B265" s="115"/>
      <c r="C265" s="9">
        <v>1</v>
      </c>
      <c r="D265" s="73" t="s">
        <v>401</v>
      </c>
      <c r="E265" s="73" t="s">
        <v>222</v>
      </c>
      <c r="F265" s="73"/>
      <c r="G265" s="74" t="s">
        <v>546</v>
      </c>
      <c r="H265" s="74"/>
      <c r="I265" s="73"/>
      <c r="J265" s="3"/>
      <c r="K265" s="3"/>
      <c r="L265" s="3"/>
      <c r="M265" t="e" cm="1">
        <f t="array" ref="M265">TRANSPOSE(_xlfn.UNIQUE(_xlfn._xlws.FILTER(Table4[Discipine Area],(Table4[Discipline No.]=#REF!)*(Table4[Discipline No.]=#REF!))))</f>
        <v>#REF!</v>
      </c>
    </row>
    <row r="266" spans="1:13" x14ac:dyDescent="0.25">
      <c r="A266" s="9"/>
      <c r="B266" s="118"/>
      <c r="C266" s="9">
        <v>3</v>
      </c>
      <c r="D266" s="73" t="s">
        <v>374</v>
      </c>
      <c r="E266" s="73" t="s">
        <v>362</v>
      </c>
      <c r="F266" s="73"/>
      <c r="G266" s="74" t="s">
        <v>547</v>
      </c>
      <c r="H266" s="74"/>
      <c r="I266" s="73"/>
      <c r="J266" s="3"/>
      <c r="K266" s="3"/>
      <c r="L266" s="3"/>
      <c r="M266" t="e" cm="1">
        <f t="array" ref="M266">TRANSPOSE(_xlfn.UNIQUE(_xlfn._xlws.FILTER(Table4[Discipine Area],(Table4[Discipline No.]=#REF!)*(Table4[Discipline No.]=#REF!))))</f>
        <v>#REF!</v>
      </c>
    </row>
    <row r="267" spans="1:13" x14ac:dyDescent="0.25">
      <c r="A267" s="9"/>
      <c r="B267" s="118"/>
      <c r="C267" s="9">
        <v>3</v>
      </c>
      <c r="D267" s="73" t="s">
        <v>367</v>
      </c>
      <c r="E267" s="73" t="s">
        <v>362</v>
      </c>
      <c r="F267" s="73"/>
      <c r="G267" s="74" t="s">
        <v>548</v>
      </c>
      <c r="H267" s="74"/>
      <c r="I267" s="73"/>
      <c r="J267" s="3"/>
      <c r="K267" s="3"/>
      <c r="L267" s="3"/>
      <c r="M267" t="e" cm="1">
        <f t="array" ref="M267">TRANSPOSE(_xlfn.UNIQUE(_xlfn._xlws.FILTER(Table4[Discipine Area],(Table4[Discipline No.]=#REF!)*(Table4[Discipline No.]=#REF!))))</f>
        <v>#REF!</v>
      </c>
    </row>
    <row r="268" spans="1:13" ht="15" customHeight="1" x14ac:dyDescent="0.25">
      <c r="A268" s="9"/>
      <c r="B268" s="116"/>
      <c r="C268" s="9">
        <v>3</v>
      </c>
      <c r="D268" s="73" t="s">
        <v>104</v>
      </c>
      <c r="E268" s="73" t="s">
        <v>299</v>
      </c>
      <c r="F268" s="73"/>
      <c r="G268" s="74" t="s">
        <v>549</v>
      </c>
      <c r="H268" s="74"/>
      <c r="I268" s="73"/>
      <c r="J268" s="3"/>
      <c r="K268" s="3"/>
      <c r="L268" s="3"/>
      <c r="M268" t="e" cm="1" vm="1">
        <f t="array" ref="M268">TRANSPOSE(_xlfn.UNIQUE(_xlfn._xlws.FILTER(Table4[Discipine Area],(Table4[Discipline No.]=C326)*(Table4[Discipline No.]=C326))))</f>
        <v>#VALUE!</v>
      </c>
    </row>
    <row r="269" spans="1:13" ht="15" customHeight="1" x14ac:dyDescent="0.25">
      <c r="A269" s="9"/>
      <c r="B269" s="118"/>
      <c r="C269" s="9">
        <v>3</v>
      </c>
      <c r="D269" s="73" t="s">
        <v>339</v>
      </c>
      <c r="E269" s="73" t="s">
        <v>298</v>
      </c>
      <c r="F269" s="73"/>
      <c r="G269" s="73" t="s">
        <v>550</v>
      </c>
      <c r="H269" s="74"/>
      <c r="I269" s="73"/>
      <c r="J269" s="3"/>
      <c r="K269" s="3"/>
      <c r="L269" s="3"/>
      <c r="M269" t="e" cm="1" vm="1">
        <f t="array" ref="M269">TRANSPOSE(_xlfn.UNIQUE(_xlfn._xlws.FILTER(Table4[Discipine Area],(Table4[Discipline No.]=C327)*(Table4[Discipline No.]=C327))))</f>
        <v>#VALUE!</v>
      </c>
    </row>
    <row r="270" spans="1:13" x14ac:dyDescent="0.25">
      <c r="A270" s="9"/>
      <c r="B270" s="117"/>
      <c r="C270" s="9"/>
      <c r="D270" s="73"/>
      <c r="E270" s="73"/>
      <c r="F270" s="73"/>
      <c r="G270" s="74"/>
      <c r="H270" s="74"/>
      <c r="I270" s="73"/>
      <c r="J270" s="3"/>
      <c r="K270" s="3"/>
      <c r="L270" s="3"/>
      <c r="M270" t="e" cm="1" vm="1">
        <f t="array" ref="M270">TRANSPOSE(_xlfn.UNIQUE(_xlfn._xlws.FILTER(Table4[Discipine Area],(Table4[Discipline No.]=C328)*(Table4[Discipline No.]=C328))))</f>
        <v>#VALUE!</v>
      </c>
    </row>
    <row r="271" spans="1:13" ht="15" customHeight="1" x14ac:dyDescent="0.25">
      <c r="A271" s="9"/>
      <c r="B271" s="102"/>
      <c r="C271" s="9"/>
      <c r="D271" s="73"/>
      <c r="E271" s="73"/>
      <c r="F271" s="73"/>
      <c r="G271" s="74"/>
      <c r="H271" s="74"/>
      <c r="I271" s="73"/>
      <c r="J271" s="3"/>
      <c r="K271" s="3"/>
      <c r="L271" s="3"/>
      <c r="M271" t="e" cm="1" vm="1">
        <f t="array" ref="M271">TRANSPOSE(_xlfn.UNIQUE(_xlfn._xlws.FILTER(Table4[Discipine Area],(Table4[Discipline No.]=C329)*(Table4[Discipline No.]=C329))))</f>
        <v>#VALUE!</v>
      </c>
    </row>
    <row r="272" spans="1:13" ht="15" customHeight="1" x14ac:dyDescent="0.25">
      <c r="A272" s="9"/>
      <c r="B272" s="101"/>
      <c r="C272" s="9"/>
      <c r="D272" s="73"/>
      <c r="E272" s="73"/>
      <c r="F272" s="73"/>
      <c r="G272" s="74"/>
      <c r="H272" s="74"/>
      <c r="I272" s="73"/>
      <c r="J272" s="3"/>
      <c r="K272" s="3"/>
      <c r="L272" s="3"/>
      <c r="M272" t="e" cm="1" vm="1">
        <f t="array" ref="M272">TRANSPOSE(_xlfn.UNIQUE(_xlfn._xlws.FILTER(Table4[Discipine Area],(Table4[Discipline No.]=C330)*(Table4[Discipline No.]=C330))))</f>
        <v>#VALUE!</v>
      </c>
    </row>
    <row r="273" spans="1:82" ht="15" customHeight="1" x14ac:dyDescent="0.25">
      <c r="A273" s="9"/>
      <c r="B273" s="98"/>
      <c r="C273" s="9"/>
      <c r="D273" s="73"/>
      <c r="E273" s="73"/>
      <c r="F273" s="73"/>
      <c r="G273" s="74"/>
      <c r="H273" s="74"/>
      <c r="I273" s="73"/>
      <c r="J273" s="3"/>
      <c r="K273" s="3"/>
      <c r="L273" s="3"/>
      <c r="M273" t="e" cm="1" vm="1">
        <f t="array" ref="M273">TRANSPOSE(_xlfn.UNIQUE(_xlfn._xlws.FILTER(Table4[Discipine Area],(Table4[Discipline No.]=C331)*(Table4[Discipline No.]=C331))))</f>
        <v>#VALUE!</v>
      </c>
    </row>
    <row r="274" spans="1:82" ht="15" customHeight="1" x14ac:dyDescent="0.25">
      <c r="A274" s="9"/>
      <c r="B274" s="98"/>
      <c r="C274" s="9"/>
      <c r="D274" s="73"/>
      <c r="E274" s="73"/>
      <c r="F274" s="73"/>
      <c r="G274" s="74"/>
      <c r="H274" s="74"/>
      <c r="I274" s="73"/>
      <c r="J274" s="3"/>
      <c r="K274" s="3"/>
      <c r="L274" s="3"/>
      <c r="M274" t="e" cm="1" vm="1">
        <f t="array" ref="M274">TRANSPOSE(_xlfn.UNIQUE(_xlfn._xlws.FILTER(Table4[Discipine Area],(Table4[Discipline No.]=C332)*(Table4[Discipline No.]=C332))))</f>
        <v>#VALUE!</v>
      </c>
    </row>
    <row r="275" spans="1:82" ht="15" customHeight="1" x14ac:dyDescent="0.25">
      <c r="A275" s="9"/>
      <c r="B275" s="102"/>
      <c r="C275" s="9"/>
      <c r="D275" s="73"/>
      <c r="E275" s="73"/>
      <c r="F275" s="73"/>
      <c r="G275" s="74"/>
      <c r="H275" s="74"/>
      <c r="I275" s="73"/>
      <c r="J275" s="3"/>
      <c r="K275" s="3"/>
      <c r="L275" s="3"/>
      <c r="M275" t="str" cm="1">
        <f t="array" ref="M275:CD275">TRANSPOSE(_xlfn.UNIQUE(_xlfn._xlws.FILTER(Table4[Discipine Area],(Table4[Discipline No.]=C333)*(Table4[Discipline No.]=C333))))</f>
        <v>SALOON</v>
      </c>
      <c r="N275" t="str">
        <v>Companion door</v>
      </c>
      <c r="O275" t="str">
        <v>Fwd cockpit door</v>
      </c>
      <c r="P275" t="str">
        <v>Windows</v>
      </c>
      <c r="Q275" t="str">
        <v>U shape settee</v>
      </c>
      <c r="R275" t="str">
        <v>Saloon table</v>
      </c>
      <c r="S275" t="str">
        <v>Formica Bulkheads</v>
      </c>
      <c r="T275" t="str">
        <v>Magazine locker/shelf locker</v>
      </c>
      <c r="U275" t="str">
        <v>Vents</v>
      </c>
      <c r="V275" t="str">
        <v>Hullside vinyl panels</v>
      </c>
      <c r="W275" t="str">
        <v>Window blinds</v>
      </c>
      <c r="X275" t="str">
        <v>Nav desk</v>
      </c>
      <c r="Y275" t="str">
        <v>Chart table with storage locker under hinged lid</v>
      </c>
      <c r="Z275" t="str">
        <v>Storage locker under chart table</v>
      </c>
      <c r="AA275" t="str">
        <v xml:space="preserve">AC Outlets </v>
      </c>
      <c r="AB275" t="str">
        <v>Ottoman</v>
      </c>
      <c r="AC275" t="str">
        <v>Galley lockers</v>
      </c>
      <c r="AD275" t="str">
        <v>Stove locker</v>
      </c>
      <c r="AE275" t="str">
        <v>Draw locker</v>
      </c>
      <c r="AF275" t="str">
        <v>Fridge/Freezer locker</v>
      </c>
      <c r="AG275" t="str">
        <v>Microwave locker</v>
      </c>
      <c r="AH275" t="str">
        <v>Tv locker</v>
      </c>
      <c r="AI275" t="str">
        <v>AC/DC locker</v>
      </c>
      <c r="AJ275" t="str">
        <v>Vinyl ceiling</v>
      </c>
      <c r="AK275" t="str">
        <v>Floor</v>
      </c>
      <c r="AL275" t="str">
        <v>Large bowl s/s sink</v>
      </c>
      <c r="AM275" t="str">
        <v>Dish and cutlery drying recess with drainage</v>
      </c>
      <c r="AN275" t="str">
        <v>Cover for drying recess</v>
      </c>
      <c r="AO275" t="str">
        <v xml:space="preserve">Vitrifrigo 2 drawer front-opening fridge/freezer </v>
      </c>
      <c r="AP275" t="str">
        <v>Ice maker</v>
      </c>
      <c r="AQ275" t="str">
        <v>Wine cooler</v>
      </c>
      <c r="AR275" t="str">
        <v>Burner gas hob</v>
      </c>
      <c r="AS275" t="str">
        <v>Gas oven</v>
      </c>
      <c r="AT275" t="str">
        <v>Gas solenoid shut-off valve with control &amp; warning light at cooker</v>
      </c>
      <c r="AU275" t="str">
        <v xml:space="preserve">Formica steps </v>
      </c>
      <c r="AV275" t="str">
        <v>Gas detectors in each hull connected to alarm in saloon</v>
      </c>
      <c r="AW275" t="str">
        <v>Smoke detector/alarm</v>
      </c>
      <c r="AX275" t="str">
        <v>LED overhead lighting</v>
      </c>
      <c r="AY275" t="str">
        <v>CABIN/ STUDY/PASSAGE</v>
      </c>
      <c r="AZ275" t="str">
        <v>Inspection lids</v>
      </c>
      <c r="BA275" t="str">
        <v>Vinyl panels</v>
      </c>
      <c r="BB275" t="str">
        <v>Stairs</v>
      </c>
      <c r="BC275" t="str">
        <v>Bedside table outboard</v>
      </c>
      <c r="BD275" t="str">
        <v>Bedside cave locker inboard</v>
      </c>
      <c r="BE275" t="str">
        <v>Bunktop/Double berth</v>
      </c>
      <c r="BF275" t="str">
        <v>Hanging locker</v>
      </c>
      <c r="BG275" t="str">
        <v>Bunk Drawers</v>
      </c>
      <c r="BH275" t="str">
        <v>Cabin Door</v>
      </c>
      <c r="BI275" t="str">
        <v>Door frames</v>
      </c>
      <c r="BJ275" t="str">
        <v>Fiddles</v>
      </c>
      <c r="BK275" t="str">
        <v>Fan</v>
      </c>
      <c r="BL275" t="str">
        <v>Hatch</v>
      </c>
      <c r="BM275" t="str">
        <v>2 x LED reading lamps over bunk</v>
      </c>
      <c r="BN275" t="str">
        <v>Vanity table/desk with storage locker and mirror under lid</v>
      </c>
      <c r="BO275" t="str">
        <v>Fold up vanity mirror</v>
      </c>
      <c r="BP275" t="str">
        <v>Sliding entrance door with lock</v>
      </c>
      <c r="BQ275" t="str">
        <v>Doors</v>
      </c>
      <c r="BR275" t="str">
        <v>Large mirror behind sliding entrance door</v>
      </c>
      <c r="BS275" t="str">
        <v xml:space="preserve">HEADS </v>
      </c>
      <c r="BT275" t="str">
        <v>Under-basin locker with toilet roll holder</v>
      </c>
      <c r="BU275" t="str">
        <v>Vanity locker with mirror</v>
      </c>
      <c r="BV275" t="str">
        <v>Double towel rail</v>
      </c>
      <c r="BW275" t="str">
        <v>Sliding or hinged heads door</v>
      </c>
      <c r="BX275" t="str">
        <v>Washing machine locker</v>
      </c>
      <c r="BY275" t="str">
        <v>Dedicated trashcan locker</v>
      </c>
      <c r="BZ275" t="str">
        <v>Coat hook</v>
      </c>
      <c r="CA275" t="str">
        <v>Waste tank</v>
      </c>
      <c r="CB275" t="str">
        <v>Forepeak panel</v>
      </c>
      <c r="CC275" t="str">
        <v>Portlight with roller blind</v>
      </c>
      <c r="CD275" t="str">
        <v>Overhead roller blinds for privacy</v>
      </c>
    </row>
    <row r="276" spans="1:82" ht="15" customHeight="1" x14ac:dyDescent="0.25">
      <c r="A276" s="9"/>
      <c r="B276" s="98"/>
      <c r="C276" s="9"/>
      <c r="D276" s="73"/>
      <c r="E276" s="73"/>
      <c r="F276" s="73"/>
      <c r="G276" s="74"/>
      <c r="H276" s="74"/>
      <c r="I276" s="73"/>
      <c r="J276" s="3"/>
      <c r="K276" s="3"/>
      <c r="L276" s="3"/>
      <c r="M276" t="str" cm="1">
        <f t="array" ref="M276:P276">TRANSPOSE(_xlfn.UNIQUE(_xlfn._xlws.FILTER(Table4[Discipine Area],(Table4[Discipline No.]=C334)*(Table4[Discipline No.]=C334))))</f>
        <v>SPRAY PAINTING</v>
      </c>
      <c r="N276" t="str">
        <v>Solids</v>
      </c>
      <c r="O276" t="str">
        <v>Frame</v>
      </c>
      <c r="P276" t="str">
        <v>Vents</v>
      </c>
    </row>
    <row r="277" spans="1:82" ht="15" customHeight="1" x14ac:dyDescent="0.25">
      <c r="A277" s="9"/>
      <c r="B277" s="107"/>
      <c r="C277" s="9"/>
      <c r="D277" s="73"/>
      <c r="E277" s="73"/>
      <c r="F277" s="73"/>
      <c r="G277" s="74"/>
      <c r="H277" s="74"/>
      <c r="I277" s="73"/>
      <c r="J277" s="3"/>
      <c r="K277" s="3"/>
      <c r="L277" s="3"/>
      <c r="M277" t="str" cm="1">
        <f t="array" ref="M277:CD277">TRANSPOSE(_xlfn.UNIQUE(_xlfn._xlws.FILTER(Table4[Discipine Area],(Table4[Discipline No.]=C335)*(Table4[Discipline No.]=C335))))</f>
        <v>SALOON</v>
      </c>
      <c r="N277" t="str">
        <v>Companion door</v>
      </c>
      <c r="O277" t="str">
        <v>Fwd cockpit door</v>
      </c>
      <c r="P277" t="str">
        <v>Windows</v>
      </c>
      <c r="Q277" t="str">
        <v>U shape settee</v>
      </c>
      <c r="R277" t="str">
        <v>Saloon table</v>
      </c>
      <c r="S277" t="str">
        <v>Formica Bulkheads</v>
      </c>
      <c r="T277" t="str">
        <v>Magazine locker/shelf locker</v>
      </c>
      <c r="U277" t="str">
        <v>Vents</v>
      </c>
      <c r="V277" t="str">
        <v>Hullside vinyl panels</v>
      </c>
      <c r="W277" t="str">
        <v>Window blinds</v>
      </c>
      <c r="X277" t="str">
        <v>Nav desk</v>
      </c>
      <c r="Y277" t="str">
        <v>Chart table with storage locker under hinged lid</v>
      </c>
      <c r="Z277" t="str">
        <v>Storage locker under chart table</v>
      </c>
      <c r="AA277" t="str">
        <v xml:space="preserve">AC Outlets </v>
      </c>
      <c r="AB277" t="str">
        <v>Ottoman</v>
      </c>
      <c r="AC277" t="str">
        <v>Galley lockers</v>
      </c>
      <c r="AD277" t="str">
        <v>Stove locker</v>
      </c>
      <c r="AE277" t="str">
        <v>Draw locker</v>
      </c>
      <c r="AF277" t="str">
        <v>Fridge/Freezer locker</v>
      </c>
      <c r="AG277" t="str">
        <v>Microwave locker</v>
      </c>
      <c r="AH277" t="str">
        <v>Tv locker</v>
      </c>
      <c r="AI277" t="str">
        <v>AC/DC locker</v>
      </c>
      <c r="AJ277" t="str">
        <v>Vinyl ceiling</v>
      </c>
      <c r="AK277" t="str">
        <v>Floor</v>
      </c>
      <c r="AL277" t="str">
        <v>Large bowl s/s sink</v>
      </c>
      <c r="AM277" t="str">
        <v>Dish and cutlery drying recess with drainage</v>
      </c>
      <c r="AN277" t="str">
        <v>Cover for drying recess</v>
      </c>
      <c r="AO277" t="str">
        <v xml:space="preserve">Vitrifrigo 2 drawer front-opening fridge/freezer </v>
      </c>
      <c r="AP277" t="str">
        <v>Ice maker</v>
      </c>
      <c r="AQ277" t="str">
        <v>Wine cooler</v>
      </c>
      <c r="AR277" t="str">
        <v>Burner gas hob</v>
      </c>
      <c r="AS277" t="str">
        <v>Gas oven</v>
      </c>
      <c r="AT277" t="str">
        <v>Gas solenoid shut-off valve with control &amp; warning light at cooker</v>
      </c>
      <c r="AU277" t="str">
        <v xml:space="preserve">Formica steps </v>
      </c>
      <c r="AV277" t="str">
        <v>Gas detectors in each hull connected to alarm in saloon</v>
      </c>
      <c r="AW277" t="str">
        <v>Smoke detector/alarm</v>
      </c>
      <c r="AX277" t="str">
        <v>LED overhead lighting</v>
      </c>
      <c r="AY277" t="str">
        <v>CABIN/ STUDY/PASSAGE</v>
      </c>
      <c r="AZ277" t="str">
        <v>Inspection lids</v>
      </c>
      <c r="BA277" t="str">
        <v>Vinyl panels</v>
      </c>
      <c r="BB277" t="str">
        <v>Stairs</v>
      </c>
      <c r="BC277" t="str">
        <v>Bedside table outboard</v>
      </c>
      <c r="BD277" t="str">
        <v>Bedside cave locker inboard</v>
      </c>
      <c r="BE277" t="str">
        <v>Bunktop/Double berth</v>
      </c>
      <c r="BF277" t="str">
        <v>Hanging locker</v>
      </c>
      <c r="BG277" t="str">
        <v>Bunk Drawers</v>
      </c>
      <c r="BH277" t="str">
        <v>Cabin Door</v>
      </c>
      <c r="BI277" t="str">
        <v>Door frames</v>
      </c>
      <c r="BJ277" t="str">
        <v>Fiddles</v>
      </c>
      <c r="BK277" t="str">
        <v>Fan</v>
      </c>
      <c r="BL277" t="str">
        <v>Hatch</v>
      </c>
      <c r="BM277" t="str">
        <v>2 x LED reading lamps over bunk</v>
      </c>
      <c r="BN277" t="str">
        <v>Vanity table/desk with storage locker and mirror under lid</v>
      </c>
      <c r="BO277" t="str">
        <v>Fold up vanity mirror</v>
      </c>
      <c r="BP277" t="str">
        <v>Sliding entrance door with lock</v>
      </c>
      <c r="BQ277" t="str">
        <v>Doors</v>
      </c>
      <c r="BR277" t="str">
        <v>Large mirror behind sliding entrance door</v>
      </c>
      <c r="BS277" t="str">
        <v xml:space="preserve">HEADS </v>
      </c>
      <c r="BT277" t="str">
        <v>Under-basin locker with toilet roll holder</v>
      </c>
      <c r="BU277" t="str">
        <v>Vanity locker with mirror</v>
      </c>
      <c r="BV277" t="str">
        <v>Double towel rail</v>
      </c>
      <c r="BW277" t="str">
        <v>Sliding or hinged heads door</v>
      </c>
      <c r="BX277" t="str">
        <v>Washing machine locker</v>
      </c>
      <c r="BY277" t="str">
        <v>Dedicated trashcan locker</v>
      </c>
      <c r="BZ277" t="str">
        <v>Coat hook</v>
      </c>
      <c r="CA277" t="str">
        <v>Waste tank</v>
      </c>
      <c r="CB277" t="str">
        <v>Forepeak panel</v>
      </c>
      <c r="CC277" t="str">
        <v>Portlight with roller blind</v>
      </c>
      <c r="CD277" t="str">
        <v>Overhead roller blinds for privacy</v>
      </c>
    </row>
    <row r="278" spans="1:82" ht="15" customHeight="1" x14ac:dyDescent="0.25">
      <c r="A278" s="9"/>
      <c r="B278" s="102"/>
      <c r="C278" s="9"/>
      <c r="D278" s="73"/>
      <c r="E278" s="73"/>
      <c r="F278" s="73"/>
      <c r="G278" s="74"/>
      <c r="H278" s="74"/>
      <c r="I278" s="73"/>
      <c r="J278" s="3"/>
      <c r="K278" s="3"/>
      <c r="L278" s="3"/>
      <c r="M278" t="str" cm="1">
        <f t="array" ref="M278:CD278">TRANSPOSE(_xlfn.UNIQUE(_xlfn._xlws.FILTER(Table4[Discipine Area],(Table4[Discipline No.]=C336)*(Table4[Discipline No.]=C336))))</f>
        <v>SALOON</v>
      </c>
      <c r="N278" t="str">
        <v>Companion door</v>
      </c>
      <c r="O278" t="str">
        <v>Fwd cockpit door</v>
      </c>
      <c r="P278" t="str">
        <v>Windows</v>
      </c>
      <c r="Q278" t="str">
        <v>U shape settee</v>
      </c>
      <c r="R278" t="str">
        <v>Saloon table</v>
      </c>
      <c r="S278" t="str">
        <v>Formica Bulkheads</v>
      </c>
      <c r="T278" t="str">
        <v>Magazine locker/shelf locker</v>
      </c>
      <c r="U278" t="str">
        <v>Vents</v>
      </c>
      <c r="V278" t="str">
        <v>Hullside vinyl panels</v>
      </c>
      <c r="W278" t="str">
        <v>Window blinds</v>
      </c>
      <c r="X278" t="str">
        <v>Nav desk</v>
      </c>
      <c r="Y278" t="str">
        <v>Chart table with storage locker under hinged lid</v>
      </c>
      <c r="Z278" t="str">
        <v>Storage locker under chart table</v>
      </c>
      <c r="AA278" t="str">
        <v xml:space="preserve">AC Outlets </v>
      </c>
      <c r="AB278" t="str">
        <v>Ottoman</v>
      </c>
      <c r="AC278" t="str">
        <v>Galley lockers</v>
      </c>
      <c r="AD278" t="str">
        <v>Stove locker</v>
      </c>
      <c r="AE278" t="str">
        <v>Draw locker</v>
      </c>
      <c r="AF278" t="str">
        <v>Fridge/Freezer locker</v>
      </c>
      <c r="AG278" t="str">
        <v>Microwave locker</v>
      </c>
      <c r="AH278" t="str">
        <v>Tv locker</v>
      </c>
      <c r="AI278" t="str">
        <v>AC/DC locker</v>
      </c>
      <c r="AJ278" t="str">
        <v>Vinyl ceiling</v>
      </c>
      <c r="AK278" t="str">
        <v>Floor</v>
      </c>
      <c r="AL278" t="str">
        <v>Large bowl s/s sink</v>
      </c>
      <c r="AM278" t="str">
        <v>Dish and cutlery drying recess with drainage</v>
      </c>
      <c r="AN278" t="str">
        <v>Cover for drying recess</v>
      </c>
      <c r="AO278" t="str">
        <v xml:space="preserve">Vitrifrigo 2 drawer front-opening fridge/freezer </v>
      </c>
      <c r="AP278" t="str">
        <v>Ice maker</v>
      </c>
      <c r="AQ278" t="str">
        <v>Wine cooler</v>
      </c>
      <c r="AR278" t="str">
        <v>Burner gas hob</v>
      </c>
      <c r="AS278" t="str">
        <v>Gas oven</v>
      </c>
      <c r="AT278" t="str">
        <v>Gas solenoid shut-off valve with control &amp; warning light at cooker</v>
      </c>
      <c r="AU278" t="str">
        <v xml:space="preserve">Formica steps </v>
      </c>
      <c r="AV278" t="str">
        <v>Gas detectors in each hull connected to alarm in saloon</v>
      </c>
      <c r="AW278" t="str">
        <v>Smoke detector/alarm</v>
      </c>
      <c r="AX278" t="str">
        <v>LED overhead lighting</v>
      </c>
      <c r="AY278" t="str">
        <v>CABIN/ STUDY/PASSAGE</v>
      </c>
      <c r="AZ278" t="str">
        <v>Inspection lids</v>
      </c>
      <c r="BA278" t="str">
        <v>Vinyl panels</v>
      </c>
      <c r="BB278" t="str">
        <v>Stairs</v>
      </c>
      <c r="BC278" t="str">
        <v>Bedside table outboard</v>
      </c>
      <c r="BD278" t="str">
        <v>Bedside cave locker inboard</v>
      </c>
      <c r="BE278" t="str">
        <v>Bunktop/Double berth</v>
      </c>
      <c r="BF278" t="str">
        <v>Hanging locker</v>
      </c>
      <c r="BG278" t="str">
        <v>Bunk Drawers</v>
      </c>
      <c r="BH278" t="str">
        <v>Cabin Door</v>
      </c>
      <c r="BI278" t="str">
        <v>Door frames</v>
      </c>
      <c r="BJ278" t="str">
        <v>Fiddles</v>
      </c>
      <c r="BK278" t="str">
        <v>Fan</v>
      </c>
      <c r="BL278" t="str">
        <v>Hatch</v>
      </c>
      <c r="BM278" t="str">
        <v>2 x LED reading lamps over bunk</v>
      </c>
      <c r="BN278" t="str">
        <v>Vanity table/desk with storage locker and mirror under lid</v>
      </c>
      <c r="BO278" t="str">
        <v>Fold up vanity mirror</v>
      </c>
      <c r="BP278" t="str">
        <v>Sliding entrance door with lock</v>
      </c>
      <c r="BQ278" t="str">
        <v>Doors</v>
      </c>
      <c r="BR278" t="str">
        <v>Large mirror behind sliding entrance door</v>
      </c>
      <c r="BS278" t="str">
        <v xml:space="preserve">HEADS </v>
      </c>
      <c r="BT278" t="str">
        <v>Under-basin locker with toilet roll holder</v>
      </c>
      <c r="BU278" t="str">
        <v>Vanity locker with mirror</v>
      </c>
      <c r="BV278" t="str">
        <v>Double towel rail</v>
      </c>
      <c r="BW278" t="str">
        <v>Sliding or hinged heads door</v>
      </c>
      <c r="BX278" t="str">
        <v>Washing machine locker</v>
      </c>
      <c r="BY278" t="str">
        <v>Dedicated trashcan locker</v>
      </c>
      <c r="BZ278" t="str">
        <v>Coat hook</v>
      </c>
      <c r="CA278" t="str">
        <v>Waste tank</v>
      </c>
      <c r="CB278" t="str">
        <v>Forepeak panel</v>
      </c>
      <c r="CC278" t="str">
        <v>Portlight with roller blind</v>
      </c>
      <c r="CD278" t="str">
        <v>Overhead roller blinds for privacy</v>
      </c>
    </row>
    <row r="279" spans="1:82" ht="15" customHeight="1" x14ac:dyDescent="0.25">
      <c r="A279" s="9"/>
      <c r="B279" s="99"/>
      <c r="C279" s="9"/>
      <c r="D279" s="73"/>
      <c r="E279" s="73"/>
      <c r="F279" s="73"/>
      <c r="G279" s="74"/>
      <c r="H279" s="74"/>
      <c r="I279" s="73"/>
      <c r="J279" s="3"/>
      <c r="K279" s="3"/>
      <c r="L279" s="3"/>
      <c r="M279" t="str" cm="1">
        <f t="array" ref="M279:CD279">TRANSPOSE(_xlfn.UNIQUE(_xlfn._xlws.FILTER(Table4[Discipine Area],(Table4[Discipline No.]=C337)*(Table4[Discipline No.]=C337))))</f>
        <v>SALOON</v>
      </c>
      <c r="N279" t="str">
        <v>Companion door</v>
      </c>
      <c r="O279" t="str">
        <v>Fwd cockpit door</v>
      </c>
      <c r="P279" t="str">
        <v>Windows</v>
      </c>
      <c r="Q279" t="str">
        <v>U shape settee</v>
      </c>
      <c r="R279" t="str">
        <v>Saloon table</v>
      </c>
      <c r="S279" t="str">
        <v>Formica Bulkheads</v>
      </c>
      <c r="T279" t="str">
        <v>Magazine locker/shelf locker</v>
      </c>
      <c r="U279" t="str">
        <v>Vents</v>
      </c>
      <c r="V279" t="str">
        <v>Hullside vinyl panels</v>
      </c>
      <c r="W279" t="str">
        <v>Window blinds</v>
      </c>
      <c r="X279" t="str">
        <v>Nav desk</v>
      </c>
      <c r="Y279" t="str">
        <v>Chart table with storage locker under hinged lid</v>
      </c>
      <c r="Z279" t="str">
        <v>Storage locker under chart table</v>
      </c>
      <c r="AA279" t="str">
        <v xml:space="preserve">AC Outlets </v>
      </c>
      <c r="AB279" t="str">
        <v>Ottoman</v>
      </c>
      <c r="AC279" t="str">
        <v>Galley lockers</v>
      </c>
      <c r="AD279" t="str">
        <v>Stove locker</v>
      </c>
      <c r="AE279" t="str">
        <v>Draw locker</v>
      </c>
      <c r="AF279" t="str">
        <v>Fridge/Freezer locker</v>
      </c>
      <c r="AG279" t="str">
        <v>Microwave locker</v>
      </c>
      <c r="AH279" t="str">
        <v>Tv locker</v>
      </c>
      <c r="AI279" t="str">
        <v>AC/DC locker</v>
      </c>
      <c r="AJ279" t="str">
        <v>Vinyl ceiling</v>
      </c>
      <c r="AK279" t="str">
        <v>Floor</v>
      </c>
      <c r="AL279" t="str">
        <v>Large bowl s/s sink</v>
      </c>
      <c r="AM279" t="str">
        <v>Dish and cutlery drying recess with drainage</v>
      </c>
      <c r="AN279" t="str">
        <v>Cover for drying recess</v>
      </c>
      <c r="AO279" t="str">
        <v xml:space="preserve">Vitrifrigo 2 drawer front-opening fridge/freezer </v>
      </c>
      <c r="AP279" t="str">
        <v>Ice maker</v>
      </c>
      <c r="AQ279" t="str">
        <v>Wine cooler</v>
      </c>
      <c r="AR279" t="str">
        <v>Burner gas hob</v>
      </c>
      <c r="AS279" t="str">
        <v>Gas oven</v>
      </c>
      <c r="AT279" t="str">
        <v>Gas solenoid shut-off valve with control &amp; warning light at cooker</v>
      </c>
      <c r="AU279" t="str">
        <v xml:space="preserve">Formica steps </v>
      </c>
      <c r="AV279" t="str">
        <v>Gas detectors in each hull connected to alarm in saloon</v>
      </c>
      <c r="AW279" t="str">
        <v>Smoke detector/alarm</v>
      </c>
      <c r="AX279" t="str">
        <v>LED overhead lighting</v>
      </c>
      <c r="AY279" t="str">
        <v>CABIN/ STUDY/PASSAGE</v>
      </c>
      <c r="AZ279" t="str">
        <v>Inspection lids</v>
      </c>
      <c r="BA279" t="str">
        <v>Vinyl panels</v>
      </c>
      <c r="BB279" t="str">
        <v>Stairs</v>
      </c>
      <c r="BC279" t="str">
        <v>Bedside table outboard</v>
      </c>
      <c r="BD279" t="str">
        <v>Bedside cave locker inboard</v>
      </c>
      <c r="BE279" t="str">
        <v>Bunktop/Double berth</v>
      </c>
      <c r="BF279" t="str">
        <v>Hanging locker</v>
      </c>
      <c r="BG279" t="str">
        <v>Bunk Drawers</v>
      </c>
      <c r="BH279" t="str">
        <v>Cabin Door</v>
      </c>
      <c r="BI279" t="str">
        <v>Door frames</v>
      </c>
      <c r="BJ279" t="str">
        <v>Fiddles</v>
      </c>
      <c r="BK279" t="str">
        <v>Fan</v>
      </c>
      <c r="BL279" t="str">
        <v>Hatch</v>
      </c>
      <c r="BM279" t="str">
        <v>2 x LED reading lamps over bunk</v>
      </c>
      <c r="BN279" t="str">
        <v>Vanity table/desk with storage locker and mirror under lid</v>
      </c>
      <c r="BO279" t="str">
        <v>Fold up vanity mirror</v>
      </c>
      <c r="BP279" t="str">
        <v>Sliding entrance door with lock</v>
      </c>
      <c r="BQ279" t="str">
        <v>Doors</v>
      </c>
      <c r="BR279" t="str">
        <v>Large mirror behind sliding entrance door</v>
      </c>
      <c r="BS279" t="str">
        <v xml:space="preserve">HEADS </v>
      </c>
      <c r="BT279" t="str">
        <v>Under-basin locker with toilet roll holder</v>
      </c>
      <c r="BU279" t="str">
        <v>Vanity locker with mirror</v>
      </c>
      <c r="BV279" t="str">
        <v>Double towel rail</v>
      </c>
      <c r="BW279" t="str">
        <v>Sliding or hinged heads door</v>
      </c>
      <c r="BX279" t="str">
        <v>Washing machine locker</v>
      </c>
      <c r="BY279" t="str">
        <v>Dedicated trashcan locker</v>
      </c>
      <c r="BZ279" t="str">
        <v>Coat hook</v>
      </c>
      <c r="CA279" t="str">
        <v>Waste tank</v>
      </c>
      <c r="CB279" t="str">
        <v>Forepeak panel</v>
      </c>
      <c r="CC279" t="str">
        <v>Portlight with roller blind</v>
      </c>
      <c r="CD279" t="str">
        <v>Overhead roller blinds for privacy</v>
      </c>
    </row>
    <row r="280" spans="1:82" ht="15" customHeight="1" x14ac:dyDescent="0.25">
      <c r="A280" s="9"/>
      <c r="B280" s="99"/>
      <c r="C280" s="9"/>
      <c r="D280" s="73"/>
      <c r="E280" s="73"/>
      <c r="F280" s="73"/>
      <c r="G280" s="74"/>
      <c r="H280" s="74"/>
      <c r="I280" s="73"/>
      <c r="J280" s="3"/>
      <c r="K280" s="3"/>
      <c r="L280" s="3"/>
      <c r="M280" t="str" cm="1">
        <f t="array" ref="M280:AI280">TRANSPOSE(_xlfn.UNIQUE(_xlfn._xlws.FILTER(Table4[Discipine Area],(Table4[Discipline No.]=C338)*(Table4[Discipline No.]=C338))))</f>
        <v>PLUMBING</v>
      </c>
      <c r="N280" t="str">
        <v>Hot and cold pressurized fresh water system consisting of:</v>
      </c>
      <c r="O280" t="str">
        <v>Water tanks,total capacity with level reading and gauges</v>
      </c>
      <c r="P280" t="str">
        <v>Fresh water pressure pump with accumulator tank</v>
      </c>
      <c r="Q280" t="str">
        <v>Hot water cylinders/waterheaters</v>
      </c>
      <c r="R280" t="str">
        <v>Transom shower (cold only)</v>
      </c>
      <c r="S280" t="str">
        <v xml:space="preserve">Automatic shower drain pumps </v>
      </c>
      <c r="T280" t="str">
        <v>Holding tanks</v>
      </c>
      <c r="U280" t="str">
        <v>Electric bilge pumps (keel sump) with float switches and alarm at switch panel</v>
      </c>
      <c r="V280" t="str">
        <v>Manual bilge pumps with (keel sump)</v>
      </c>
      <c r="W280" t="str">
        <v>High water bilge float switches with alarm at switch panel</v>
      </c>
      <c r="X280" t="str">
        <v>Electric bilge pumps (engine room) with float switch and warning light at switch panel</v>
      </c>
      <c r="Y280" t="str">
        <v>Water purifying filter system (Purifying water tap located at galley)</v>
      </c>
      <c r="Z280" t="str">
        <v>LPG label</v>
      </c>
      <c r="AA280" t="str">
        <v>Aircon unit</v>
      </c>
      <c r="AB280" t="str">
        <v>Ducting</v>
      </c>
      <c r="AC280" t="str">
        <v>Engine Room</v>
      </c>
      <c r="AD280" t="str">
        <v>Electric sea water flush toilet</v>
      </c>
      <c r="AE280" t="str">
        <v>Single lever mixer faucet with pull-out sprayer</v>
      </c>
      <c r="AF280" t="str">
        <v>Gas cylinder regulator in dedicated LPG locker</v>
      </c>
      <c r="AG280" t="str">
        <v>Washbasins with basin mixer</v>
      </c>
      <c r="AH280" t="str">
        <v>Shower compartment c/w lever mixer and adjustable shower rose</v>
      </c>
      <c r="AI280" t="str">
        <v>Shower sump with automatic drainage system</v>
      </c>
    </row>
    <row r="281" spans="1:82" ht="15" customHeight="1" x14ac:dyDescent="0.25">
      <c r="A281" s="9"/>
      <c r="B281" s="97"/>
      <c r="C281" s="9"/>
      <c r="D281" s="73"/>
      <c r="E281" s="73"/>
      <c r="F281" s="73"/>
      <c r="G281" s="74"/>
      <c r="H281" s="74"/>
      <c r="I281" s="73"/>
      <c r="J281" s="3"/>
      <c r="K281" s="3"/>
      <c r="L281" s="3"/>
      <c r="M281" t="str" cm="1">
        <f t="array" ref="M281:CD281">TRANSPOSE(_xlfn.UNIQUE(_xlfn._xlws.FILTER(Table4[Discipine Area],(Table4[Discipline No.]=C339)*(Table4[Discipline No.]=C339))))</f>
        <v>SALOON</v>
      </c>
      <c r="N281" t="str">
        <v>Companion door</v>
      </c>
      <c r="O281" t="str">
        <v>Fwd cockpit door</v>
      </c>
      <c r="P281" t="str">
        <v>Windows</v>
      </c>
      <c r="Q281" t="str">
        <v>U shape settee</v>
      </c>
      <c r="R281" t="str">
        <v>Saloon table</v>
      </c>
      <c r="S281" t="str">
        <v>Formica Bulkheads</v>
      </c>
      <c r="T281" t="str">
        <v>Magazine locker/shelf locker</v>
      </c>
      <c r="U281" t="str">
        <v>Vents</v>
      </c>
      <c r="V281" t="str">
        <v>Hullside vinyl panels</v>
      </c>
      <c r="W281" t="str">
        <v>Window blinds</v>
      </c>
      <c r="X281" t="str">
        <v>Nav desk</v>
      </c>
      <c r="Y281" t="str">
        <v>Chart table with storage locker under hinged lid</v>
      </c>
      <c r="Z281" t="str">
        <v>Storage locker under chart table</v>
      </c>
      <c r="AA281" t="str">
        <v xml:space="preserve">AC Outlets </v>
      </c>
      <c r="AB281" t="str">
        <v>Ottoman</v>
      </c>
      <c r="AC281" t="str">
        <v>Galley lockers</v>
      </c>
      <c r="AD281" t="str">
        <v>Stove locker</v>
      </c>
      <c r="AE281" t="str">
        <v>Draw locker</v>
      </c>
      <c r="AF281" t="str">
        <v>Fridge/Freezer locker</v>
      </c>
      <c r="AG281" t="str">
        <v>Microwave locker</v>
      </c>
      <c r="AH281" t="str">
        <v>Tv locker</v>
      </c>
      <c r="AI281" t="str">
        <v>AC/DC locker</v>
      </c>
      <c r="AJ281" t="str">
        <v>Vinyl ceiling</v>
      </c>
      <c r="AK281" t="str">
        <v>Floor</v>
      </c>
      <c r="AL281" t="str">
        <v>Large bowl s/s sink</v>
      </c>
      <c r="AM281" t="str">
        <v>Dish and cutlery drying recess with drainage</v>
      </c>
      <c r="AN281" t="str">
        <v>Cover for drying recess</v>
      </c>
      <c r="AO281" t="str">
        <v xml:space="preserve">Vitrifrigo 2 drawer front-opening fridge/freezer </v>
      </c>
      <c r="AP281" t="str">
        <v>Ice maker</v>
      </c>
      <c r="AQ281" t="str">
        <v>Wine cooler</v>
      </c>
      <c r="AR281" t="str">
        <v>Burner gas hob</v>
      </c>
      <c r="AS281" t="str">
        <v>Gas oven</v>
      </c>
      <c r="AT281" t="str">
        <v>Gas solenoid shut-off valve with control &amp; warning light at cooker</v>
      </c>
      <c r="AU281" t="str">
        <v xml:space="preserve">Formica steps </v>
      </c>
      <c r="AV281" t="str">
        <v>Gas detectors in each hull connected to alarm in saloon</v>
      </c>
      <c r="AW281" t="str">
        <v>Smoke detector/alarm</v>
      </c>
      <c r="AX281" t="str">
        <v>LED overhead lighting</v>
      </c>
      <c r="AY281" t="str">
        <v>CABIN/ STUDY/PASSAGE</v>
      </c>
      <c r="AZ281" t="str">
        <v>Inspection lids</v>
      </c>
      <c r="BA281" t="str">
        <v>Vinyl panels</v>
      </c>
      <c r="BB281" t="str">
        <v>Stairs</v>
      </c>
      <c r="BC281" t="str">
        <v>Bedside table outboard</v>
      </c>
      <c r="BD281" t="str">
        <v>Bedside cave locker inboard</v>
      </c>
      <c r="BE281" t="str">
        <v>Bunktop/Double berth</v>
      </c>
      <c r="BF281" t="str">
        <v>Hanging locker</v>
      </c>
      <c r="BG281" t="str">
        <v>Bunk Drawers</v>
      </c>
      <c r="BH281" t="str">
        <v>Cabin Door</v>
      </c>
      <c r="BI281" t="str">
        <v>Door frames</v>
      </c>
      <c r="BJ281" t="str">
        <v>Fiddles</v>
      </c>
      <c r="BK281" t="str">
        <v>Fan</v>
      </c>
      <c r="BL281" t="str">
        <v>Hatch</v>
      </c>
      <c r="BM281" t="str">
        <v>2 x LED reading lamps over bunk</v>
      </c>
      <c r="BN281" t="str">
        <v>Vanity table/desk with storage locker and mirror under lid</v>
      </c>
      <c r="BO281" t="str">
        <v>Fold up vanity mirror</v>
      </c>
      <c r="BP281" t="str">
        <v>Sliding entrance door with lock</v>
      </c>
      <c r="BQ281" t="str">
        <v>Doors</v>
      </c>
      <c r="BR281" t="str">
        <v>Large mirror behind sliding entrance door</v>
      </c>
      <c r="BS281" t="str">
        <v xml:space="preserve">HEADS </v>
      </c>
      <c r="BT281" t="str">
        <v>Under-basin locker with toilet roll holder</v>
      </c>
      <c r="BU281" t="str">
        <v>Vanity locker with mirror</v>
      </c>
      <c r="BV281" t="str">
        <v>Double towel rail</v>
      </c>
      <c r="BW281" t="str">
        <v>Sliding or hinged heads door</v>
      </c>
      <c r="BX281" t="str">
        <v>Washing machine locker</v>
      </c>
      <c r="BY281" t="str">
        <v>Dedicated trashcan locker</v>
      </c>
      <c r="BZ281" t="str">
        <v>Coat hook</v>
      </c>
      <c r="CA281" t="str">
        <v>Waste tank</v>
      </c>
      <c r="CB281" t="str">
        <v>Forepeak panel</v>
      </c>
      <c r="CC281" t="str">
        <v>Portlight with roller blind</v>
      </c>
      <c r="CD281" t="str">
        <v>Overhead roller blinds for privacy</v>
      </c>
    </row>
    <row r="282" spans="1:82" ht="15" customHeight="1" x14ac:dyDescent="0.25">
      <c r="A282" s="9"/>
      <c r="B282" s="107"/>
      <c r="C282" s="9"/>
      <c r="D282" s="73"/>
      <c r="E282" s="73"/>
      <c r="F282" s="73"/>
      <c r="G282" s="74"/>
      <c r="H282" s="74"/>
      <c r="I282" s="73"/>
      <c r="J282" s="3"/>
      <c r="K282" s="3"/>
      <c r="L282" s="3"/>
      <c r="M282" t="str" cm="1">
        <f t="array" ref="M282:AZ282">TRANSPOSE(_xlfn.UNIQUE(_xlfn._xlws.FILTER(Table4[Discipine Area],(Table4[Discipline No.]=C340)*(Table4[Discipline No.]=C340))))</f>
        <v>Exterior</v>
      </c>
      <c r="N282" t="str">
        <v>Fwd area</v>
      </c>
      <c r="O282" t="str">
        <v>Midship area</v>
      </c>
      <c r="P282" t="str">
        <v>Aft area</v>
      </c>
      <c r="Q282" t="str">
        <v>window surround</v>
      </c>
      <c r="R282" t="str">
        <v>Bows</v>
      </c>
      <c r="S282" t="str">
        <v>fwd deck steps</v>
      </c>
      <c r="T282" t="str">
        <v>Deck flange</v>
      </c>
      <c r="U282" t="str">
        <v>Waterchannel</v>
      </c>
      <c r="V282" t="str">
        <v>Helmstation</v>
      </c>
      <c r="W282" t="str">
        <v>window module</v>
      </c>
      <c r="X282" t="str">
        <v>deck Join</v>
      </c>
      <c r="Y282" t="str">
        <v>side deck step</v>
      </c>
      <c r="Z282" t="str">
        <v>Bimini</v>
      </c>
      <c r="AA282" t="str">
        <v>Helmstation steps</v>
      </c>
      <c r="AB282" t="str">
        <v>toe rail</v>
      </c>
      <c r="AC282" t="str">
        <v>Inboard liner</v>
      </c>
      <c r="AD282" t="str">
        <v>Settee</v>
      </c>
      <c r="AE282" t="str">
        <v>Transom</v>
      </c>
      <c r="AF282" t="str">
        <v>Floating step</v>
      </c>
      <c r="AG282" t="str">
        <v>Locker lids</v>
      </c>
      <c r="AH282" t="str">
        <v>Table</v>
      </c>
      <c r="AI282" t="str">
        <v>Ceiling</v>
      </c>
      <c r="AJ282" t="str">
        <v>Targawing</v>
      </c>
      <c r="AK282" t="str">
        <v>Eyebrow</v>
      </c>
      <c r="AL282" t="str">
        <v>Decklid</v>
      </c>
      <c r="AM282" t="str">
        <v>Skylight</v>
      </c>
      <c r="AN282" t="str">
        <v>Floor</v>
      </c>
      <c r="AO282" t="str">
        <v>Flybridge steps</v>
      </c>
      <c r="AP282" t="str">
        <v>INTERIOR</v>
      </c>
      <c r="AQ282" t="str">
        <v>Stowage space under floorboards</v>
      </c>
      <c r="AR282" t="str">
        <v>Door surround</v>
      </c>
      <c r="AS282" t="str">
        <v>Staircase</v>
      </c>
      <c r="AT282" t="str">
        <v>Plinth/Skirting</v>
      </c>
      <c r="AU282" t="str">
        <v>Ceiling Liner</v>
      </c>
      <c r="AV282" t="str">
        <v>BBQ Locker</v>
      </c>
      <c r="AW282" t="str">
        <v>Bunk Liners</v>
      </c>
      <c r="AX282" t="str">
        <v>Basin module</v>
      </c>
      <c r="AY282" t="str">
        <v>Shower bulkhead module</v>
      </c>
      <c r="AZ282" t="str">
        <v>Heads bulkhead module</v>
      </c>
    </row>
    <row r="283" spans="1:82" ht="15" customHeight="1" x14ac:dyDescent="0.25">
      <c r="A283" s="9"/>
      <c r="B283" s="98"/>
      <c r="C283" s="9"/>
      <c r="D283" s="73"/>
      <c r="E283" s="73"/>
      <c r="F283" s="73"/>
      <c r="G283" s="74"/>
      <c r="H283" s="74"/>
      <c r="I283" s="73"/>
      <c r="J283" s="3"/>
      <c r="K283" s="3"/>
      <c r="L283" s="3"/>
      <c r="M283" t="e" cm="1" vm="1">
        <f t="array" ref="M283">TRANSPOSE(_xlfn.UNIQUE(_xlfn._xlws.FILTER(Table4[Discipine Area],(Table4[Discipline No.]=C341)*(Table4[Discipline No.]=C341))))</f>
        <v>#VALUE!</v>
      </c>
    </row>
    <row r="284" spans="1:82" ht="15" customHeight="1" x14ac:dyDescent="0.25">
      <c r="A284" s="9"/>
      <c r="B284" s="107"/>
      <c r="C284" s="9"/>
      <c r="D284" s="73"/>
      <c r="E284" s="73"/>
      <c r="F284" s="73"/>
      <c r="G284" s="74"/>
      <c r="H284" s="74"/>
      <c r="I284" s="73"/>
      <c r="J284" s="3"/>
      <c r="K284" s="3"/>
      <c r="L284" s="3"/>
      <c r="M284" t="e" cm="1" vm="1">
        <f t="array" ref="M284">TRANSPOSE(_xlfn.UNIQUE(_xlfn._xlws.FILTER(Table4[Discipine Area],(Table4[Discipline No.]=C342)*(Table4[Discipline No.]=C342))))</f>
        <v>#VALUE!</v>
      </c>
    </row>
    <row r="285" spans="1:82" ht="15" customHeight="1" x14ac:dyDescent="0.25">
      <c r="A285" s="9"/>
      <c r="B285" s="98"/>
      <c r="C285" s="9"/>
      <c r="D285" s="73"/>
      <c r="E285" s="73"/>
      <c r="F285" s="73"/>
      <c r="G285" s="74"/>
      <c r="H285" s="73"/>
      <c r="I285" s="3"/>
      <c r="J285" s="3"/>
      <c r="K285" s="3"/>
      <c r="L285" s="3"/>
      <c r="M285" t="e" cm="1" vm="1">
        <f t="array" ref="M285">TRANSPOSE(_xlfn.UNIQUE(_xlfn._xlws.FILTER(Table4[Discipine Area],(Table4[Discipline No.]=C343)*(Table4[Discipline No.]=C343))))</f>
        <v>#VALUE!</v>
      </c>
    </row>
    <row r="286" spans="1:82" ht="15" customHeight="1" x14ac:dyDescent="0.25">
      <c r="A286" s="9"/>
      <c r="B286" s="97"/>
      <c r="C286" s="9"/>
      <c r="D286" s="73"/>
      <c r="E286" s="73"/>
      <c r="F286" s="73"/>
      <c r="G286" s="74"/>
      <c r="H286" s="73"/>
      <c r="I286" s="3"/>
      <c r="J286" s="3"/>
      <c r="K286" s="3"/>
      <c r="L286" s="3"/>
      <c r="M286" t="e" cm="1" vm="1">
        <f t="array" ref="M286">TRANSPOSE(_xlfn.UNIQUE(_xlfn._xlws.FILTER(Table4[Discipine Area],(Table4[Discipline No.]=C344)*(Table4[Discipline No.]=C344))))</f>
        <v>#VALUE!</v>
      </c>
    </row>
    <row r="287" spans="1:82" ht="15" customHeight="1" x14ac:dyDescent="0.25">
      <c r="A287" s="9"/>
      <c r="B287" s="97"/>
      <c r="C287" s="9"/>
      <c r="D287" s="73"/>
      <c r="E287" s="73"/>
      <c r="F287" s="73"/>
      <c r="G287" s="74"/>
      <c r="H287" s="3"/>
      <c r="I287" s="3"/>
      <c r="J287" s="3"/>
      <c r="K287" s="3"/>
      <c r="L287" s="3"/>
      <c r="M287" t="e" cm="1" vm="1">
        <f t="array" ref="M287">TRANSPOSE(_xlfn.UNIQUE(_xlfn._xlws.FILTER(Table4[Discipine Area],(Table4[Discipline No.]=C345)*(Table4[Discipline No.]=C345))))</f>
        <v>#VALUE!</v>
      </c>
    </row>
    <row r="288" spans="1:82" ht="15.75" customHeight="1" x14ac:dyDescent="0.25">
      <c r="A288" s="9"/>
      <c r="B288" s="97"/>
      <c r="C288" s="9"/>
      <c r="D288" s="73"/>
      <c r="E288" s="73"/>
      <c r="F288" s="73"/>
      <c r="G288" s="74"/>
      <c r="H288" s="3"/>
      <c r="I288" s="3"/>
      <c r="J288" s="3"/>
      <c r="K288" s="3"/>
      <c r="L288" s="3"/>
      <c r="M288" t="e" cm="1" vm="1">
        <f t="array" ref="M288">TRANSPOSE(_xlfn.UNIQUE(_xlfn._xlws.FILTER(Table4[Discipine Area],(Table4[Discipline No.]=C346)*(Table4[Discipline No.]=C346))))</f>
        <v>#VALUE!</v>
      </c>
    </row>
    <row r="289" spans="1:13" ht="15" customHeight="1" x14ac:dyDescent="0.25">
      <c r="A289" s="131" t="s">
        <v>411</v>
      </c>
      <c r="B289" s="132"/>
      <c r="C289" s="132"/>
      <c r="D289" s="132"/>
      <c r="E289" s="132"/>
      <c r="F289" s="133"/>
      <c r="G289" s="3" t="s">
        <v>412</v>
      </c>
      <c r="H289" s="141"/>
      <c r="I289" s="142"/>
      <c r="J289" s="134" t="s">
        <v>409</v>
      </c>
      <c r="K289" s="135"/>
      <c r="L289" s="136"/>
      <c r="M289" t="e" cm="1" vm="1">
        <f t="array" ref="M289">TRANSPOSE(_xlfn.UNIQUE(_xlfn._xlws.FILTER(Table4[Discipine Area],(Table4[Discipline No.]=C350)*(Table4[Discipline No.]=C350))))</f>
        <v>#VALUE!</v>
      </c>
    </row>
    <row r="290" spans="1:13" ht="15" customHeight="1" x14ac:dyDescent="0.25">
      <c r="A290" s="127" t="s">
        <v>0</v>
      </c>
      <c r="B290" s="127" t="s">
        <v>1</v>
      </c>
      <c r="C290" s="129" t="s">
        <v>2</v>
      </c>
      <c r="D290" s="129" t="s">
        <v>3</v>
      </c>
      <c r="E290" s="129" t="s">
        <v>4</v>
      </c>
      <c r="F290" s="129" t="s">
        <v>410</v>
      </c>
      <c r="G290" s="139" t="s">
        <v>216</v>
      </c>
      <c r="H290" s="139" t="s">
        <v>6</v>
      </c>
      <c r="I290" s="139" t="s">
        <v>7</v>
      </c>
      <c r="J290" s="137" t="s">
        <v>8</v>
      </c>
      <c r="K290" s="138" t="s">
        <v>9</v>
      </c>
      <c r="L290" s="138"/>
      <c r="M290" t="e" cm="1" vm="1">
        <f t="array" ref="M290">TRANSPOSE(_xlfn.UNIQUE(_xlfn._xlws.FILTER(Table4[Discipine Area],(Table4[Discipline No.]=C351)*(Table4[Discipline No.]=C351))))</f>
        <v>#VALUE!</v>
      </c>
    </row>
    <row r="291" spans="1:13" ht="15" customHeight="1" x14ac:dyDescent="0.25">
      <c r="A291" s="128"/>
      <c r="B291" s="128"/>
      <c r="C291" s="130"/>
      <c r="D291" s="130"/>
      <c r="E291" s="130"/>
      <c r="F291" s="130"/>
      <c r="G291" s="140"/>
      <c r="H291" s="140"/>
      <c r="I291" s="140"/>
      <c r="J291" s="137"/>
      <c r="K291" s="78" t="s">
        <v>10</v>
      </c>
      <c r="L291" s="78" t="s">
        <v>11</v>
      </c>
      <c r="M291" t="e" cm="1" vm="1">
        <f t="array" ref="M291">TRANSPOSE(_xlfn.UNIQUE(_xlfn._xlws.FILTER(Table4[Discipine Area],(Table4[Discipline No.]=C352)*(Table4[Discipline No.]=C352))))</f>
        <v>#VALUE!</v>
      </c>
    </row>
    <row r="292" spans="1:13" ht="15" customHeight="1" x14ac:dyDescent="0.25">
      <c r="A292" s="82"/>
      <c r="B292" s="113" t="s">
        <v>551</v>
      </c>
      <c r="C292" s="9"/>
      <c r="D292" s="73"/>
      <c r="E292" s="73"/>
      <c r="F292" s="84"/>
      <c r="G292" s="91"/>
      <c r="H292" s="85"/>
      <c r="I292" s="3"/>
      <c r="J292" s="3"/>
      <c r="K292" s="3"/>
      <c r="L292" s="3"/>
      <c r="M292" t="e" cm="1" vm="1">
        <f t="array" ref="M292">TRANSPOSE(_xlfn.UNIQUE(_xlfn._xlws.FILTER(Table4[Discipine Area],(Table4[Discipline No.]=C353)*(Table4[Discipline No.]=C353))))</f>
        <v>#VALUE!</v>
      </c>
    </row>
    <row r="293" spans="1:13" x14ac:dyDescent="0.25">
      <c r="A293" s="82"/>
      <c r="B293" s="117"/>
      <c r="C293" s="9"/>
      <c r="D293" s="73"/>
      <c r="E293" s="73"/>
      <c r="F293" s="84"/>
      <c r="G293" s="91"/>
      <c r="H293" s="86"/>
      <c r="I293" s="3"/>
      <c r="J293" s="3"/>
      <c r="K293" s="3"/>
      <c r="L293" s="3"/>
      <c r="M293" t="e" cm="1" vm="1">
        <f t="array" ref="M293">TRANSPOSE(_xlfn.UNIQUE(_xlfn._xlws.FILTER(Table4[Discipine Area],(Table4[Discipline No.]=C354)*(Table4[Discipline No.]=C354))))</f>
        <v>#VALUE!</v>
      </c>
    </row>
    <row r="294" spans="1:13" x14ac:dyDescent="0.25">
      <c r="A294" s="82"/>
      <c r="B294" s="115"/>
      <c r="C294" s="9"/>
      <c r="D294" s="73"/>
      <c r="E294" s="73"/>
      <c r="F294" s="84"/>
      <c r="G294" s="91"/>
      <c r="H294" s="86"/>
      <c r="I294" s="3"/>
      <c r="J294" s="3"/>
      <c r="K294" s="3"/>
      <c r="L294" s="3"/>
      <c r="M294" t="e" cm="1" vm="1">
        <f t="array" ref="M294">TRANSPOSE(_xlfn.UNIQUE(_xlfn._xlws.FILTER(Table4[Discipine Area],(Table4[Discipline No.]=C355)*(Table4[Discipline No.]=C355))))</f>
        <v>#VALUE!</v>
      </c>
    </row>
    <row r="295" spans="1:13" x14ac:dyDescent="0.25">
      <c r="A295" s="82"/>
      <c r="B295" s="117"/>
      <c r="C295" s="9"/>
      <c r="D295" s="73"/>
      <c r="E295" s="73"/>
      <c r="F295" s="84"/>
      <c r="G295" s="91"/>
      <c r="H295" s="86"/>
      <c r="I295" s="3"/>
      <c r="J295" s="3"/>
      <c r="K295" s="3"/>
      <c r="L295" s="3"/>
      <c r="M295" t="e" cm="1">
        <f t="array" ref="M295">TRANSPOSE(_xlfn.UNIQUE(_xlfn._xlws.FILTER(Table4[Discipine Area],(Table4[Discipline No.]=#REF!)*(Table4[Discipline No.]=#REF!))))</f>
        <v>#REF!</v>
      </c>
    </row>
    <row r="296" spans="1:13" x14ac:dyDescent="0.25">
      <c r="A296" s="82"/>
      <c r="B296" s="115"/>
      <c r="C296" s="9">
        <v>1</v>
      </c>
      <c r="D296" s="73" t="s">
        <v>26</v>
      </c>
      <c r="E296" s="73" t="s">
        <v>222</v>
      </c>
      <c r="F296" s="84"/>
      <c r="G296" s="81" t="s">
        <v>552</v>
      </c>
      <c r="H296" s="74"/>
      <c r="I296" s="3"/>
      <c r="J296" s="3"/>
      <c r="K296" s="3"/>
      <c r="L296" s="3"/>
      <c r="M296" t="e" cm="1" vm="1">
        <f t="array" ref="M296">TRANSPOSE(_xlfn.UNIQUE(_xlfn._xlws.FILTER(Table4[Discipine Area],(Table4[Discipline No.]=C356)*(Table4[Discipline No.]=C356))))</f>
        <v>#VALUE!</v>
      </c>
    </row>
    <row r="297" spans="1:13" x14ac:dyDescent="0.25">
      <c r="A297" s="82"/>
      <c r="B297" s="115"/>
      <c r="C297" s="9">
        <v>4</v>
      </c>
      <c r="D297" s="73" t="s">
        <v>284</v>
      </c>
      <c r="E297" s="73" t="s">
        <v>301</v>
      </c>
      <c r="F297" s="84"/>
      <c r="G297" s="74" t="s">
        <v>553</v>
      </c>
      <c r="H297" s="74"/>
      <c r="I297" s="3"/>
      <c r="J297" s="3"/>
      <c r="K297" s="3"/>
      <c r="L297" s="3"/>
      <c r="M297" t="e" cm="1" vm="1">
        <f t="array" ref="M297">TRANSPOSE(_xlfn.UNIQUE(_xlfn._xlws.FILTER(Table4[Discipine Area],(Table4[Discipline No.]=C357)*(Table4[Discipline No.]=C357))))</f>
        <v>#VALUE!</v>
      </c>
    </row>
    <row r="298" spans="1:13" ht="30" x14ac:dyDescent="0.25">
      <c r="A298" s="82"/>
      <c r="B298" s="115"/>
      <c r="C298" s="9">
        <v>3</v>
      </c>
      <c r="D298" s="73" t="s">
        <v>316</v>
      </c>
      <c r="E298" s="73" t="s">
        <v>362</v>
      </c>
      <c r="F298" s="84"/>
      <c r="G298" s="74" t="s">
        <v>554</v>
      </c>
      <c r="H298" s="74"/>
      <c r="I298" s="3"/>
      <c r="J298" s="3"/>
      <c r="K298" s="3"/>
      <c r="L298" s="3"/>
      <c r="M298" t="e" cm="1" vm="1">
        <f t="array" ref="M298">TRANSPOSE(_xlfn.UNIQUE(_xlfn._xlws.FILTER(Table4[Discipine Area],(Table4[Discipline No.]=C358)*(Table4[Discipline No.]=C358))))</f>
        <v>#VALUE!</v>
      </c>
    </row>
    <row r="299" spans="1:13" x14ac:dyDescent="0.25">
      <c r="A299" s="82"/>
      <c r="B299" s="115"/>
      <c r="C299" s="9">
        <v>9</v>
      </c>
      <c r="D299" s="73" t="s">
        <v>381</v>
      </c>
      <c r="E299" s="73" t="s">
        <v>298</v>
      </c>
      <c r="F299" s="84"/>
      <c r="G299" s="73" t="s">
        <v>555</v>
      </c>
      <c r="H299" s="74"/>
      <c r="I299" s="3"/>
      <c r="J299" s="3"/>
      <c r="K299" s="3"/>
      <c r="L299" s="3"/>
      <c r="M299" t="e" cm="1" vm="1">
        <f t="array" ref="M299">TRANSPOSE(_xlfn.UNIQUE(_xlfn._xlws.FILTER(Table4[Discipine Area],(Table4[Discipline No.]=C359)*(Table4[Discipline No.]=C359))))</f>
        <v>#VALUE!</v>
      </c>
    </row>
    <row r="300" spans="1:13" x14ac:dyDescent="0.25">
      <c r="A300" s="82"/>
      <c r="B300" s="115"/>
      <c r="C300" s="9">
        <v>3</v>
      </c>
      <c r="D300" s="73" t="s">
        <v>336</v>
      </c>
      <c r="E300" s="73" t="s">
        <v>362</v>
      </c>
      <c r="F300" s="84"/>
      <c r="G300" s="74" t="s">
        <v>556</v>
      </c>
      <c r="H300" s="74"/>
      <c r="I300" s="3"/>
      <c r="J300" s="3"/>
      <c r="K300" s="3"/>
      <c r="L300" s="3"/>
      <c r="M300" t="e" cm="1" vm="1">
        <f t="array" ref="M300">TRANSPOSE(_xlfn.UNIQUE(_xlfn._xlws.FILTER(Table4[Discipine Area],(Table4[Discipline No.]=C360)*(Table4[Discipline No.]=C360))))</f>
        <v>#VALUE!</v>
      </c>
    </row>
    <row r="301" spans="1:13" x14ac:dyDescent="0.25">
      <c r="A301" s="82"/>
      <c r="B301" s="115"/>
      <c r="C301" s="9">
        <v>3</v>
      </c>
      <c r="D301" s="73" t="s">
        <v>336</v>
      </c>
      <c r="E301" s="73" t="s">
        <v>299</v>
      </c>
      <c r="F301" s="84"/>
      <c r="G301" s="74" t="s">
        <v>557</v>
      </c>
      <c r="H301" s="74"/>
      <c r="I301" s="3"/>
      <c r="J301" s="3"/>
      <c r="K301" s="3"/>
      <c r="L301" s="3"/>
      <c r="M301" t="e" cm="1" vm="1">
        <f t="array" ref="M301">TRANSPOSE(_xlfn.UNIQUE(_xlfn._xlws.FILTER(Table4[Discipine Area],(Table4[Discipline No.]=C361)*(Table4[Discipline No.]=C361))))</f>
        <v>#VALUE!</v>
      </c>
    </row>
    <row r="302" spans="1:13" x14ac:dyDescent="0.25">
      <c r="A302" s="82"/>
      <c r="B302" s="116"/>
      <c r="C302" s="9">
        <v>3</v>
      </c>
      <c r="D302" s="73" t="s">
        <v>336</v>
      </c>
      <c r="E302" s="73" t="s">
        <v>301</v>
      </c>
      <c r="F302" s="84"/>
      <c r="G302" s="73" t="s">
        <v>558</v>
      </c>
      <c r="H302" s="74"/>
      <c r="I302" s="3"/>
      <c r="J302" s="3"/>
      <c r="K302" s="3"/>
      <c r="L302" s="3"/>
      <c r="M302" t="e" cm="1" vm="1">
        <f t="array" ref="M302">TRANSPOSE(_xlfn.UNIQUE(_xlfn._xlws.FILTER(Table4[Discipine Area],(Table4[Discipline No.]=C362)*(Table4[Discipline No.]=C362))))</f>
        <v>#VALUE!</v>
      </c>
    </row>
    <row r="303" spans="1:13" ht="30" x14ac:dyDescent="0.25">
      <c r="A303" s="82"/>
      <c r="B303" s="116"/>
      <c r="C303" s="9">
        <v>1</v>
      </c>
      <c r="D303" s="73" t="s">
        <v>303</v>
      </c>
      <c r="E303" s="73" t="s">
        <v>298</v>
      </c>
      <c r="F303" s="84"/>
      <c r="G303" s="74" t="s">
        <v>559</v>
      </c>
      <c r="H303" s="74"/>
      <c r="I303" s="3"/>
      <c r="J303" s="3"/>
      <c r="K303" s="3"/>
      <c r="L303" s="3"/>
      <c r="M303" t="e" cm="1" vm="1">
        <f t="array" ref="M303">TRANSPOSE(_xlfn.UNIQUE(_xlfn._xlws.FILTER(Table4[Discipine Area],(Table4[Discipline No.]=C363)*(Table4[Discipline No.]=C363))))</f>
        <v>#VALUE!</v>
      </c>
    </row>
    <row r="304" spans="1:13" ht="30" x14ac:dyDescent="0.25">
      <c r="A304" s="82"/>
      <c r="B304" s="115"/>
      <c r="C304" s="9">
        <v>3</v>
      </c>
      <c r="D304" s="73" t="s">
        <v>313</v>
      </c>
      <c r="E304" s="73" t="s">
        <v>298</v>
      </c>
      <c r="F304" s="84"/>
      <c r="G304" s="74" t="s">
        <v>560</v>
      </c>
      <c r="H304" s="74"/>
      <c r="I304" s="3"/>
      <c r="J304" s="3"/>
      <c r="K304" s="3"/>
      <c r="L304" s="3"/>
      <c r="M304" t="e" cm="1" vm="1">
        <f t="array" ref="M304">TRANSPOSE(_xlfn.UNIQUE(_xlfn._xlws.FILTER(Table4[Discipine Area],(Table4[Discipline No.]=C364)*(Table4[Discipline No.]=C364))))</f>
        <v>#VALUE!</v>
      </c>
    </row>
    <row r="305" spans="1:52" x14ac:dyDescent="0.25">
      <c r="A305" s="82"/>
      <c r="B305" s="115"/>
      <c r="C305" s="9">
        <v>3</v>
      </c>
      <c r="D305" s="73" t="s">
        <v>338</v>
      </c>
      <c r="E305" s="73" t="s">
        <v>213</v>
      </c>
      <c r="F305" s="84"/>
      <c r="G305" s="74" t="s">
        <v>561</v>
      </c>
      <c r="H305" s="74"/>
      <c r="I305" s="3"/>
      <c r="J305" s="3"/>
      <c r="K305" s="3"/>
      <c r="L305" s="3"/>
    </row>
    <row r="306" spans="1:52" x14ac:dyDescent="0.25">
      <c r="A306" s="82"/>
      <c r="B306" s="115"/>
      <c r="C306" s="9">
        <v>3</v>
      </c>
      <c r="D306" s="73" t="s">
        <v>104</v>
      </c>
      <c r="E306" s="73" t="s">
        <v>299</v>
      </c>
      <c r="F306" s="84"/>
      <c r="G306" s="74" t="s">
        <v>549</v>
      </c>
      <c r="H306" s="74"/>
      <c r="I306" s="3"/>
      <c r="J306" s="3"/>
      <c r="K306" s="3"/>
      <c r="L306" s="3"/>
      <c r="M306" t="e" cm="1" vm="1">
        <f t="array" ref="M306">TRANSPOSE(_xlfn.UNIQUE(_xlfn._xlws.FILTER(Table4[Discipine Area],(Table4[Discipline No.]=C366)*(Table4[Discipline No.]=C366))))</f>
        <v>#VALUE!</v>
      </c>
    </row>
    <row r="307" spans="1:52" ht="15" customHeight="1" x14ac:dyDescent="0.25">
      <c r="A307" s="82"/>
      <c r="B307" s="116"/>
      <c r="C307" s="9">
        <v>3</v>
      </c>
      <c r="D307" s="73" t="s">
        <v>359</v>
      </c>
      <c r="E307" s="73" t="s">
        <v>299</v>
      </c>
      <c r="F307" s="84"/>
      <c r="G307" s="74" t="s">
        <v>562</v>
      </c>
      <c r="H307" s="74"/>
      <c r="I307" s="3"/>
      <c r="J307" s="3"/>
      <c r="K307" s="3"/>
      <c r="L307" s="3"/>
      <c r="M307" t="e" cm="1" vm="1">
        <f t="array" ref="M307">TRANSPOSE(_xlfn.UNIQUE(_xlfn._xlws.FILTER(Table4[Discipine Area],(Table4[Discipline No.]=C367)*(Table4[Discipline No.]=C367))))</f>
        <v>#VALUE!</v>
      </c>
    </row>
    <row r="308" spans="1:52" ht="15" customHeight="1" x14ac:dyDescent="0.25">
      <c r="A308" s="9"/>
      <c r="B308" s="116"/>
      <c r="C308" s="9">
        <v>3</v>
      </c>
      <c r="D308" s="73" t="s">
        <v>377</v>
      </c>
      <c r="E308" s="73" t="s">
        <v>298</v>
      </c>
      <c r="F308" s="84"/>
      <c r="G308" s="74" t="s">
        <v>563</v>
      </c>
      <c r="H308" s="74"/>
      <c r="I308" s="3"/>
      <c r="J308" s="3"/>
      <c r="K308" s="3"/>
      <c r="L308" s="3"/>
      <c r="M308" t="e" cm="1" vm="1">
        <f t="array" ref="M308">TRANSPOSE(_xlfn.UNIQUE(_xlfn._xlws.FILTER(Table4[Discipine Area],(Table4[Discipline No.]=C368)*(Table4[Discipline No.]=C368))))</f>
        <v>#VALUE!</v>
      </c>
    </row>
    <row r="309" spans="1:52" x14ac:dyDescent="0.25">
      <c r="A309" s="9"/>
      <c r="B309" s="115"/>
      <c r="C309" s="9">
        <v>3</v>
      </c>
      <c r="D309" s="73" t="s">
        <v>316</v>
      </c>
      <c r="E309" s="73" t="s">
        <v>300</v>
      </c>
      <c r="F309" s="84"/>
      <c r="G309" s="74" t="s">
        <v>564</v>
      </c>
      <c r="H309" s="74"/>
      <c r="I309" s="3"/>
      <c r="J309" s="3"/>
      <c r="K309" s="3"/>
      <c r="L309" s="3"/>
      <c r="M309" t="e" cm="1" vm="1">
        <f t="array" ref="M309">TRANSPOSE(_xlfn.UNIQUE(_xlfn._xlws.FILTER(Table4[Discipine Area],(Table4[Discipline No.]=C369)*(Table4[Discipline No.]=C369))))</f>
        <v>#VALUE!</v>
      </c>
    </row>
    <row r="310" spans="1:52" x14ac:dyDescent="0.25">
      <c r="A310" s="9"/>
      <c r="B310" s="115"/>
      <c r="C310" s="9">
        <v>10</v>
      </c>
      <c r="D310" s="73" t="s">
        <v>321</v>
      </c>
      <c r="E310" s="73" t="s">
        <v>217</v>
      </c>
      <c r="F310" s="84"/>
      <c r="G310" s="74" t="s">
        <v>565</v>
      </c>
      <c r="H310" s="74"/>
      <c r="I310" s="3"/>
      <c r="J310" s="3"/>
      <c r="K310" s="3"/>
      <c r="L310" s="3"/>
      <c r="M310" t="e" cm="1" vm="1">
        <f t="array" ref="M310">TRANSPOSE(_xlfn.UNIQUE(_xlfn._xlws.FILTER(Table4[Discipine Area],(Table4[Discipline No.]=C370)*(Table4[Discipline No.]=C370))))</f>
        <v>#VALUE!</v>
      </c>
    </row>
    <row r="311" spans="1:52" x14ac:dyDescent="0.25">
      <c r="A311" s="9"/>
      <c r="B311" s="101"/>
      <c r="C311" s="9"/>
      <c r="D311" s="73"/>
      <c r="E311" s="73"/>
      <c r="F311" s="84"/>
      <c r="G311" s="74"/>
      <c r="H311" s="74"/>
      <c r="I311" s="3"/>
      <c r="J311" s="3"/>
      <c r="K311" s="3"/>
      <c r="L311" s="3"/>
      <c r="M311" t="e" cm="1" vm="1">
        <f t="array" ref="M311">TRANSPOSE(_xlfn.UNIQUE(_xlfn._xlws.FILTER(Table4[Discipine Area],(Table4[Discipline No.]=C371)*(Table4[Discipline No.]=C371))))</f>
        <v>#VALUE!</v>
      </c>
    </row>
    <row r="312" spans="1:52" ht="15" customHeight="1" x14ac:dyDescent="0.25">
      <c r="A312" s="9"/>
      <c r="B312" s="101"/>
      <c r="C312" s="9"/>
      <c r="D312" s="74"/>
      <c r="E312" s="73"/>
      <c r="F312" s="84"/>
      <c r="G312" s="74"/>
      <c r="H312" s="74"/>
      <c r="I312" s="3"/>
      <c r="J312" s="3"/>
      <c r="K312" s="3"/>
      <c r="L312" s="3"/>
      <c r="M312" t="e" cm="1" vm="1">
        <f t="array" ref="M312">TRANSPOSE(_xlfn.UNIQUE(_xlfn._xlws.FILTER(Table4[Discipine Area],(Table4[Discipline No.]=C372)*(Table4[Discipline No.]=C372))))</f>
        <v>#VALUE!</v>
      </c>
    </row>
    <row r="313" spans="1:52" ht="15" customHeight="1" x14ac:dyDescent="0.25">
      <c r="A313" s="9"/>
      <c r="B313" s="99"/>
      <c r="C313" s="9"/>
      <c r="D313" s="74"/>
      <c r="E313" s="73"/>
      <c r="F313" s="84"/>
      <c r="G313" s="74"/>
      <c r="H313" s="74"/>
      <c r="I313" s="3"/>
      <c r="J313" s="3"/>
      <c r="K313" s="3"/>
      <c r="L313" s="3"/>
      <c r="M313" t="str" cm="1">
        <f t="array" ref="M313:AZ313">TRANSPOSE(_xlfn.UNIQUE(_xlfn._xlws.FILTER(Table4[Discipine Area],(Table4[Discipline No.]=C373)*(Table4[Discipline No.]=C373))))</f>
        <v>Exterior</v>
      </c>
      <c r="N313" t="str">
        <v>Fwd area</v>
      </c>
      <c r="O313" t="str">
        <v>Midship area</v>
      </c>
      <c r="P313" t="str">
        <v>Aft area</v>
      </c>
      <c r="Q313" t="str">
        <v>window surround</v>
      </c>
      <c r="R313" t="str">
        <v>Bows</v>
      </c>
      <c r="S313" t="str">
        <v>fwd deck steps</v>
      </c>
      <c r="T313" t="str">
        <v>Deck flange</v>
      </c>
      <c r="U313" t="str">
        <v>Waterchannel</v>
      </c>
      <c r="V313" t="str">
        <v>Helmstation</v>
      </c>
      <c r="W313" t="str">
        <v>window module</v>
      </c>
      <c r="X313" t="str">
        <v>deck Join</v>
      </c>
      <c r="Y313" t="str">
        <v>side deck step</v>
      </c>
      <c r="Z313" t="str">
        <v>Bimini</v>
      </c>
      <c r="AA313" t="str">
        <v>Helmstation steps</v>
      </c>
      <c r="AB313" t="str">
        <v>toe rail</v>
      </c>
      <c r="AC313" t="str">
        <v>Inboard liner</v>
      </c>
      <c r="AD313" t="str">
        <v>Settee</v>
      </c>
      <c r="AE313" t="str">
        <v>Transom</v>
      </c>
      <c r="AF313" t="str">
        <v>Floating step</v>
      </c>
      <c r="AG313" t="str">
        <v>Locker lids</v>
      </c>
      <c r="AH313" t="str">
        <v>Table</v>
      </c>
      <c r="AI313" t="str">
        <v>Ceiling</v>
      </c>
      <c r="AJ313" t="str">
        <v>Targawing</v>
      </c>
      <c r="AK313" t="str">
        <v>Eyebrow</v>
      </c>
      <c r="AL313" t="str">
        <v>Decklid</v>
      </c>
      <c r="AM313" t="str">
        <v>Skylight</v>
      </c>
      <c r="AN313" t="str">
        <v>Floor</v>
      </c>
      <c r="AO313" t="str">
        <v>Flybridge steps</v>
      </c>
      <c r="AP313" t="str">
        <v>INTERIOR</v>
      </c>
      <c r="AQ313" t="str">
        <v>Stowage space under floorboards</v>
      </c>
      <c r="AR313" t="str">
        <v>Door surround</v>
      </c>
      <c r="AS313" t="str">
        <v>Staircase</v>
      </c>
      <c r="AT313" t="str">
        <v>Plinth/Skirting</v>
      </c>
      <c r="AU313" t="str">
        <v>Ceiling Liner</v>
      </c>
      <c r="AV313" t="str">
        <v>BBQ Locker</v>
      </c>
      <c r="AW313" t="str">
        <v>Bunk Liners</v>
      </c>
      <c r="AX313" t="str">
        <v>Basin module</v>
      </c>
      <c r="AY313" t="str">
        <v>Shower bulkhead module</v>
      </c>
      <c r="AZ313" t="str">
        <v>Heads bulkhead module</v>
      </c>
    </row>
    <row r="314" spans="1:52" ht="15" customHeight="1" x14ac:dyDescent="0.25">
      <c r="A314" s="9"/>
      <c r="B314" s="101"/>
      <c r="C314" s="9"/>
      <c r="D314" s="74"/>
      <c r="E314" s="73"/>
      <c r="F314" s="84"/>
      <c r="G314" s="74"/>
      <c r="H314" s="74"/>
      <c r="I314" s="3"/>
      <c r="J314" s="3"/>
      <c r="K314" s="3"/>
      <c r="L314" s="3"/>
      <c r="M314" t="str" cm="1">
        <f t="array" ref="M314:AZ314">TRANSPOSE(_xlfn.UNIQUE(_xlfn._xlws.FILTER(Table4[Discipine Area],(Table4[Discipline No.]=C374)*(Table4[Discipline No.]=C374))))</f>
        <v>Exterior</v>
      </c>
      <c r="N314" t="str">
        <v>Fwd area</v>
      </c>
      <c r="O314" t="str">
        <v>Midship area</v>
      </c>
      <c r="P314" t="str">
        <v>Aft area</v>
      </c>
      <c r="Q314" t="str">
        <v>window surround</v>
      </c>
      <c r="R314" t="str">
        <v>Bows</v>
      </c>
      <c r="S314" t="str">
        <v>fwd deck steps</v>
      </c>
      <c r="T314" t="str">
        <v>Deck flange</v>
      </c>
      <c r="U314" t="str">
        <v>Waterchannel</v>
      </c>
      <c r="V314" t="str">
        <v>Helmstation</v>
      </c>
      <c r="W314" t="str">
        <v>window module</v>
      </c>
      <c r="X314" t="str">
        <v>deck Join</v>
      </c>
      <c r="Y314" t="str">
        <v>side deck step</v>
      </c>
      <c r="Z314" t="str">
        <v>Bimini</v>
      </c>
      <c r="AA314" t="str">
        <v>Helmstation steps</v>
      </c>
      <c r="AB314" t="str">
        <v>toe rail</v>
      </c>
      <c r="AC314" t="str">
        <v>Inboard liner</v>
      </c>
      <c r="AD314" t="str">
        <v>Settee</v>
      </c>
      <c r="AE314" t="str">
        <v>Transom</v>
      </c>
      <c r="AF314" t="str">
        <v>Floating step</v>
      </c>
      <c r="AG314" t="str">
        <v>Locker lids</v>
      </c>
      <c r="AH314" t="str">
        <v>Table</v>
      </c>
      <c r="AI314" t="str">
        <v>Ceiling</v>
      </c>
      <c r="AJ314" t="str">
        <v>Targawing</v>
      </c>
      <c r="AK314" t="str">
        <v>Eyebrow</v>
      </c>
      <c r="AL314" t="str">
        <v>Decklid</v>
      </c>
      <c r="AM314" t="str">
        <v>Skylight</v>
      </c>
      <c r="AN314" t="str">
        <v>Floor</v>
      </c>
      <c r="AO314" t="str">
        <v>Flybridge steps</v>
      </c>
      <c r="AP314" t="str">
        <v>INTERIOR</v>
      </c>
      <c r="AQ314" t="str">
        <v>Stowage space under floorboards</v>
      </c>
      <c r="AR314" t="str">
        <v>Door surround</v>
      </c>
      <c r="AS314" t="str">
        <v>Staircase</v>
      </c>
      <c r="AT314" t="str">
        <v>Plinth/Skirting</v>
      </c>
      <c r="AU314" t="str">
        <v>Ceiling Liner</v>
      </c>
      <c r="AV314" t="str">
        <v>BBQ Locker</v>
      </c>
      <c r="AW314" t="str">
        <v>Bunk Liners</v>
      </c>
      <c r="AX314" t="str">
        <v>Basin module</v>
      </c>
      <c r="AY314" t="str">
        <v>Shower bulkhead module</v>
      </c>
      <c r="AZ314" t="str">
        <v>Heads bulkhead module</v>
      </c>
    </row>
    <row r="315" spans="1:52" ht="15" customHeight="1" x14ac:dyDescent="0.25">
      <c r="A315" s="9"/>
      <c r="B315" s="101"/>
      <c r="C315" s="9"/>
      <c r="D315" s="74"/>
      <c r="E315" s="73"/>
      <c r="F315" s="84"/>
      <c r="G315" s="74"/>
      <c r="H315" s="74"/>
      <c r="I315" s="3"/>
      <c r="J315" s="3"/>
      <c r="K315" s="3"/>
      <c r="L315" s="3"/>
      <c r="M315" t="str" cm="1">
        <f t="array" ref="M315:AZ315">TRANSPOSE(_xlfn.UNIQUE(_xlfn._xlws.FILTER(Table4[Discipine Area],(Table4[Discipline No.]=C375)*(Table4[Discipline No.]=C375))))</f>
        <v>Exterior</v>
      </c>
      <c r="N315" t="str">
        <v>Fwd area</v>
      </c>
      <c r="O315" t="str">
        <v>Midship area</v>
      </c>
      <c r="P315" t="str">
        <v>Aft area</v>
      </c>
      <c r="Q315" t="str">
        <v>window surround</v>
      </c>
      <c r="R315" t="str">
        <v>Bows</v>
      </c>
      <c r="S315" t="str">
        <v>fwd deck steps</v>
      </c>
      <c r="T315" t="str">
        <v>Deck flange</v>
      </c>
      <c r="U315" t="str">
        <v>Waterchannel</v>
      </c>
      <c r="V315" t="str">
        <v>Helmstation</v>
      </c>
      <c r="W315" t="str">
        <v>window module</v>
      </c>
      <c r="X315" t="str">
        <v>deck Join</v>
      </c>
      <c r="Y315" t="str">
        <v>side deck step</v>
      </c>
      <c r="Z315" t="str">
        <v>Bimini</v>
      </c>
      <c r="AA315" t="str">
        <v>Helmstation steps</v>
      </c>
      <c r="AB315" t="str">
        <v>toe rail</v>
      </c>
      <c r="AC315" t="str">
        <v>Inboard liner</v>
      </c>
      <c r="AD315" t="str">
        <v>Settee</v>
      </c>
      <c r="AE315" t="str">
        <v>Transom</v>
      </c>
      <c r="AF315" t="str">
        <v>Floating step</v>
      </c>
      <c r="AG315" t="str">
        <v>Locker lids</v>
      </c>
      <c r="AH315" t="str">
        <v>Table</v>
      </c>
      <c r="AI315" t="str">
        <v>Ceiling</v>
      </c>
      <c r="AJ315" t="str">
        <v>Targawing</v>
      </c>
      <c r="AK315" t="str">
        <v>Eyebrow</v>
      </c>
      <c r="AL315" t="str">
        <v>Decklid</v>
      </c>
      <c r="AM315" t="str">
        <v>Skylight</v>
      </c>
      <c r="AN315" t="str">
        <v>Floor</v>
      </c>
      <c r="AO315" t="str">
        <v>Flybridge steps</v>
      </c>
      <c r="AP315" t="str">
        <v>INTERIOR</v>
      </c>
      <c r="AQ315" t="str">
        <v>Stowage space under floorboards</v>
      </c>
      <c r="AR315" t="str">
        <v>Door surround</v>
      </c>
      <c r="AS315" t="str">
        <v>Staircase</v>
      </c>
      <c r="AT315" t="str">
        <v>Plinth/Skirting</v>
      </c>
      <c r="AU315" t="str">
        <v>Ceiling Liner</v>
      </c>
      <c r="AV315" t="str">
        <v>BBQ Locker</v>
      </c>
      <c r="AW315" t="str">
        <v>Bunk Liners</v>
      </c>
      <c r="AX315" t="str">
        <v>Basin module</v>
      </c>
      <c r="AY315" t="str">
        <v>Shower bulkhead module</v>
      </c>
      <c r="AZ315" t="str">
        <v>Heads bulkhead module</v>
      </c>
    </row>
    <row r="316" spans="1:52" ht="15" customHeight="1" x14ac:dyDescent="0.25">
      <c r="A316" s="9"/>
      <c r="B316" s="107"/>
      <c r="C316" s="9"/>
      <c r="D316" s="74"/>
      <c r="E316" s="73"/>
      <c r="F316" s="84"/>
      <c r="G316" s="74"/>
      <c r="H316" s="74"/>
      <c r="I316" s="3"/>
      <c r="J316" s="3"/>
      <c r="K316" s="3"/>
      <c r="L316" s="3"/>
      <c r="M316" t="str" cm="1">
        <f t="array" ref="M316:AZ316">TRANSPOSE(_xlfn.UNIQUE(_xlfn._xlws.FILTER(Table4[Discipine Area],(Table4[Discipline No.]=C376)*(Table4[Discipline No.]=C376))))</f>
        <v>Exterior</v>
      </c>
      <c r="N316" t="str">
        <v>Fwd area</v>
      </c>
      <c r="O316" t="str">
        <v>Midship area</v>
      </c>
      <c r="P316" t="str">
        <v>Aft area</v>
      </c>
      <c r="Q316" t="str">
        <v>window surround</v>
      </c>
      <c r="R316" t="str">
        <v>Bows</v>
      </c>
      <c r="S316" t="str">
        <v>fwd deck steps</v>
      </c>
      <c r="T316" t="str">
        <v>Deck flange</v>
      </c>
      <c r="U316" t="str">
        <v>Waterchannel</v>
      </c>
      <c r="V316" t="str">
        <v>Helmstation</v>
      </c>
      <c r="W316" t="str">
        <v>window module</v>
      </c>
      <c r="X316" t="str">
        <v>deck Join</v>
      </c>
      <c r="Y316" t="str">
        <v>side deck step</v>
      </c>
      <c r="Z316" t="str">
        <v>Bimini</v>
      </c>
      <c r="AA316" t="str">
        <v>Helmstation steps</v>
      </c>
      <c r="AB316" t="str">
        <v>toe rail</v>
      </c>
      <c r="AC316" t="str">
        <v>Inboard liner</v>
      </c>
      <c r="AD316" t="str">
        <v>Settee</v>
      </c>
      <c r="AE316" t="str">
        <v>Transom</v>
      </c>
      <c r="AF316" t="str">
        <v>Floating step</v>
      </c>
      <c r="AG316" t="str">
        <v>Locker lids</v>
      </c>
      <c r="AH316" t="str">
        <v>Table</v>
      </c>
      <c r="AI316" t="str">
        <v>Ceiling</v>
      </c>
      <c r="AJ316" t="str">
        <v>Targawing</v>
      </c>
      <c r="AK316" t="str">
        <v>Eyebrow</v>
      </c>
      <c r="AL316" t="str">
        <v>Decklid</v>
      </c>
      <c r="AM316" t="str">
        <v>Skylight</v>
      </c>
      <c r="AN316" t="str">
        <v>Floor</v>
      </c>
      <c r="AO316" t="str">
        <v>Flybridge steps</v>
      </c>
      <c r="AP316" t="str">
        <v>INTERIOR</v>
      </c>
      <c r="AQ316" t="str">
        <v>Stowage space under floorboards</v>
      </c>
      <c r="AR316" t="str">
        <v>Door surround</v>
      </c>
      <c r="AS316" t="str">
        <v>Staircase</v>
      </c>
      <c r="AT316" t="str">
        <v>Plinth/Skirting</v>
      </c>
      <c r="AU316" t="str">
        <v>Ceiling Liner</v>
      </c>
      <c r="AV316" t="str">
        <v>BBQ Locker</v>
      </c>
      <c r="AW316" t="str">
        <v>Bunk Liners</v>
      </c>
      <c r="AX316" t="str">
        <v>Basin module</v>
      </c>
      <c r="AY316" t="str">
        <v>Shower bulkhead module</v>
      </c>
      <c r="AZ316" t="str">
        <v>Heads bulkhead module</v>
      </c>
    </row>
    <row r="317" spans="1:52" ht="15" customHeight="1" x14ac:dyDescent="0.25">
      <c r="A317" s="9"/>
      <c r="B317" s="99"/>
      <c r="C317" s="9"/>
      <c r="D317" s="74"/>
      <c r="E317" s="73"/>
      <c r="F317" s="84"/>
      <c r="G317" s="74"/>
      <c r="H317" s="74"/>
      <c r="I317" s="3"/>
      <c r="J317" s="3"/>
      <c r="K317" s="3"/>
      <c r="L317" s="3"/>
      <c r="M317" t="str" cm="1">
        <f t="array" ref="M317:AZ317">TRANSPOSE(_xlfn.UNIQUE(_xlfn._xlws.FILTER(Table4[Discipine Area],(Table4[Discipline No.]=C377)*(Table4[Discipline No.]=C377))))</f>
        <v>Exterior</v>
      </c>
      <c r="N317" t="str">
        <v>Fwd area</v>
      </c>
      <c r="O317" t="str">
        <v>Midship area</v>
      </c>
      <c r="P317" t="str">
        <v>Aft area</v>
      </c>
      <c r="Q317" t="str">
        <v>window surround</v>
      </c>
      <c r="R317" t="str">
        <v>Bows</v>
      </c>
      <c r="S317" t="str">
        <v>fwd deck steps</v>
      </c>
      <c r="T317" t="str">
        <v>Deck flange</v>
      </c>
      <c r="U317" t="str">
        <v>Waterchannel</v>
      </c>
      <c r="V317" t="str">
        <v>Helmstation</v>
      </c>
      <c r="W317" t="str">
        <v>window module</v>
      </c>
      <c r="X317" t="str">
        <v>deck Join</v>
      </c>
      <c r="Y317" t="str">
        <v>side deck step</v>
      </c>
      <c r="Z317" t="str">
        <v>Bimini</v>
      </c>
      <c r="AA317" t="str">
        <v>Helmstation steps</v>
      </c>
      <c r="AB317" t="str">
        <v>toe rail</v>
      </c>
      <c r="AC317" t="str">
        <v>Inboard liner</v>
      </c>
      <c r="AD317" t="str">
        <v>Settee</v>
      </c>
      <c r="AE317" t="str">
        <v>Transom</v>
      </c>
      <c r="AF317" t="str">
        <v>Floating step</v>
      </c>
      <c r="AG317" t="str">
        <v>Locker lids</v>
      </c>
      <c r="AH317" t="str">
        <v>Table</v>
      </c>
      <c r="AI317" t="str">
        <v>Ceiling</v>
      </c>
      <c r="AJ317" t="str">
        <v>Targawing</v>
      </c>
      <c r="AK317" t="str">
        <v>Eyebrow</v>
      </c>
      <c r="AL317" t="str">
        <v>Decklid</v>
      </c>
      <c r="AM317" t="str">
        <v>Skylight</v>
      </c>
      <c r="AN317" t="str">
        <v>Floor</v>
      </c>
      <c r="AO317" t="str">
        <v>Flybridge steps</v>
      </c>
      <c r="AP317" t="str">
        <v>INTERIOR</v>
      </c>
      <c r="AQ317" t="str">
        <v>Stowage space under floorboards</v>
      </c>
      <c r="AR317" t="str">
        <v>Door surround</v>
      </c>
      <c r="AS317" t="str">
        <v>Staircase</v>
      </c>
      <c r="AT317" t="str">
        <v>Plinth/Skirting</v>
      </c>
      <c r="AU317" t="str">
        <v>Ceiling Liner</v>
      </c>
      <c r="AV317" t="str">
        <v>BBQ Locker</v>
      </c>
      <c r="AW317" t="str">
        <v>Bunk Liners</v>
      </c>
      <c r="AX317" t="str">
        <v>Basin module</v>
      </c>
      <c r="AY317" t="str">
        <v>Shower bulkhead module</v>
      </c>
      <c r="AZ317" t="str">
        <v>Heads bulkhead module</v>
      </c>
    </row>
    <row r="318" spans="1:52" ht="15" customHeight="1" x14ac:dyDescent="0.25">
      <c r="A318" s="9"/>
      <c r="B318" s="99"/>
      <c r="C318" s="9"/>
      <c r="D318" s="73"/>
      <c r="E318" s="73"/>
      <c r="F318" s="84"/>
      <c r="G318" s="74"/>
      <c r="H318" s="74"/>
      <c r="I318" s="3"/>
      <c r="J318" s="3"/>
      <c r="K318" s="3"/>
      <c r="L318" s="3"/>
      <c r="M318" t="e" cm="1" vm="1">
        <f t="array" ref="M318">TRANSPOSE(_xlfn.UNIQUE(_xlfn._xlws.FILTER(Table4[Discipine Area],(Table4[Discipline No.]=C378)*(Table4[Discipline No.]=C378))))</f>
        <v>#VALUE!</v>
      </c>
    </row>
    <row r="319" spans="1:52" ht="15" customHeight="1" x14ac:dyDescent="0.25">
      <c r="A319" s="9"/>
      <c r="B319" s="99"/>
      <c r="C319" s="9"/>
      <c r="D319" s="73"/>
      <c r="E319" s="73"/>
      <c r="F319" s="84"/>
      <c r="G319" s="74"/>
      <c r="H319" s="74"/>
      <c r="I319" s="3"/>
      <c r="J319" s="3"/>
      <c r="K319" s="3"/>
      <c r="L319" s="3"/>
      <c r="M319" t="e" cm="1" vm="1">
        <f t="array" ref="M319">TRANSPOSE(_xlfn.UNIQUE(_xlfn._xlws.FILTER(Table4[Discipine Area],(Table4[Discipline No.]=C379)*(Table4[Discipline No.]=C379))))</f>
        <v>#VALUE!</v>
      </c>
    </row>
    <row r="320" spans="1:52" ht="15" customHeight="1" x14ac:dyDescent="0.25">
      <c r="A320" s="9"/>
      <c r="B320" s="99"/>
      <c r="C320" s="9"/>
      <c r="D320" s="73"/>
      <c r="E320" s="73"/>
      <c r="F320" s="84"/>
      <c r="G320" s="74"/>
      <c r="H320" s="74"/>
      <c r="I320" s="3"/>
      <c r="J320" s="3"/>
      <c r="K320" s="3"/>
      <c r="L320" s="3"/>
      <c r="M320" t="e" cm="1" vm="1">
        <f t="array" ref="M320">TRANSPOSE(_xlfn.UNIQUE(_xlfn._xlws.FILTER(Table4[Discipine Area],(Table4[Discipline No.]=C380)*(Table4[Discipline No.]=C380))))</f>
        <v>#VALUE!</v>
      </c>
    </row>
    <row r="321" spans="1:52" ht="15" customHeight="1" x14ac:dyDescent="0.25">
      <c r="A321" s="9"/>
      <c r="B321" s="101"/>
      <c r="C321" s="9"/>
      <c r="D321" s="73"/>
      <c r="E321" s="73"/>
      <c r="F321" s="84"/>
      <c r="G321" s="74"/>
      <c r="H321" s="74"/>
      <c r="I321" s="3"/>
      <c r="J321" s="3"/>
      <c r="K321" s="3"/>
      <c r="L321" s="3"/>
      <c r="M321" t="e" cm="1" vm="1">
        <f t="array" ref="M321">TRANSPOSE(_xlfn.UNIQUE(_xlfn._xlws.FILTER(Table4[Discipine Area],(Table4[Discipline No.]=C381)*(Table4[Discipline No.]=C381))))</f>
        <v>#VALUE!</v>
      </c>
    </row>
    <row r="322" spans="1:52" ht="15" customHeight="1" x14ac:dyDescent="0.25">
      <c r="A322" s="9"/>
      <c r="B322" s="99"/>
      <c r="C322" s="9"/>
      <c r="D322" s="73"/>
      <c r="E322" s="73"/>
      <c r="F322" s="84"/>
      <c r="G322" s="74"/>
      <c r="H322" s="74"/>
      <c r="I322" s="3"/>
      <c r="J322" s="3"/>
      <c r="K322" s="3"/>
      <c r="L322" s="3"/>
      <c r="M322" t="str" cm="1">
        <f t="array" ref="M322:AZ322">TRANSPOSE(_xlfn.UNIQUE(_xlfn._xlws.FILTER(Table4[Discipine Area],(Table4[Discipline No.]=C382)*(Table4[Discipline No.]=C382))))</f>
        <v>Exterior</v>
      </c>
      <c r="N322" t="str">
        <v>Fwd area</v>
      </c>
      <c r="O322" t="str">
        <v>Midship area</v>
      </c>
      <c r="P322" t="str">
        <v>Aft area</v>
      </c>
      <c r="Q322" t="str">
        <v>window surround</v>
      </c>
      <c r="R322" t="str">
        <v>Bows</v>
      </c>
      <c r="S322" t="str">
        <v>fwd deck steps</v>
      </c>
      <c r="T322" t="str">
        <v>Deck flange</v>
      </c>
      <c r="U322" t="str">
        <v>Waterchannel</v>
      </c>
      <c r="V322" t="str">
        <v>Helmstation</v>
      </c>
      <c r="W322" t="str">
        <v>window module</v>
      </c>
      <c r="X322" t="str">
        <v>deck Join</v>
      </c>
      <c r="Y322" t="str">
        <v>side deck step</v>
      </c>
      <c r="Z322" t="str">
        <v>Bimini</v>
      </c>
      <c r="AA322" t="str">
        <v>Helmstation steps</v>
      </c>
      <c r="AB322" t="str">
        <v>toe rail</v>
      </c>
      <c r="AC322" t="str">
        <v>Inboard liner</v>
      </c>
      <c r="AD322" t="str">
        <v>Settee</v>
      </c>
      <c r="AE322" t="str">
        <v>Transom</v>
      </c>
      <c r="AF322" t="str">
        <v>Floating step</v>
      </c>
      <c r="AG322" t="str">
        <v>Locker lids</v>
      </c>
      <c r="AH322" t="str">
        <v>Table</v>
      </c>
      <c r="AI322" t="str">
        <v>Ceiling</v>
      </c>
      <c r="AJ322" t="str">
        <v>Targawing</v>
      </c>
      <c r="AK322" t="str">
        <v>Eyebrow</v>
      </c>
      <c r="AL322" t="str">
        <v>Decklid</v>
      </c>
      <c r="AM322" t="str">
        <v>Skylight</v>
      </c>
      <c r="AN322" t="str">
        <v>Floor</v>
      </c>
      <c r="AO322" t="str">
        <v>Flybridge steps</v>
      </c>
      <c r="AP322" t="str">
        <v>INTERIOR</v>
      </c>
      <c r="AQ322" t="str">
        <v>Stowage space under floorboards</v>
      </c>
      <c r="AR322" t="str">
        <v>Door surround</v>
      </c>
      <c r="AS322" t="str">
        <v>Staircase</v>
      </c>
      <c r="AT322" t="str">
        <v>Plinth/Skirting</v>
      </c>
      <c r="AU322" t="str">
        <v>Ceiling Liner</v>
      </c>
      <c r="AV322" t="str">
        <v>BBQ Locker</v>
      </c>
      <c r="AW322" t="str">
        <v>Bunk Liners</v>
      </c>
      <c r="AX322" t="str">
        <v>Basin module</v>
      </c>
      <c r="AY322" t="str">
        <v>Shower bulkhead module</v>
      </c>
      <c r="AZ322" t="str">
        <v>Heads bulkhead module</v>
      </c>
    </row>
    <row r="323" spans="1:52" ht="15" customHeight="1" x14ac:dyDescent="0.25">
      <c r="A323" s="9"/>
      <c r="B323" s="101"/>
      <c r="C323" s="9"/>
      <c r="D323" s="73"/>
      <c r="E323" s="73"/>
      <c r="F323" s="84"/>
      <c r="G323" s="74"/>
      <c r="H323" s="74"/>
      <c r="I323" s="3"/>
      <c r="J323" s="3"/>
      <c r="K323" s="3"/>
      <c r="L323" s="3"/>
      <c r="M323" t="str" cm="1">
        <f t="array" ref="M323:AZ323">TRANSPOSE(_xlfn.UNIQUE(_xlfn._xlws.FILTER(Table4[Discipine Area],(Table4[Discipline No.]=C383)*(Table4[Discipline No.]=C383))))</f>
        <v>Exterior</v>
      </c>
      <c r="N323" t="str">
        <v>Fwd area</v>
      </c>
      <c r="O323" t="str">
        <v>Midship area</v>
      </c>
      <c r="P323" t="str">
        <v>Aft area</v>
      </c>
      <c r="Q323" t="str">
        <v>window surround</v>
      </c>
      <c r="R323" t="str">
        <v>Bows</v>
      </c>
      <c r="S323" t="str">
        <v>fwd deck steps</v>
      </c>
      <c r="T323" t="str">
        <v>Deck flange</v>
      </c>
      <c r="U323" t="str">
        <v>Waterchannel</v>
      </c>
      <c r="V323" t="str">
        <v>Helmstation</v>
      </c>
      <c r="W323" t="str">
        <v>window module</v>
      </c>
      <c r="X323" t="str">
        <v>deck Join</v>
      </c>
      <c r="Y323" t="str">
        <v>side deck step</v>
      </c>
      <c r="Z323" t="str">
        <v>Bimini</v>
      </c>
      <c r="AA323" t="str">
        <v>Helmstation steps</v>
      </c>
      <c r="AB323" t="str">
        <v>toe rail</v>
      </c>
      <c r="AC323" t="str">
        <v>Inboard liner</v>
      </c>
      <c r="AD323" t="str">
        <v>Settee</v>
      </c>
      <c r="AE323" t="str">
        <v>Transom</v>
      </c>
      <c r="AF323" t="str">
        <v>Floating step</v>
      </c>
      <c r="AG323" t="str">
        <v>Locker lids</v>
      </c>
      <c r="AH323" t="str">
        <v>Table</v>
      </c>
      <c r="AI323" t="str">
        <v>Ceiling</v>
      </c>
      <c r="AJ323" t="str">
        <v>Targawing</v>
      </c>
      <c r="AK323" t="str">
        <v>Eyebrow</v>
      </c>
      <c r="AL323" t="str">
        <v>Decklid</v>
      </c>
      <c r="AM323" t="str">
        <v>Skylight</v>
      </c>
      <c r="AN323" t="str">
        <v>Floor</v>
      </c>
      <c r="AO323" t="str">
        <v>Flybridge steps</v>
      </c>
      <c r="AP323" t="str">
        <v>INTERIOR</v>
      </c>
      <c r="AQ323" t="str">
        <v>Stowage space under floorboards</v>
      </c>
      <c r="AR323" t="str">
        <v>Door surround</v>
      </c>
      <c r="AS323" t="str">
        <v>Staircase</v>
      </c>
      <c r="AT323" t="str">
        <v>Plinth/Skirting</v>
      </c>
      <c r="AU323" t="str">
        <v>Ceiling Liner</v>
      </c>
      <c r="AV323" t="str">
        <v>BBQ Locker</v>
      </c>
      <c r="AW323" t="str">
        <v>Bunk Liners</v>
      </c>
      <c r="AX323" t="str">
        <v>Basin module</v>
      </c>
      <c r="AY323" t="str">
        <v>Shower bulkhead module</v>
      </c>
      <c r="AZ323" t="str">
        <v>Heads bulkhead module</v>
      </c>
    </row>
    <row r="324" spans="1:52" ht="15" customHeight="1" x14ac:dyDescent="0.25">
      <c r="A324" s="9"/>
      <c r="B324" s="99"/>
      <c r="C324" s="9"/>
      <c r="D324" s="73"/>
      <c r="E324" s="73"/>
      <c r="F324" s="84"/>
      <c r="G324" s="74"/>
      <c r="H324" s="74"/>
      <c r="I324" s="3"/>
      <c r="J324" s="3"/>
      <c r="K324" s="3"/>
      <c r="L324" s="3"/>
      <c r="M324" t="str" cm="1">
        <f t="array" ref="M324:AZ324">TRANSPOSE(_xlfn.UNIQUE(_xlfn._xlws.FILTER(Table4[Discipine Area],(Table4[Discipline No.]=C384)*(Table4[Discipline No.]=C384))))</f>
        <v>Exterior</v>
      </c>
      <c r="N324" t="str">
        <v>Fwd area</v>
      </c>
      <c r="O324" t="str">
        <v>Midship area</v>
      </c>
      <c r="P324" t="str">
        <v>Aft area</v>
      </c>
      <c r="Q324" t="str">
        <v>window surround</v>
      </c>
      <c r="R324" t="str">
        <v>Bows</v>
      </c>
      <c r="S324" t="str">
        <v>fwd deck steps</v>
      </c>
      <c r="T324" t="str">
        <v>Deck flange</v>
      </c>
      <c r="U324" t="str">
        <v>Waterchannel</v>
      </c>
      <c r="V324" t="str">
        <v>Helmstation</v>
      </c>
      <c r="W324" t="str">
        <v>window module</v>
      </c>
      <c r="X324" t="str">
        <v>deck Join</v>
      </c>
      <c r="Y324" t="str">
        <v>side deck step</v>
      </c>
      <c r="Z324" t="str">
        <v>Bimini</v>
      </c>
      <c r="AA324" t="str">
        <v>Helmstation steps</v>
      </c>
      <c r="AB324" t="str">
        <v>toe rail</v>
      </c>
      <c r="AC324" t="str">
        <v>Inboard liner</v>
      </c>
      <c r="AD324" t="str">
        <v>Settee</v>
      </c>
      <c r="AE324" t="str">
        <v>Transom</v>
      </c>
      <c r="AF324" t="str">
        <v>Floating step</v>
      </c>
      <c r="AG324" t="str">
        <v>Locker lids</v>
      </c>
      <c r="AH324" t="str">
        <v>Table</v>
      </c>
      <c r="AI324" t="str">
        <v>Ceiling</v>
      </c>
      <c r="AJ324" t="str">
        <v>Targawing</v>
      </c>
      <c r="AK324" t="str">
        <v>Eyebrow</v>
      </c>
      <c r="AL324" t="str">
        <v>Decklid</v>
      </c>
      <c r="AM324" t="str">
        <v>Skylight</v>
      </c>
      <c r="AN324" t="str">
        <v>Floor</v>
      </c>
      <c r="AO324" t="str">
        <v>Flybridge steps</v>
      </c>
      <c r="AP324" t="str">
        <v>INTERIOR</v>
      </c>
      <c r="AQ324" t="str">
        <v>Stowage space under floorboards</v>
      </c>
      <c r="AR324" t="str">
        <v>Door surround</v>
      </c>
      <c r="AS324" t="str">
        <v>Staircase</v>
      </c>
      <c r="AT324" t="str">
        <v>Plinth/Skirting</v>
      </c>
      <c r="AU324" t="str">
        <v>Ceiling Liner</v>
      </c>
      <c r="AV324" t="str">
        <v>BBQ Locker</v>
      </c>
      <c r="AW324" t="str">
        <v>Bunk Liners</v>
      </c>
      <c r="AX324" t="str">
        <v>Basin module</v>
      </c>
      <c r="AY324" t="str">
        <v>Shower bulkhead module</v>
      </c>
      <c r="AZ324" t="str">
        <v>Heads bulkhead module</v>
      </c>
    </row>
    <row r="325" spans="1:52" ht="15" customHeight="1" x14ac:dyDescent="0.25">
      <c r="A325" s="9"/>
      <c r="B325" s="99"/>
      <c r="C325" s="9"/>
      <c r="D325" s="73"/>
      <c r="E325" s="73"/>
      <c r="F325" s="84"/>
      <c r="G325" s="74"/>
      <c r="H325" s="74"/>
      <c r="I325" s="3"/>
      <c r="J325" s="3"/>
      <c r="K325" s="3"/>
      <c r="L325" s="3"/>
      <c r="M325" t="str" cm="1">
        <f t="array" ref="M325:AZ325">TRANSPOSE(_xlfn.UNIQUE(_xlfn._xlws.FILTER(Table4[Discipine Area],(Table4[Discipline No.]=C385)*(Table4[Discipline No.]=C385))))</f>
        <v>Exterior</v>
      </c>
      <c r="N325" t="str">
        <v>Fwd area</v>
      </c>
      <c r="O325" t="str">
        <v>Midship area</v>
      </c>
      <c r="P325" t="str">
        <v>Aft area</v>
      </c>
      <c r="Q325" t="str">
        <v>window surround</v>
      </c>
      <c r="R325" t="str">
        <v>Bows</v>
      </c>
      <c r="S325" t="str">
        <v>fwd deck steps</v>
      </c>
      <c r="T325" t="str">
        <v>Deck flange</v>
      </c>
      <c r="U325" t="str">
        <v>Waterchannel</v>
      </c>
      <c r="V325" t="str">
        <v>Helmstation</v>
      </c>
      <c r="W325" t="str">
        <v>window module</v>
      </c>
      <c r="X325" t="str">
        <v>deck Join</v>
      </c>
      <c r="Y325" t="str">
        <v>side deck step</v>
      </c>
      <c r="Z325" t="str">
        <v>Bimini</v>
      </c>
      <c r="AA325" t="str">
        <v>Helmstation steps</v>
      </c>
      <c r="AB325" t="str">
        <v>toe rail</v>
      </c>
      <c r="AC325" t="str">
        <v>Inboard liner</v>
      </c>
      <c r="AD325" t="str">
        <v>Settee</v>
      </c>
      <c r="AE325" t="str">
        <v>Transom</v>
      </c>
      <c r="AF325" t="str">
        <v>Floating step</v>
      </c>
      <c r="AG325" t="str">
        <v>Locker lids</v>
      </c>
      <c r="AH325" t="str">
        <v>Table</v>
      </c>
      <c r="AI325" t="str">
        <v>Ceiling</v>
      </c>
      <c r="AJ325" t="str">
        <v>Targawing</v>
      </c>
      <c r="AK325" t="str">
        <v>Eyebrow</v>
      </c>
      <c r="AL325" t="str">
        <v>Decklid</v>
      </c>
      <c r="AM325" t="str">
        <v>Skylight</v>
      </c>
      <c r="AN325" t="str">
        <v>Floor</v>
      </c>
      <c r="AO325" t="str">
        <v>Flybridge steps</v>
      </c>
      <c r="AP325" t="str">
        <v>INTERIOR</v>
      </c>
      <c r="AQ325" t="str">
        <v>Stowage space under floorboards</v>
      </c>
      <c r="AR325" t="str">
        <v>Door surround</v>
      </c>
      <c r="AS325" t="str">
        <v>Staircase</v>
      </c>
      <c r="AT325" t="str">
        <v>Plinth/Skirting</v>
      </c>
      <c r="AU325" t="str">
        <v>Ceiling Liner</v>
      </c>
      <c r="AV325" t="str">
        <v>BBQ Locker</v>
      </c>
      <c r="AW325" t="str">
        <v>Bunk Liners</v>
      </c>
      <c r="AX325" t="str">
        <v>Basin module</v>
      </c>
      <c r="AY325" t="str">
        <v>Shower bulkhead module</v>
      </c>
      <c r="AZ325" t="str">
        <v>Heads bulkhead module</v>
      </c>
    </row>
    <row r="326" spans="1:52" ht="15" customHeight="1" x14ac:dyDescent="0.25">
      <c r="A326" s="131" t="s">
        <v>411</v>
      </c>
      <c r="B326" s="132"/>
      <c r="C326" s="132"/>
      <c r="D326" s="132"/>
      <c r="E326" s="132"/>
      <c r="F326" s="133"/>
      <c r="G326" s="3" t="s">
        <v>412</v>
      </c>
      <c r="H326" s="141"/>
      <c r="I326" s="142"/>
      <c r="J326" s="134" t="s">
        <v>409</v>
      </c>
      <c r="K326" s="135"/>
      <c r="L326" s="136"/>
      <c r="M326" t="e" cm="1" vm="1">
        <f t="array" ref="M326">TRANSPOSE(_xlfn.UNIQUE(_xlfn._xlws.FILTER(Table4[Discipine Area],(Table4[Discipline No.]=C390)*(Table4[Discipline No.]=C390))))</f>
        <v>#VALUE!</v>
      </c>
    </row>
    <row r="327" spans="1:52" ht="15" customHeight="1" x14ac:dyDescent="0.25">
      <c r="A327" s="127" t="s">
        <v>0</v>
      </c>
      <c r="B327" s="127" t="s">
        <v>1</v>
      </c>
      <c r="C327" s="129" t="s">
        <v>2</v>
      </c>
      <c r="D327" s="129" t="s">
        <v>3</v>
      </c>
      <c r="E327" s="129" t="s">
        <v>4</v>
      </c>
      <c r="F327" s="129" t="s">
        <v>410</v>
      </c>
      <c r="G327" s="139" t="s">
        <v>216</v>
      </c>
      <c r="H327" s="139" t="s">
        <v>6</v>
      </c>
      <c r="I327" s="139" t="s">
        <v>7</v>
      </c>
      <c r="J327" s="137" t="s">
        <v>8</v>
      </c>
      <c r="K327" s="138" t="s">
        <v>9</v>
      </c>
      <c r="L327" s="138"/>
      <c r="M327" t="e" cm="1" vm="1">
        <f t="array" ref="M327">TRANSPOSE(_xlfn.UNIQUE(_xlfn._xlws.FILTER(Table4[Discipine Area],(Table4[Discipline No.]=C391)*(Table4[Discipline No.]=C391))))</f>
        <v>#VALUE!</v>
      </c>
    </row>
    <row r="328" spans="1:52" ht="15" customHeight="1" x14ac:dyDescent="0.25">
      <c r="A328" s="128"/>
      <c r="B328" s="128"/>
      <c r="C328" s="130"/>
      <c r="D328" s="130"/>
      <c r="E328" s="130"/>
      <c r="F328" s="130"/>
      <c r="G328" s="140"/>
      <c r="H328" s="140"/>
      <c r="I328" s="140"/>
      <c r="J328" s="137"/>
      <c r="K328" s="78" t="s">
        <v>10</v>
      </c>
      <c r="L328" s="78" t="s">
        <v>11</v>
      </c>
      <c r="M328" t="e" cm="1" vm="1">
        <f t="array" ref="M328">TRANSPOSE(_xlfn.UNIQUE(_xlfn._xlws.FILTER(Table4[Discipine Area],(Table4[Discipline No.]=C392)*(Table4[Discipline No.]=C392))))</f>
        <v>#VALUE!</v>
      </c>
    </row>
    <row r="329" spans="1:52" ht="15" customHeight="1" x14ac:dyDescent="0.25">
      <c r="A329" s="76"/>
      <c r="B329" s="112" t="s">
        <v>566</v>
      </c>
      <c r="C329" s="9"/>
      <c r="D329" s="73"/>
      <c r="E329" s="73"/>
      <c r="F329" s="73"/>
      <c r="G329" s="74"/>
      <c r="H329" s="3"/>
      <c r="I329" s="3"/>
      <c r="J329" s="3"/>
      <c r="K329" s="3"/>
      <c r="L329" s="3"/>
      <c r="M329" t="e" cm="1" vm="1">
        <f t="array" ref="M329">TRANSPOSE(_xlfn.UNIQUE(_xlfn._xlws.FILTER(Table4[Discipine Area],(Table4[Discipline No.]=C393)*(Table4[Discipline No.]=C393))))</f>
        <v>#VALUE!</v>
      </c>
    </row>
    <row r="330" spans="1:52" x14ac:dyDescent="0.25">
      <c r="A330" s="76"/>
      <c r="B330" s="103"/>
      <c r="C330" s="9"/>
      <c r="D330" s="73"/>
      <c r="E330" s="73"/>
      <c r="F330" s="73"/>
      <c r="G330" s="74"/>
      <c r="H330" s="3"/>
      <c r="I330" s="3"/>
      <c r="J330" s="3"/>
      <c r="K330" s="3"/>
      <c r="L330" s="3"/>
      <c r="M330" t="e" cm="1" vm="1">
        <f t="array" ref="M330">TRANSPOSE(_xlfn.UNIQUE(_xlfn._xlws.FILTER(Table4[Discipine Area],(Table4[Discipline No.]=C394)*(Table4[Discipline No.]=C394))))</f>
        <v>#VALUE!</v>
      </c>
    </row>
    <row r="331" spans="1:52" x14ac:dyDescent="0.25">
      <c r="A331" s="76"/>
      <c r="B331" s="103"/>
      <c r="C331" s="9"/>
      <c r="D331" s="73"/>
      <c r="E331" s="73"/>
      <c r="F331" s="73"/>
      <c r="G331" s="74"/>
      <c r="H331" s="3"/>
      <c r="I331" s="3"/>
      <c r="J331" s="3"/>
      <c r="K331" s="3"/>
      <c r="L331" s="3"/>
      <c r="M331" t="e" cm="1" vm="1">
        <f t="array" ref="M331">TRANSPOSE(_xlfn.UNIQUE(_xlfn._xlws.FILTER(Table4[Discipine Area],(Table4[Discipline No.]=C395)*(Table4[Discipline No.]=C395))))</f>
        <v>#VALUE!</v>
      </c>
    </row>
    <row r="332" spans="1:52" x14ac:dyDescent="0.25">
      <c r="A332" s="76"/>
      <c r="B332" s="104"/>
      <c r="C332" s="9"/>
      <c r="D332" s="73"/>
      <c r="E332" s="73"/>
      <c r="F332" s="73"/>
      <c r="G332" s="74"/>
      <c r="H332" s="3"/>
      <c r="I332" s="3"/>
      <c r="J332" s="3"/>
      <c r="K332" s="3"/>
      <c r="L332" s="3"/>
      <c r="M332" t="e" cm="1" vm="1">
        <f t="array" ref="M332">TRANSPOSE(_xlfn.UNIQUE(_xlfn._xlws.FILTER(Table4[Discipine Area],(Table4[Discipline No.]=C396)*(Table4[Discipline No.]=C396))))</f>
        <v>#VALUE!</v>
      </c>
    </row>
    <row r="333" spans="1:52" x14ac:dyDescent="0.25">
      <c r="A333" s="76"/>
      <c r="B333" s="102"/>
      <c r="C333" s="9">
        <v>3</v>
      </c>
      <c r="D333" s="73" t="s">
        <v>112</v>
      </c>
      <c r="E333" s="73" t="s">
        <v>301</v>
      </c>
      <c r="F333" s="73"/>
      <c r="G333" s="81" t="s">
        <v>567</v>
      </c>
      <c r="H333" s="3"/>
      <c r="I333" s="3"/>
      <c r="J333" s="3"/>
      <c r="K333" s="3"/>
      <c r="L333" s="3"/>
      <c r="M333" t="e" cm="1" vm="1">
        <f t="array" ref="M333">TRANSPOSE(_xlfn.UNIQUE(_xlfn._xlws.FILTER(Table4[Discipine Area],(Table4[Discipline No.]=C397)*(Table4[Discipline No.]=C397))))</f>
        <v>#VALUE!</v>
      </c>
    </row>
    <row r="334" spans="1:52" x14ac:dyDescent="0.25">
      <c r="A334" s="76"/>
      <c r="B334" s="102"/>
      <c r="C334" s="9">
        <v>9</v>
      </c>
      <c r="D334" s="73" t="s">
        <v>373</v>
      </c>
      <c r="E334" s="73" t="s">
        <v>298</v>
      </c>
      <c r="F334" s="73"/>
      <c r="G334" s="73" t="s">
        <v>502</v>
      </c>
      <c r="H334" s="3"/>
      <c r="I334" s="3"/>
      <c r="J334" s="3"/>
      <c r="K334" s="3"/>
      <c r="L334" s="3"/>
      <c r="M334" t="e" cm="1" vm="1">
        <f t="array" ref="M334">TRANSPOSE(_xlfn.UNIQUE(_xlfn._xlws.FILTER(Table4[Discipine Area],(Table4[Discipline No.]=C398)*(Table4[Discipline No.]=C398))))</f>
        <v>#VALUE!</v>
      </c>
    </row>
    <row r="335" spans="1:52" x14ac:dyDescent="0.25">
      <c r="A335" s="76"/>
      <c r="B335" s="104"/>
      <c r="C335" s="9">
        <v>3</v>
      </c>
      <c r="D335" s="73" t="s">
        <v>111</v>
      </c>
      <c r="E335" s="73" t="s">
        <v>299</v>
      </c>
      <c r="F335" s="73"/>
      <c r="G335" s="74" t="s">
        <v>568</v>
      </c>
      <c r="H335" s="3"/>
      <c r="I335" s="3"/>
      <c r="J335" s="3"/>
      <c r="K335" s="3"/>
      <c r="L335" s="3"/>
      <c r="M335" t="e" cm="1">
        <f t="array" ref="M335">TRANSPOSE(_xlfn.UNIQUE(_xlfn._xlws.FILTER(Table4[Discipine Area],(Table4[Discipline No.]=#REF!)*(Table4[Discipline No.]=#REF!))))</f>
        <v>#REF!</v>
      </c>
    </row>
    <row r="336" spans="1:52" x14ac:dyDescent="0.25">
      <c r="A336" s="76"/>
      <c r="B336" s="102"/>
      <c r="C336" s="9">
        <v>3</v>
      </c>
      <c r="D336" s="73" t="s">
        <v>404</v>
      </c>
      <c r="E336" s="73" t="s">
        <v>215</v>
      </c>
      <c r="F336" s="73"/>
      <c r="G336" s="74" t="s">
        <v>569</v>
      </c>
      <c r="H336" s="3"/>
      <c r="I336" s="3"/>
      <c r="J336" s="3"/>
      <c r="K336" s="3"/>
      <c r="L336" s="3"/>
      <c r="M336" t="e" cm="1">
        <f t="array" ref="M336">TRANSPOSE(_xlfn.UNIQUE(_xlfn._xlws.FILTER(Table4[Discipine Area],(Table4[Discipline No.]=#REF!)*(Table4[Discipline No.]=#REF!))))</f>
        <v>#REF!</v>
      </c>
    </row>
    <row r="337" spans="1:52" x14ac:dyDescent="0.25">
      <c r="A337" s="76"/>
      <c r="B337" s="102"/>
      <c r="C337" s="9">
        <v>3</v>
      </c>
      <c r="D337" s="73" t="s">
        <v>117</v>
      </c>
      <c r="E337" s="73" t="s">
        <v>299</v>
      </c>
      <c r="F337" s="73"/>
      <c r="G337" s="74" t="s">
        <v>570</v>
      </c>
      <c r="H337" s="3"/>
      <c r="I337" s="3"/>
      <c r="J337" s="3"/>
      <c r="K337" s="3"/>
      <c r="L337" s="3"/>
      <c r="M337" t="e" cm="1">
        <f t="array" ref="M337">TRANSPOSE(_xlfn.UNIQUE(_xlfn._xlws.FILTER(Table4[Discipine Area],(Table4[Discipline No.]=#REF!)*(Table4[Discipline No.]=#REF!))))</f>
        <v>#REF!</v>
      </c>
    </row>
    <row r="338" spans="1:52" x14ac:dyDescent="0.25">
      <c r="A338" s="76"/>
      <c r="B338" s="102"/>
      <c r="C338" s="9">
        <v>5</v>
      </c>
      <c r="D338" s="73" t="s">
        <v>139</v>
      </c>
      <c r="E338" s="73" t="s">
        <v>299</v>
      </c>
      <c r="F338" s="73"/>
      <c r="G338" s="74" t="s">
        <v>571</v>
      </c>
      <c r="H338" s="3"/>
      <c r="I338" s="3"/>
      <c r="J338" s="3"/>
      <c r="K338" s="3"/>
      <c r="L338" s="3"/>
      <c r="M338" t="e" cm="1">
        <f t="array" ref="M338">TRANSPOSE(_xlfn.UNIQUE(_xlfn._xlws.FILTER(Table4[Discipine Area],(Table4[Discipline No.]=#REF!)*(Table4[Discipline No.]=#REF!))))</f>
        <v>#REF!</v>
      </c>
    </row>
    <row r="339" spans="1:52" ht="30" x14ac:dyDescent="0.25">
      <c r="A339" s="76"/>
      <c r="B339" s="102"/>
      <c r="C339" s="9">
        <v>3</v>
      </c>
      <c r="D339" s="73" t="s">
        <v>109</v>
      </c>
      <c r="E339" s="73" t="s">
        <v>298</v>
      </c>
      <c r="F339" s="73"/>
      <c r="G339" s="74" t="s">
        <v>572</v>
      </c>
      <c r="H339" s="3"/>
      <c r="I339" s="3"/>
      <c r="J339" s="3"/>
      <c r="K339" s="3"/>
      <c r="L339" s="3"/>
      <c r="M339" t="e" cm="1">
        <f t="array" ref="M339">TRANSPOSE(_xlfn.UNIQUE(_xlfn._xlws.FILTER(Table4[Discipine Area],(Table4[Discipline No.]=#REF!)*(Table4[Discipline No.]=#REF!))))</f>
        <v>#REF!</v>
      </c>
    </row>
    <row r="340" spans="1:52" x14ac:dyDescent="0.25">
      <c r="A340" s="76"/>
      <c r="B340" s="102"/>
      <c r="C340" s="9">
        <v>1</v>
      </c>
      <c r="D340" s="73" t="s">
        <v>262</v>
      </c>
      <c r="E340" s="73" t="s">
        <v>474</v>
      </c>
      <c r="F340" s="73"/>
      <c r="G340" s="74" t="s">
        <v>573</v>
      </c>
      <c r="H340" s="3"/>
      <c r="I340" s="3"/>
      <c r="J340" s="3"/>
      <c r="K340" s="3"/>
      <c r="L340" s="3"/>
      <c r="M340" t="e" cm="1">
        <f t="array" ref="M340">TRANSPOSE(_xlfn.UNIQUE(_xlfn._xlws.FILTER(Table4[Discipine Area],(Table4[Discipline No.]=#REF!)*(Table4[Discipline No.]=#REF!))))</f>
        <v>#REF!</v>
      </c>
    </row>
    <row r="341" spans="1:52" ht="15" customHeight="1" x14ac:dyDescent="0.25">
      <c r="A341" s="76"/>
      <c r="B341" s="97"/>
      <c r="C341" s="76"/>
      <c r="D341" s="3"/>
      <c r="E341" s="3"/>
      <c r="F341" s="73"/>
      <c r="G341" s="75"/>
      <c r="H341" s="3"/>
      <c r="I341" s="3"/>
      <c r="J341" s="3"/>
      <c r="K341" s="3"/>
      <c r="L341" s="3"/>
    </row>
    <row r="342" spans="1:52" ht="15" customHeight="1" x14ac:dyDescent="0.25">
      <c r="A342" s="76"/>
      <c r="B342" s="97"/>
      <c r="C342" s="76"/>
      <c r="D342" s="3"/>
      <c r="E342" s="3"/>
      <c r="F342" s="73"/>
      <c r="G342" s="75"/>
      <c r="H342" s="3"/>
      <c r="I342" s="3"/>
      <c r="J342" s="3"/>
      <c r="K342" s="3"/>
      <c r="L342" s="3"/>
      <c r="M342" t="e" cm="1">
        <f t="array" ref="M342">TRANSPOSE(_xlfn.UNIQUE(_xlfn._xlws.FILTER(Table4[Discipine Area],(Table4[Discipline No.]=#REF!)*(Table4[Discipline No.]=#REF!))))</f>
        <v>#REF!</v>
      </c>
    </row>
    <row r="343" spans="1:52" ht="15" customHeight="1" x14ac:dyDescent="0.25">
      <c r="A343" s="76"/>
      <c r="B343" s="97"/>
      <c r="C343" s="76"/>
      <c r="D343" s="3"/>
      <c r="E343" s="3"/>
      <c r="F343" s="73"/>
      <c r="G343" s="75"/>
      <c r="H343" s="3"/>
      <c r="I343" s="3"/>
      <c r="J343" s="3"/>
      <c r="K343" s="3"/>
      <c r="L343" s="3"/>
      <c r="M343" t="e" cm="1" vm="1">
        <f t="array" ref="M343">TRANSPOSE(_xlfn.UNIQUE(_xlfn._xlws.FILTER(Table4[Discipine Area],(Table4[Discipline No.]=C399)*(Table4[Discipline No.]=C399))))</f>
        <v>#VALUE!</v>
      </c>
    </row>
    <row r="344" spans="1:52" ht="15" customHeight="1" x14ac:dyDescent="0.25">
      <c r="A344" s="76"/>
      <c r="B344" s="97"/>
      <c r="C344" s="76"/>
      <c r="D344" s="3"/>
      <c r="E344" s="3"/>
      <c r="F344" s="73"/>
      <c r="G344" s="75"/>
      <c r="H344" s="3"/>
      <c r="I344" s="3"/>
      <c r="J344" s="3"/>
      <c r="K344" s="3"/>
      <c r="L344" s="3"/>
      <c r="M344" t="e" cm="1" vm="1">
        <f t="array" ref="M344">TRANSPOSE(_xlfn.UNIQUE(_xlfn._xlws.FILTER(Table4[Discipine Area],(Table4[Discipline No.]=C400)*(Table4[Discipline No.]=C400))))</f>
        <v>#VALUE!</v>
      </c>
    </row>
    <row r="345" spans="1:52" ht="15" customHeight="1" x14ac:dyDescent="0.25">
      <c r="A345" s="76"/>
      <c r="B345" s="97"/>
      <c r="C345" s="76"/>
      <c r="D345" s="3"/>
      <c r="E345" s="3"/>
      <c r="F345" s="73"/>
      <c r="G345" s="75"/>
      <c r="H345" s="3"/>
      <c r="I345" s="3"/>
      <c r="J345" s="3"/>
      <c r="K345" s="3"/>
      <c r="L345" s="3"/>
      <c r="M345" t="e" cm="1" vm="1">
        <f t="array" ref="M345">TRANSPOSE(_xlfn.UNIQUE(_xlfn._xlws.FILTER(Table4[Discipine Area],(Table4[Discipline No.]=C401)*(Table4[Discipline No.]=C401))))</f>
        <v>#VALUE!</v>
      </c>
    </row>
    <row r="346" spans="1:52" ht="15" customHeight="1" x14ac:dyDescent="0.25">
      <c r="A346" s="76"/>
      <c r="B346" s="97"/>
      <c r="C346" s="76"/>
      <c r="D346" s="3"/>
      <c r="E346" s="3"/>
      <c r="F346" s="73"/>
      <c r="G346" s="75"/>
      <c r="H346" s="3"/>
      <c r="I346" s="3"/>
      <c r="J346" s="3"/>
      <c r="K346" s="3"/>
      <c r="L346" s="3"/>
      <c r="M346" t="e" cm="1" vm="1">
        <f t="array" ref="M346">TRANSPOSE(_xlfn.UNIQUE(_xlfn._xlws.FILTER(Table4[Discipine Area],(Table4[Discipline No.]=C402)*(Table4[Discipline No.]=C402))))</f>
        <v>#VALUE!</v>
      </c>
    </row>
    <row r="347" spans="1:52" ht="15" customHeight="1" x14ac:dyDescent="0.25">
      <c r="A347" s="76"/>
      <c r="B347" s="97"/>
      <c r="C347" s="76"/>
      <c r="D347" s="3"/>
      <c r="E347" s="3"/>
      <c r="F347" s="73"/>
      <c r="G347" s="75"/>
      <c r="H347" s="3"/>
      <c r="I347" s="3"/>
      <c r="J347" s="3"/>
      <c r="K347" s="3"/>
      <c r="L347" s="3"/>
      <c r="M347" t="e" cm="1" vm="1">
        <f t="array" ref="M347">TRANSPOSE(_xlfn.UNIQUE(_xlfn._xlws.FILTER(Table4[Discipine Area],(Table4[Discipline No.]=C403)*(Table4[Discipline No.]=C403))))</f>
        <v>#VALUE!</v>
      </c>
    </row>
    <row r="348" spans="1:52" ht="15" customHeight="1" x14ac:dyDescent="0.25">
      <c r="A348" s="76"/>
      <c r="B348" s="97"/>
      <c r="C348" s="76"/>
      <c r="D348" s="3"/>
      <c r="E348" s="3"/>
      <c r="F348" s="73"/>
      <c r="G348" s="75"/>
      <c r="H348" s="3"/>
      <c r="I348" s="3"/>
      <c r="J348" s="3"/>
      <c r="K348" s="3"/>
      <c r="L348" s="3"/>
      <c r="M348" t="e" cm="1" vm="1">
        <f t="array" ref="M348">TRANSPOSE(_xlfn.UNIQUE(_xlfn._xlws.FILTER(Table4[Discipine Area],(Table4[Discipline No.]=C404)*(Table4[Discipline No.]=C404))))</f>
        <v>#VALUE!</v>
      </c>
    </row>
    <row r="349" spans="1:52" ht="15" customHeight="1" x14ac:dyDescent="0.25">
      <c r="A349" s="76"/>
      <c r="B349" s="97"/>
      <c r="C349" s="76"/>
      <c r="D349" s="3"/>
      <c r="E349" s="3"/>
      <c r="F349" s="73"/>
      <c r="G349" s="75"/>
      <c r="H349" s="3"/>
      <c r="I349" s="3"/>
      <c r="J349" s="3"/>
      <c r="K349" s="3"/>
      <c r="L349" s="3"/>
      <c r="M349" t="e" cm="1" vm="1">
        <f t="array" ref="M349">TRANSPOSE(_xlfn.UNIQUE(_xlfn._xlws.FILTER(Table4[Discipine Area],(Table4[Discipline No.]=C405)*(Table4[Discipline No.]=C405))))</f>
        <v>#VALUE!</v>
      </c>
    </row>
    <row r="350" spans="1:52" ht="15" customHeight="1" x14ac:dyDescent="0.25">
      <c r="A350" s="76"/>
      <c r="B350" s="97"/>
      <c r="C350" s="76"/>
      <c r="D350" s="3"/>
      <c r="E350" s="3"/>
      <c r="F350" s="73"/>
      <c r="G350" s="75"/>
      <c r="H350" s="3"/>
      <c r="I350" s="3"/>
      <c r="J350" s="3"/>
      <c r="K350" s="3"/>
      <c r="L350" s="3"/>
      <c r="M350" t="str" cm="1">
        <f t="array" ref="M350:AZ350">TRANSPOSE(_xlfn.UNIQUE(_xlfn._xlws.FILTER(Table4[Discipine Area],(Table4[Discipline No.]=C406)*(Table4[Discipline No.]=C406))))</f>
        <v>Exterior</v>
      </c>
      <c r="N350" t="str">
        <v>Fwd area</v>
      </c>
      <c r="O350" t="str">
        <v>Midship area</v>
      </c>
      <c r="P350" t="str">
        <v>Aft area</v>
      </c>
      <c r="Q350" t="str">
        <v>window surround</v>
      </c>
      <c r="R350" t="str">
        <v>Bows</v>
      </c>
      <c r="S350" t="str">
        <v>fwd deck steps</v>
      </c>
      <c r="T350" t="str">
        <v>Deck flange</v>
      </c>
      <c r="U350" t="str">
        <v>Waterchannel</v>
      </c>
      <c r="V350" t="str">
        <v>Helmstation</v>
      </c>
      <c r="W350" t="str">
        <v>window module</v>
      </c>
      <c r="X350" t="str">
        <v>deck Join</v>
      </c>
      <c r="Y350" t="str">
        <v>side deck step</v>
      </c>
      <c r="Z350" t="str">
        <v>Bimini</v>
      </c>
      <c r="AA350" t="str">
        <v>Helmstation steps</v>
      </c>
      <c r="AB350" t="str">
        <v>toe rail</v>
      </c>
      <c r="AC350" t="str">
        <v>Inboard liner</v>
      </c>
      <c r="AD350" t="str">
        <v>Settee</v>
      </c>
      <c r="AE350" t="str">
        <v>Transom</v>
      </c>
      <c r="AF350" t="str">
        <v>Floating step</v>
      </c>
      <c r="AG350" t="str">
        <v>Locker lids</v>
      </c>
      <c r="AH350" t="str">
        <v>Table</v>
      </c>
      <c r="AI350" t="str">
        <v>Ceiling</v>
      </c>
      <c r="AJ350" t="str">
        <v>Targawing</v>
      </c>
      <c r="AK350" t="str">
        <v>Eyebrow</v>
      </c>
      <c r="AL350" t="str">
        <v>Decklid</v>
      </c>
      <c r="AM350" t="str">
        <v>Skylight</v>
      </c>
      <c r="AN350" t="str">
        <v>Floor</v>
      </c>
      <c r="AO350" t="str">
        <v>Flybridge steps</v>
      </c>
      <c r="AP350" t="str">
        <v>INTERIOR</v>
      </c>
      <c r="AQ350" t="str">
        <v>Stowage space under floorboards</v>
      </c>
      <c r="AR350" t="str">
        <v>Door surround</v>
      </c>
      <c r="AS350" t="str">
        <v>Staircase</v>
      </c>
      <c r="AT350" t="str">
        <v>Plinth/Skirting</v>
      </c>
      <c r="AU350" t="str">
        <v>Ceiling Liner</v>
      </c>
      <c r="AV350" t="str">
        <v>BBQ Locker</v>
      </c>
      <c r="AW350" t="str">
        <v>Bunk Liners</v>
      </c>
      <c r="AX350" t="str">
        <v>Basin module</v>
      </c>
      <c r="AY350" t="str">
        <v>Shower bulkhead module</v>
      </c>
      <c r="AZ350" t="str">
        <v>Heads bulkhead module</v>
      </c>
    </row>
    <row r="351" spans="1:52" ht="15" customHeight="1" x14ac:dyDescent="0.25">
      <c r="A351" s="76"/>
      <c r="B351" s="97"/>
      <c r="C351" s="76"/>
      <c r="D351" s="3"/>
      <c r="E351" s="3"/>
      <c r="F351" s="73"/>
      <c r="G351" s="75"/>
      <c r="H351" s="3"/>
      <c r="I351" s="3"/>
      <c r="J351" s="3"/>
      <c r="K351" s="3"/>
      <c r="L351" s="3"/>
      <c r="M351" t="str" cm="1">
        <f t="array" ref="M351:AZ351">TRANSPOSE(_xlfn.UNIQUE(_xlfn._xlws.FILTER(Table4[Discipine Area],(Table4[Discipline No.]=C407)*(Table4[Discipline No.]=C407))))</f>
        <v>Exterior</v>
      </c>
      <c r="N351" t="str">
        <v>Fwd area</v>
      </c>
      <c r="O351" t="str">
        <v>Midship area</v>
      </c>
      <c r="P351" t="str">
        <v>Aft area</v>
      </c>
      <c r="Q351" t="str">
        <v>window surround</v>
      </c>
      <c r="R351" t="str">
        <v>Bows</v>
      </c>
      <c r="S351" t="str">
        <v>fwd deck steps</v>
      </c>
      <c r="T351" t="str">
        <v>Deck flange</v>
      </c>
      <c r="U351" t="str">
        <v>Waterchannel</v>
      </c>
      <c r="V351" t="str">
        <v>Helmstation</v>
      </c>
      <c r="W351" t="str">
        <v>window module</v>
      </c>
      <c r="X351" t="str">
        <v>deck Join</v>
      </c>
      <c r="Y351" t="str">
        <v>side deck step</v>
      </c>
      <c r="Z351" t="str">
        <v>Bimini</v>
      </c>
      <c r="AA351" t="str">
        <v>Helmstation steps</v>
      </c>
      <c r="AB351" t="str">
        <v>toe rail</v>
      </c>
      <c r="AC351" t="str">
        <v>Inboard liner</v>
      </c>
      <c r="AD351" t="str">
        <v>Settee</v>
      </c>
      <c r="AE351" t="str">
        <v>Transom</v>
      </c>
      <c r="AF351" t="str">
        <v>Floating step</v>
      </c>
      <c r="AG351" t="str">
        <v>Locker lids</v>
      </c>
      <c r="AH351" t="str">
        <v>Table</v>
      </c>
      <c r="AI351" t="str">
        <v>Ceiling</v>
      </c>
      <c r="AJ351" t="str">
        <v>Targawing</v>
      </c>
      <c r="AK351" t="str">
        <v>Eyebrow</v>
      </c>
      <c r="AL351" t="str">
        <v>Decklid</v>
      </c>
      <c r="AM351" t="str">
        <v>Skylight</v>
      </c>
      <c r="AN351" t="str">
        <v>Floor</v>
      </c>
      <c r="AO351" t="str">
        <v>Flybridge steps</v>
      </c>
      <c r="AP351" t="str">
        <v>INTERIOR</v>
      </c>
      <c r="AQ351" t="str">
        <v>Stowage space under floorboards</v>
      </c>
      <c r="AR351" t="str">
        <v>Door surround</v>
      </c>
      <c r="AS351" t="str">
        <v>Staircase</v>
      </c>
      <c r="AT351" t="str">
        <v>Plinth/Skirting</v>
      </c>
      <c r="AU351" t="str">
        <v>Ceiling Liner</v>
      </c>
      <c r="AV351" t="str">
        <v>BBQ Locker</v>
      </c>
      <c r="AW351" t="str">
        <v>Bunk Liners</v>
      </c>
      <c r="AX351" t="str">
        <v>Basin module</v>
      </c>
      <c r="AY351" t="str">
        <v>Shower bulkhead module</v>
      </c>
      <c r="AZ351" t="str">
        <v>Heads bulkhead module</v>
      </c>
    </row>
    <row r="352" spans="1:52" ht="15" customHeight="1" x14ac:dyDescent="0.25">
      <c r="A352" s="76"/>
      <c r="B352" s="97"/>
      <c r="C352" s="76"/>
      <c r="D352" s="3"/>
      <c r="E352" s="3"/>
      <c r="F352" s="73"/>
      <c r="G352" s="75"/>
      <c r="H352" s="3"/>
      <c r="I352" s="3"/>
      <c r="J352" s="3"/>
      <c r="K352" s="3"/>
      <c r="L352" s="3"/>
      <c r="M352" t="str" cm="1">
        <f t="array" ref="M352:AZ352">TRANSPOSE(_xlfn.UNIQUE(_xlfn._xlws.FILTER(Table4[Discipine Area],(Table4[Discipline No.]=C408)*(Table4[Discipline No.]=C408))))</f>
        <v>Exterior</v>
      </c>
      <c r="N352" t="str">
        <v>Fwd area</v>
      </c>
      <c r="O352" t="str">
        <v>Midship area</v>
      </c>
      <c r="P352" t="str">
        <v>Aft area</v>
      </c>
      <c r="Q352" t="str">
        <v>window surround</v>
      </c>
      <c r="R352" t="str">
        <v>Bows</v>
      </c>
      <c r="S352" t="str">
        <v>fwd deck steps</v>
      </c>
      <c r="T352" t="str">
        <v>Deck flange</v>
      </c>
      <c r="U352" t="str">
        <v>Waterchannel</v>
      </c>
      <c r="V352" t="str">
        <v>Helmstation</v>
      </c>
      <c r="W352" t="str">
        <v>window module</v>
      </c>
      <c r="X352" t="str">
        <v>deck Join</v>
      </c>
      <c r="Y352" t="str">
        <v>side deck step</v>
      </c>
      <c r="Z352" t="str">
        <v>Bimini</v>
      </c>
      <c r="AA352" t="str">
        <v>Helmstation steps</v>
      </c>
      <c r="AB352" t="str">
        <v>toe rail</v>
      </c>
      <c r="AC352" t="str">
        <v>Inboard liner</v>
      </c>
      <c r="AD352" t="str">
        <v>Settee</v>
      </c>
      <c r="AE352" t="str">
        <v>Transom</v>
      </c>
      <c r="AF352" t="str">
        <v>Floating step</v>
      </c>
      <c r="AG352" t="str">
        <v>Locker lids</v>
      </c>
      <c r="AH352" t="str">
        <v>Table</v>
      </c>
      <c r="AI352" t="str">
        <v>Ceiling</v>
      </c>
      <c r="AJ352" t="str">
        <v>Targawing</v>
      </c>
      <c r="AK352" t="str">
        <v>Eyebrow</v>
      </c>
      <c r="AL352" t="str">
        <v>Decklid</v>
      </c>
      <c r="AM352" t="str">
        <v>Skylight</v>
      </c>
      <c r="AN352" t="str">
        <v>Floor</v>
      </c>
      <c r="AO352" t="str">
        <v>Flybridge steps</v>
      </c>
      <c r="AP352" t="str">
        <v>INTERIOR</v>
      </c>
      <c r="AQ352" t="str">
        <v>Stowage space under floorboards</v>
      </c>
      <c r="AR352" t="str">
        <v>Door surround</v>
      </c>
      <c r="AS352" t="str">
        <v>Staircase</v>
      </c>
      <c r="AT352" t="str">
        <v>Plinth/Skirting</v>
      </c>
      <c r="AU352" t="str">
        <v>Ceiling Liner</v>
      </c>
      <c r="AV352" t="str">
        <v>BBQ Locker</v>
      </c>
      <c r="AW352" t="str">
        <v>Bunk Liners</v>
      </c>
      <c r="AX352" t="str">
        <v>Basin module</v>
      </c>
      <c r="AY352" t="str">
        <v>Shower bulkhead module</v>
      </c>
      <c r="AZ352" t="str">
        <v>Heads bulkhead module</v>
      </c>
    </row>
    <row r="353" spans="1:52" ht="15" customHeight="1" x14ac:dyDescent="0.25">
      <c r="A353" s="76"/>
      <c r="B353" s="97"/>
      <c r="C353" s="76"/>
      <c r="D353" s="3"/>
      <c r="E353" s="3"/>
      <c r="F353" s="73"/>
      <c r="G353" s="75"/>
      <c r="H353" s="3"/>
      <c r="I353" s="3"/>
      <c r="J353" s="3"/>
      <c r="K353" s="3"/>
      <c r="L353" s="3"/>
      <c r="M353" t="str" cm="1">
        <f t="array" ref="M353:AZ353">TRANSPOSE(_xlfn.UNIQUE(_xlfn._xlws.FILTER(Table4[Discipine Area],(Table4[Discipline No.]=C409)*(Table4[Discipline No.]=C409))))</f>
        <v>Exterior</v>
      </c>
      <c r="N353" t="str">
        <v>Fwd area</v>
      </c>
      <c r="O353" t="str">
        <v>Midship area</v>
      </c>
      <c r="P353" t="str">
        <v>Aft area</v>
      </c>
      <c r="Q353" t="str">
        <v>window surround</v>
      </c>
      <c r="R353" t="str">
        <v>Bows</v>
      </c>
      <c r="S353" t="str">
        <v>fwd deck steps</v>
      </c>
      <c r="T353" t="str">
        <v>Deck flange</v>
      </c>
      <c r="U353" t="str">
        <v>Waterchannel</v>
      </c>
      <c r="V353" t="str">
        <v>Helmstation</v>
      </c>
      <c r="W353" t="str">
        <v>window module</v>
      </c>
      <c r="X353" t="str">
        <v>deck Join</v>
      </c>
      <c r="Y353" t="str">
        <v>side deck step</v>
      </c>
      <c r="Z353" t="str">
        <v>Bimini</v>
      </c>
      <c r="AA353" t="str">
        <v>Helmstation steps</v>
      </c>
      <c r="AB353" t="str">
        <v>toe rail</v>
      </c>
      <c r="AC353" t="str">
        <v>Inboard liner</v>
      </c>
      <c r="AD353" t="str">
        <v>Settee</v>
      </c>
      <c r="AE353" t="str">
        <v>Transom</v>
      </c>
      <c r="AF353" t="str">
        <v>Floating step</v>
      </c>
      <c r="AG353" t="str">
        <v>Locker lids</v>
      </c>
      <c r="AH353" t="str">
        <v>Table</v>
      </c>
      <c r="AI353" t="str">
        <v>Ceiling</v>
      </c>
      <c r="AJ353" t="str">
        <v>Targawing</v>
      </c>
      <c r="AK353" t="str">
        <v>Eyebrow</v>
      </c>
      <c r="AL353" t="str">
        <v>Decklid</v>
      </c>
      <c r="AM353" t="str">
        <v>Skylight</v>
      </c>
      <c r="AN353" t="str">
        <v>Floor</v>
      </c>
      <c r="AO353" t="str">
        <v>Flybridge steps</v>
      </c>
      <c r="AP353" t="str">
        <v>INTERIOR</v>
      </c>
      <c r="AQ353" t="str">
        <v>Stowage space under floorboards</v>
      </c>
      <c r="AR353" t="str">
        <v>Door surround</v>
      </c>
      <c r="AS353" t="str">
        <v>Staircase</v>
      </c>
      <c r="AT353" t="str">
        <v>Plinth/Skirting</v>
      </c>
      <c r="AU353" t="str">
        <v>Ceiling Liner</v>
      </c>
      <c r="AV353" t="str">
        <v>BBQ Locker</v>
      </c>
      <c r="AW353" t="str">
        <v>Bunk Liners</v>
      </c>
      <c r="AX353" t="str">
        <v>Basin module</v>
      </c>
      <c r="AY353" t="str">
        <v>Shower bulkhead module</v>
      </c>
      <c r="AZ353" t="str">
        <v>Heads bulkhead module</v>
      </c>
    </row>
    <row r="354" spans="1:52" ht="15" customHeight="1" x14ac:dyDescent="0.25">
      <c r="A354" s="76"/>
      <c r="B354" s="97"/>
      <c r="C354" s="76"/>
      <c r="D354" s="3"/>
      <c r="E354" s="3"/>
      <c r="F354" s="73"/>
      <c r="G354" s="75"/>
      <c r="H354" s="3"/>
      <c r="I354" s="3"/>
      <c r="J354" s="3"/>
      <c r="K354" s="3"/>
      <c r="L354" s="3"/>
      <c r="M354" t="str" cm="1">
        <f t="array" ref="M354:AZ354">TRANSPOSE(_xlfn.UNIQUE(_xlfn._xlws.FILTER(Table4[Discipine Area],(Table4[Discipline No.]=C410)*(Table4[Discipline No.]=C410))))</f>
        <v>Exterior</v>
      </c>
      <c r="N354" t="str">
        <v>Fwd area</v>
      </c>
      <c r="O354" t="str">
        <v>Midship area</v>
      </c>
      <c r="P354" t="str">
        <v>Aft area</v>
      </c>
      <c r="Q354" t="str">
        <v>window surround</v>
      </c>
      <c r="R354" t="str">
        <v>Bows</v>
      </c>
      <c r="S354" t="str">
        <v>fwd deck steps</v>
      </c>
      <c r="T354" t="str">
        <v>Deck flange</v>
      </c>
      <c r="U354" t="str">
        <v>Waterchannel</v>
      </c>
      <c r="V354" t="str">
        <v>Helmstation</v>
      </c>
      <c r="W354" t="str">
        <v>window module</v>
      </c>
      <c r="X354" t="str">
        <v>deck Join</v>
      </c>
      <c r="Y354" t="str">
        <v>side deck step</v>
      </c>
      <c r="Z354" t="str">
        <v>Bimini</v>
      </c>
      <c r="AA354" t="str">
        <v>Helmstation steps</v>
      </c>
      <c r="AB354" t="str">
        <v>toe rail</v>
      </c>
      <c r="AC354" t="str">
        <v>Inboard liner</v>
      </c>
      <c r="AD354" t="str">
        <v>Settee</v>
      </c>
      <c r="AE354" t="str">
        <v>Transom</v>
      </c>
      <c r="AF354" t="str">
        <v>Floating step</v>
      </c>
      <c r="AG354" t="str">
        <v>Locker lids</v>
      </c>
      <c r="AH354" t="str">
        <v>Table</v>
      </c>
      <c r="AI354" t="str">
        <v>Ceiling</v>
      </c>
      <c r="AJ354" t="str">
        <v>Targawing</v>
      </c>
      <c r="AK354" t="str">
        <v>Eyebrow</v>
      </c>
      <c r="AL354" t="str">
        <v>Decklid</v>
      </c>
      <c r="AM354" t="str">
        <v>Skylight</v>
      </c>
      <c r="AN354" t="str">
        <v>Floor</v>
      </c>
      <c r="AO354" t="str">
        <v>Flybridge steps</v>
      </c>
      <c r="AP354" t="str">
        <v>INTERIOR</v>
      </c>
      <c r="AQ354" t="str">
        <v>Stowage space under floorboards</v>
      </c>
      <c r="AR354" t="str">
        <v>Door surround</v>
      </c>
      <c r="AS354" t="str">
        <v>Staircase</v>
      </c>
      <c r="AT354" t="str">
        <v>Plinth/Skirting</v>
      </c>
      <c r="AU354" t="str">
        <v>Ceiling Liner</v>
      </c>
      <c r="AV354" t="str">
        <v>BBQ Locker</v>
      </c>
      <c r="AW354" t="str">
        <v>Bunk Liners</v>
      </c>
      <c r="AX354" t="str">
        <v>Basin module</v>
      </c>
      <c r="AY354" t="str">
        <v>Shower bulkhead module</v>
      </c>
      <c r="AZ354" t="str">
        <v>Heads bulkhead module</v>
      </c>
    </row>
    <row r="355" spans="1:52" ht="15" customHeight="1" x14ac:dyDescent="0.25">
      <c r="A355" s="76"/>
      <c r="B355" s="97"/>
      <c r="C355" s="76"/>
      <c r="D355" s="3"/>
      <c r="E355" s="3"/>
      <c r="F355" s="73"/>
      <c r="G355" s="75"/>
      <c r="H355" s="3"/>
      <c r="I355" s="3"/>
      <c r="J355" s="3"/>
      <c r="K355" s="3"/>
      <c r="L355" s="3"/>
      <c r="M355" t="str" cm="1">
        <f t="array" ref="M355:AZ355">TRANSPOSE(_xlfn.UNIQUE(_xlfn._xlws.FILTER(Table4[Discipine Area],(Table4[Discipline No.]=C411)*(Table4[Discipline No.]=C411))))</f>
        <v>Exterior</v>
      </c>
      <c r="N355" t="str">
        <v>Fwd area</v>
      </c>
      <c r="O355" t="str">
        <v>Midship area</v>
      </c>
      <c r="P355" t="str">
        <v>Aft area</v>
      </c>
      <c r="Q355" t="str">
        <v>window surround</v>
      </c>
      <c r="R355" t="str">
        <v>Bows</v>
      </c>
      <c r="S355" t="str">
        <v>fwd deck steps</v>
      </c>
      <c r="T355" t="str">
        <v>Deck flange</v>
      </c>
      <c r="U355" t="str">
        <v>Waterchannel</v>
      </c>
      <c r="V355" t="str">
        <v>Helmstation</v>
      </c>
      <c r="W355" t="str">
        <v>window module</v>
      </c>
      <c r="X355" t="str">
        <v>deck Join</v>
      </c>
      <c r="Y355" t="str">
        <v>side deck step</v>
      </c>
      <c r="Z355" t="str">
        <v>Bimini</v>
      </c>
      <c r="AA355" t="str">
        <v>Helmstation steps</v>
      </c>
      <c r="AB355" t="str">
        <v>toe rail</v>
      </c>
      <c r="AC355" t="str">
        <v>Inboard liner</v>
      </c>
      <c r="AD355" t="str">
        <v>Settee</v>
      </c>
      <c r="AE355" t="str">
        <v>Transom</v>
      </c>
      <c r="AF355" t="str">
        <v>Floating step</v>
      </c>
      <c r="AG355" t="str">
        <v>Locker lids</v>
      </c>
      <c r="AH355" t="str">
        <v>Table</v>
      </c>
      <c r="AI355" t="str">
        <v>Ceiling</v>
      </c>
      <c r="AJ355" t="str">
        <v>Targawing</v>
      </c>
      <c r="AK355" t="str">
        <v>Eyebrow</v>
      </c>
      <c r="AL355" t="str">
        <v>Decklid</v>
      </c>
      <c r="AM355" t="str">
        <v>Skylight</v>
      </c>
      <c r="AN355" t="str">
        <v>Floor</v>
      </c>
      <c r="AO355" t="str">
        <v>Flybridge steps</v>
      </c>
      <c r="AP355" t="str">
        <v>INTERIOR</v>
      </c>
      <c r="AQ355" t="str">
        <v>Stowage space under floorboards</v>
      </c>
      <c r="AR355" t="str">
        <v>Door surround</v>
      </c>
      <c r="AS355" t="str">
        <v>Staircase</v>
      </c>
      <c r="AT355" t="str">
        <v>Plinth/Skirting</v>
      </c>
      <c r="AU355" t="str">
        <v>Ceiling Liner</v>
      </c>
      <c r="AV355" t="str">
        <v>BBQ Locker</v>
      </c>
      <c r="AW355" t="str">
        <v>Bunk Liners</v>
      </c>
      <c r="AX355" t="str">
        <v>Basin module</v>
      </c>
      <c r="AY355" t="str">
        <v>Shower bulkhead module</v>
      </c>
      <c r="AZ355" t="str">
        <v>Heads bulkhead module</v>
      </c>
    </row>
    <row r="356" spans="1:52" ht="15" customHeight="1" x14ac:dyDescent="0.25">
      <c r="A356" s="76"/>
      <c r="B356" s="97"/>
      <c r="C356" s="76"/>
      <c r="D356" s="3"/>
      <c r="E356" s="3"/>
      <c r="F356" s="73"/>
      <c r="G356" s="75"/>
      <c r="H356" s="3"/>
      <c r="I356" s="3"/>
      <c r="J356" s="3"/>
      <c r="K356" s="3"/>
      <c r="L356" s="3"/>
      <c r="M356" t="str" cm="1">
        <f t="array" ref="M356:AZ356">TRANSPOSE(_xlfn.UNIQUE(_xlfn._xlws.FILTER(Table4[Discipine Area],(Table4[Discipline No.]=C413)*(Table4[Discipline No.]=C413))))</f>
        <v>Exterior</v>
      </c>
      <c r="N356" t="str">
        <v>Fwd area</v>
      </c>
      <c r="O356" t="str">
        <v>Midship area</v>
      </c>
      <c r="P356" t="str">
        <v>Aft area</v>
      </c>
      <c r="Q356" t="str">
        <v>window surround</v>
      </c>
      <c r="R356" t="str">
        <v>Bows</v>
      </c>
      <c r="S356" t="str">
        <v>fwd deck steps</v>
      </c>
      <c r="T356" t="str">
        <v>Deck flange</v>
      </c>
      <c r="U356" t="str">
        <v>Waterchannel</v>
      </c>
      <c r="V356" t="str">
        <v>Helmstation</v>
      </c>
      <c r="W356" t="str">
        <v>window module</v>
      </c>
      <c r="X356" t="str">
        <v>deck Join</v>
      </c>
      <c r="Y356" t="str">
        <v>side deck step</v>
      </c>
      <c r="Z356" t="str">
        <v>Bimini</v>
      </c>
      <c r="AA356" t="str">
        <v>Helmstation steps</v>
      </c>
      <c r="AB356" t="str">
        <v>toe rail</v>
      </c>
      <c r="AC356" t="str">
        <v>Inboard liner</v>
      </c>
      <c r="AD356" t="str">
        <v>Settee</v>
      </c>
      <c r="AE356" t="str">
        <v>Transom</v>
      </c>
      <c r="AF356" t="str">
        <v>Floating step</v>
      </c>
      <c r="AG356" t="str">
        <v>Locker lids</v>
      </c>
      <c r="AH356" t="str">
        <v>Table</v>
      </c>
      <c r="AI356" t="str">
        <v>Ceiling</v>
      </c>
      <c r="AJ356" t="str">
        <v>Targawing</v>
      </c>
      <c r="AK356" t="str">
        <v>Eyebrow</v>
      </c>
      <c r="AL356" t="str">
        <v>Decklid</v>
      </c>
      <c r="AM356" t="str">
        <v>Skylight</v>
      </c>
      <c r="AN356" t="str">
        <v>Floor</v>
      </c>
      <c r="AO356" t="str">
        <v>Flybridge steps</v>
      </c>
      <c r="AP356" t="str">
        <v>INTERIOR</v>
      </c>
      <c r="AQ356" t="str">
        <v>Stowage space under floorboards</v>
      </c>
      <c r="AR356" t="str">
        <v>Door surround</v>
      </c>
      <c r="AS356" t="str">
        <v>Staircase</v>
      </c>
      <c r="AT356" t="str">
        <v>Plinth/Skirting</v>
      </c>
      <c r="AU356" t="str">
        <v>Ceiling Liner</v>
      </c>
      <c r="AV356" t="str">
        <v>BBQ Locker</v>
      </c>
      <c r="AW356" t="str">
        <v>Bunk Liners</v>
      </c>
      <c r="AX356" t="str">
        <v>Basin module</v>
      </c>
      <c r="AY356" t="str">
        <v>Shower bulkhead module</v>
      </c>
      <c r="AZ356" t="str">
        <v>Heads bulkhead module</v>
      </c>
    </row>
    <row r="357" spans="1:52" ht="15" customHeight="1" x14ac:dyDescent="0.25">
      <c r="A357" s="76"/>
      <c r="B357" s="97"/>
      <c r="C357" s="76"/>
      <c r="D357" s="3"/>
      <c r="E357" s="3"/>
      <c r="F357" s="73"/>
      <c r="G357" s="75"/>
      <c r="H357" s="3"/>
      <c r="I357" s="3"/>
      <c r="J357" s="3"/>
      <c r="K357" s="3"/>
      <c r="L357" s="3"/>
      <c r="M357" t="str" cm="1">
        <f t="array" ref="M357:AZ357">TRANSPOSE(_xlfn.UNIQUE(_xlfn._xlws.FILTER(Table4[Discipine Area],(Table4[Discipline No.]=C414)*(Table4[Discipline No.]=C414))))</f>
        <v>Exterior</v>
      </c>
      <c r="N357" t="str">
        <v>Fwd area</v>
      </c>
      <c r="O357" t="str">
        <v>Midship area</v>
      </c>
      <c r="P357" t="str">
        <v>Aft area</v>
      </c>
      <c r="Q357" t="str">
        <v>window surround</v>
      </c>
      <c r="R357" t="str">
        <v>Bows</v>
      </c>
      <c r="S357" t="str">
        <v>fwd deck steps</v>
      </c>
      <c r="T357" t="str">
        <v>Deck flange</v>
      </c>
      <c r="U357" t="str">
        <v>Waterchannel</v>
      </c>
      <c r="V357" t="str">
        <v>Helmstation</v>
      </c>
      <c r="W357" t="str">
        <v>window module</v>
      </c>
      <c r="X357" t="str">
        <v>deck Join</v>
      </c>
      <c r="Y357" t="str">
        <v>side deck step</v>
      </c>
      <c r="Z357" t="str">
        <v>Bimini</v>
      </c>
      <c r="AA357" t="str">
        <v>Helmstation steps</v>
      </c>
      <c r="AB357" t="str">
        <v>toe rail</v>
      </c>
      <c r="AC357" t="str">
        <v>Inboard liner</v>
      </c>
      <c r="AD357" t="str">
        <v>Settee</v>
      </c>
      <c r="AE357" t="str">
        <v>Transom</v>
      </c>
      <c r="AF357" t="str">
        <v>Floating step</v>
      </c>
      <c r="AG357" t="str">
        <v>Locker lids</v>
      </c>
      <c r="AH357" t="str">
        <v>Table</v>
      </c>
      <c r="AI357" t="str">
        <v>Ceiling</v>
      </c>
      <c r="AJ357" t="str">
        <v>Targawing</v>
      </c>
      <c r="AK357" t="str">
        <v>Eyebrow</v>
      </c>
      <c r="AL357" t="str">
        <v>Decklid</v>
      </c>
      <c r="AM357" t="str">
        <v>Skylight</v>
      </c>
      <c r="AN357" t="str">
        <v>Floor</v>
      </c>
      <c r="AO357" t="str">
        <v>Flybridge steps</v>
      </c>
      <c r="AP357" t="str">
        <v>INTERIOR</v>
      </c>
      <c r="AQ357" t="str">
        <v>Stowage space under floorboards</v>
      </c>
      <c r="AR357" t="str">
        <v>Door surround</v>
      </c>
      <c r="AS357" t="str">
        <v>Staircase</v>
      </c>
      <c r="AT357" t="str">
        <v>Plinth/Skirting</v>
      </c>
      <c r="AU357" t="str">
        <v>Ceiling Liner</v>
      </c>
      <c r="AV357" t="str">
        <v>BBQ Locker</v>
      </c>
      <c r="AW357" t="str">
        <v>Bunk Liners</v>
      </c>
      <c r="AX357" t="str">
        <v>Basin module</v>
      </c>
      <c r="AY357" t="str">
        <v>Shower bulkhead module</v>
      </c>
      <c r="AZ357" t="str">
        <v>Heads bulkhead module</v>
      </c>
    </row>
    <row r="358" spans="1:52" ht="15" customHeight="1" x14ac:dyDescent="0.25">
      <c r="A358" s="76"/>
      <c r="B358" s="97"/>
      <c r="C358" s="76"/>
      <c r="D358" s="3"/>
      <c r="E358" s="3"/>
      <c r="F358" s="73"/>
      <c r="G358" s="75"/>
      <c r="H358" s="3"/>
      <c r="I358" s="3"/>
      <c r="J358" s="3"/>
      <c r="K358" s="3"/>
      <c r="L358" s="3"/>
      <c r="M358" t="str" cm="1">
        <f t="array" ref="M358:AZ358">TRANSPOSE(_xlfn.UNIQUE(_xlfn._xlws.FILTER(Table4[Discipine Area],(Table4[Discipline No.]=C415)*(Table4[Discipline No.]=C415))))</f>
        <v>Exterior</v>
      </c>
      <c r="N358" t="str">
        <v>Fwd area</v>
      </c>
      <c r="O358" t="str">
        <v>Midship area</v>
      </c>
      <c r="P358" t="str">
        <v>Aft area</v>
      </c>
      <c r="Q358" t="str">
        <v>window surround</v>
      </c>
      <c r="R358" t="str">
        <v>Bows</v>
      </c>
      <c r="S358" t="str">
        <v>fwd deck steps</v>
      </c>
      <c r="T358" t="str">
        <v>Deck flange</v>
      </c>
      <c r="U358" t="str">
        <v>Waterchannel</v>
      </c>
      <c r="V358" t="str">
        <v>Helmstation</v>
      </c>
      <c r="W358" t="str">
        <v>window module</v>
      </c>
      <c r="X358" t="str">
        <v>deck Join</v>
      </c>
      <c r="Y358" t="str">
        <v>side deck step</v>
      </c>
      <c r="Z358" t="str">
        <v>Bimini</v>
      </c>
      <c r="AA358" t="str">
        <v>Helmstation steps</v>
      </c>
      <c r="AB358" t="str">
        <v>toe rail</v>
      </c>
      <c r="AC358" t="str">
        <v>Inboard liner</v>
      </c>
      <c r="AD358" t="str">
        <v>Settee</v>
      </c>
      <c r="AE358" t="str">
        <v>Transom</v>
      </c>
      <c r="AF358" t="str">
        <v>Floating step</v>
      </c>
      <c r="AG358" t="str">
        <v>Locker lids</v>
      </c>
      <c r="AH358" t="str">
        <v>Table</v>
      </c>
      <c r="AI358" t="str">
        <v>Ceiling</v>
      </c>
      <c r="AJ358" t="str">
        <v>Targawing</v>
      </c>
      <c r="AK358" t="str">
        <v>Eyebrow</v>
      </c>
      <c r="AL358" t="str">
        <v>Decklid</v>
      </c>
      <c r="AM358" t="str">
        <v>Skylight</v>
      </c>
      <c r="AN358" t="str">
        <v>Floor</v>
      </c>
      <c r="AO358" t="str">
        <v>Flybridge steps</v>
      </c>
      <c r="AP358" t="str">
        <v>INTERIOR</v>
      </c>
      <c r="AQ358" t="str">
        <v>Stowage space under floorboards</v>
      </c>
      <c r="AR358" t="str">
        <v>Door surround</v>
      </c>
      <c r="AS358" t="str">
        <v>Staircase</v>
      </c>
      <c r="AT358" t="str">
        <v>Plinth/Skirting</v>
      </c>
      <c r="AU358" t="str">
        <v>Ceiling Liner</v>
      </c>
      <c r="AV358" t="str">
        <v>BBQ Locker</v>
      </c>
      <c r="AW358" t="str">
        <v>Bunk Liners</v>
      </c>
      <c r="AX358" t="str">
        <v>Basin module</v>
      </c>
      <c r="AY358" t="str">
        <v>Shower bulkhead module</v>
      </c>
      <c r="AZ358" t="str">
        <v>Heads bulkhead module</v>
      </c>
    </row>
    <row r="359" spans="1:52" ht="15" customHeight="1" x14ac:dyDescent="0.25">
      <c r="A359" s="76"/>
      <c r="B359" s="97"/>
      <c r="C359" s="76"/>
      <c r="D359" s="3"/>
      <c r="E359" s="3"/>
      <c r="F359" s="73"/>
      <c r="G359" s="75"/>
      <c r="H359" s="3"/>
      <c r="I359" s="3"/>
      <c r="J359" s="3"/>
      <c r="K359" s="3"/>
      <c r="L359" s="3"/>
      <c r="M359" t="str" cm="1">
        <f t="array" ref="M359:AZ359">TRANSPOSE(_xlfn.UNIQUE(_xlfn._xlws.FILTER(Table4[Discipine Area],(Table4[Discipline No.]=C416)*(Table4[Discipline No.]=C416))))</f>
        <v>Exterior</v>
      </c>
      <c r="N359" t="str">
        <v>Fwd area</v>
      </c>
      <c r="O359" t="str">
        <v>Midship area</v>
      </c>
      <c r="P359" t="str">
        <v>Aft area</v>
      </c>
      <c r="Q359" t="str">
        <v>window surround</v>
      </c>
      <c r="R359" t="str">
        <v>Bows</v>
      </c>
      <c r="S359" t="str">
        <v>fwd deck steps</v>
      </c>
      <c r="T359" t="str">
        <v>Deck flange</v>
      </c>
      <c r="U359" t="str">
        <v>Waterchannel</v>
      </c>
      <c r="V359" t="str">
        <v>Helmstation</v>
      </c>
      <c r="W359" t="str">
        <v>window module</v>
      </c>
      <c r="X359" t="str">
        <v>deck Join</v>
      </c>
      <c r="Y359" t="str">
        <v>side deck step</v>
      </c>
      <c r="Z359" t="str">
        <v>Bimini</v>
      </c>
      <c r="AA359" t="str">
        <v>Helmstation steps</v>
      </c>
      <c r="AB359" t="str">
        <v>toe rail</v>
      </c>
      <c r="AC359" t="str">
        <v>Inboard liner</v>
      </c>
      <c r="AD359" t="str">
        <v>Settee</v>
      </c>
      <c r="AE359" t="str">
        <v>Transom</v>
      </c>
      <c r="AF359" t="str">
        <v>Floating step</v>
      </c>
      <c r="AG359" t="str">
        <v>Locker lids</v>
      </c>
      <c r="AH359" t="str">
        <v>Table</v>
      </c>
      <c r="AI359" t="str">
        <v>Ceiling</v>
      </c>
      <c r="AJ359" t="str">
        <v>Targawing</v>
      </c>
      <c r="AK359" t="str">
        <v>Eyebrow</v>
      </c>
      <c r="AL359" t="str">
        <v>Decklid</v>
      </c>
      <c r="AM359" t="str">
        <v>Skylight</v>
      </c>
      <c r="AN359" t="str">
        <v>Floor</v>
      </c>
      <c r="AO359" t="str">
        <v>Flybridge steps</v>
      </c>
      <c r="AP359" t="str">
        <v>INTERIOR</v>
      </c>
      <c r="AQ359" t="str">
        <v>Stowage space under floorboards</v>
      </c>
      <c r="AR359" t="str">
        <v>Door surround</v>
      </c>
      <c r="AS359" t="str">
        <v>Staircase</v>
      </c>
      <c r="AT359" t="str">
        <v>Plinth/Skirting</v>
      </c>
      <c r="AU359" t="str">
        <v>Ceiling Liner</v>
      </c>
      <c r="AV359" t="str">
        <v>BBQ Locker</v>
      </c>
      <c r="AW359" t="str">
        <v>Bunk Liners</v>
      </c>
      <c r="AX359" t="str">
        <v>Basin module</v>
      </c>
      <c r="AY359" t="str">
        <v>Shower bulkhead module</v>
      </c>
      <c r="AZ359" t="str">
        <v>Heads bulkhead module</v>
      </c>
    </row>
    <row r="360" spans="1:52" ht="15" customHeight="1" x14ac:dyDescent="0.25">
      <c r="A360" s="76"/>
      <c r="B360" s="97"/>
      <c r="C360" s="76"/>
      <c r="D360" s="3"/>
      <c r="E360" s="3"/>
      <c r="F360" s="73"/>
      <c r="G360" s="75"/>
      <c r="H360" s="3"/>
      <c r="I360" s="3"/>
      <c r="J360" s="3"/>
      <c r="K360" s="3"/>
      <c r="L360" s="3"/>
      <c r="M360" t="str" cm="1">
        <f t="array" ref="M360:R360">TRANSPOSE(_xlfn.UNIQUE(_xlfn._xlws.FILTER(Table4[Discipine Area],(Table4[Discipline No.]=C417)*(Table4[Discipline No.]=C417))))</f>
        <v>PERSPEX</v>
      </c>
      <c r="N360" t="str">
        <v>Doors</v>
      </c>
      <c r="O360" t="str">
        <v>corian</v>
      </c>
      <c r="P360" t="str">
        <v>Dividers</v>
      </c>
      <c r="Q360" t="str">
        <v>Portlight</v>
      </c>
      <c r="R360" t="str">
        <v>Windows</v>
      </c>
    </row>
    <row r="361" spans="1:52" ht="15" customHeight="1" x14ac:dyDescent="0.25">
      <c r="A361" s="76"/>
      <c r="B361" s="97"/>
      <c r="C361" s="76"/>
      <c r="D361" s="3"/>
      <c r="E361" s="3"/>
      <c r="F361" s="73"/>
      <c r="G361" s="75"/>
      <c r="H361" s="3"/>
      <c r="I361" s="3"/>
      <c r="J361" s="3"/>
      <c r="K361" s="3"/>
      <c r="L361" s="3"/>
      <c r="M361" t="e" cm="1" vm="1">
        <f t="array" ref="M361">TRANSPOSE(_xlfn.UNIQUE(_xlfn._xlws.FILTER(Table4[Discipine Area],(Table4[Discipline No.]=C418)*(Table4[Discipline No.]=C418))))</f>
        <v>#VALUE!</v>
      </c>
    </row>
    <row r="362" spans="1:52" ht="15.75" customHeight="1" x14ac:dyDescent="0.25">
      <c r="A362" s="76"/>
      <c r="B362" s="97"/>
      <c r="C362" s="76"/>
      <c r="D362" s="3"/>
      <c r="E362" s="3"/>
      <c r="F362" s="73"/>
      <c r="G362" s="75"/>
      <c r="H362" s="73"/>
      <c r="I362" s="3"/>
      <c r="J362" s="3"/>
      <c r="K362" s="3"/>
      <c r="L362" s="3"/>
      <c r="M362" t="e" cm="1" vm="1">
        <f t="array" ref="M362">TRANSPOSE(_xlfn.UNIQUE(_xlfn._xlws.FILTER(Table4[Discipine Area],(Table4[Discipline No.]=C419)*(Table4[Discipline No.]=C419))))</f>
        <v>#VALUE!</v>
      </c>
    </row>
    <row r="363" spans="1:52" ht="15.75" customHeight="1" x14ac:dyDescent="0.25">
      <c r="A363" s="76"/>
      <c r="B363" s="97"/>
      <c r="C363" s="76"/>
      <c r="D363" s="3"/>
      <c r="E363" s="3"/>
      <c r="F363" s="73"/>
      <c r="G363" s="75"/>
      <c r="H363" s="73"/>
      <c r="I363" s="3"/>
      <c r="J363" s="3"/>
      <c r="K363" s="3"/>
      <c r="L363" s="3"/>
      <c r="M363" t="e" cm="1" vm="1">
        <f t="array" ref="M363">TRANSPOSE(_xlfn.UNIQUE(_xlfn._xlws.FILTER(Table4[Discipine Area],(Table4[Discipline No.]=C420)*(Table4[Discipline No.]=C420))))</f>
        <v>#VALUE!</v>
      </c>
    </row>
    <row r="364" spans="1:52" ht="15.75" customHeight="1" x14ac:dyDescent="0.25">
      <c r="A364" s="76"/>
      <c r="B364" s="97"/>
      <c r="C364" s="76"/>
      <c r="D364" s="3"/>
      <c r="E364" s="3"/>
      <c r="F364" s="73"/>
      <c r="G364" s="75"/>
      <c r="H364" s="3"/>
      <c r="I364" s="3"/>
      <c r="J364" s="3"/>
      <c r="K364" s="3"/>
      <c r="L364" s="3"/>
      <c r="M364" t="e" cm="1" vm="1">
        <f t="array" ref="M364">TRANSPOSE(_xlfn.UNIQUE(_xlfn._xlws.FILTER(Table4[Discipine Area],(Table4[Discipline No.]=C421)*(Table4[Discipline No.]=C421))))</f>
        <v>#VALUE!</v>
      </c>
    </row>
    <row r="365" spans="1:52" ht="15.75" customHeight="1" x14ac:dyDescent="0.25">
      <c r="A365" s="76"/>
      <c r="B365" s="97"/>
      <c r="C365" s="76"/>
      <c r="D365" s="3"/>
      <c r="E365" s="3"/>
      <c r="F365" s="73"/>
      <c r="G365" s="75"/>
      <c r="H365" s="3"/>
      <c r="I365" s="3"/>
      <c r="J365" s="3"/>
      <c r="K365" s="3"/>
      <c r="L365" s="3"/>
      <c r="M365" t="e" cm="1" vm="1">
        <f t="array" ref="M365">TRANSPOSE(_xlfn.UNIQUE(_xlfn._xlws.FILTER(Table4[Discipine Area],(Table4[Discipline No.]=C422)*(Table4[Discipline No.]=C422))))</f>
        <v>#VALUE!</v>
      </c>
    </row>
    <row r="366" spans="1:52" ht="15" customHeight="1" x14ac:dyDescent="0.25">
      <c r="A366" s="131" t="s">
        <v>411</v>
      </c>
      <c r="B366" s="132"/>
      <c r="C366" s="132"/>
      <c r="D366" s="132"/>
      <c r="E366" s="132"/>
      <c r="F366" s="133"/>
      <c r="G366" s="3" t="s">
        <v>412</v>
      </c>
      <c r="H366" s="141"/>
      <c r="I366" s="142"/>
      <c r="J366" s="134" t="s">
        <v>409</v>
      </c>
      <c r="K366" s="135"/>
      <c r="L366" s="136"/>
      <c r="M366" t="e" cm="1" vm="1">
        <f t="array" ref="M366">TRANSPOSE(_xlfn.UNIQUE(_xlfn._xlws.FILTER(Table4[Discipine Area],(Table4[Discipline No.]=C423)*(Table4[Discipline No.]=C423))))</f>
        <v>#VALUE!</v>
      </c>
    </row>
    <row r="367" spans="1:52" ht="15" customHeight="1" x14ac:dyDescent="0.25">
      <c r="A367" s="127" t="s">
        <v>0</v>
      </c>
      <c r="B367" s="127" t="s">
        <v>1</v>
      </c>
      <c r="C367" s="129" t="s">
        <v>2</v>
      </c>
      <c r="D367" s="129" t="s">
        <v>3</v>
      </c>
      <c r="E367" s="129" t="s">
        <v>4</v>
      </c>
      <c r="F367" s="129" t="s">
        <v>410</v>
      </c>
      <c r="G367" s="139" t="s">
        <v>216</v>
      </c>
      <c r="H367" s="139" t="s">
        <v>6</v>
      </c>
      <c r="I367" s="139" t="s">
        <v>7</v>
      </c>
      <c r="J367" s="137" t="s">
        <v>8</v>
      </c>
      <c r="K367" s="138" t="s">
        <v>9</v>
      </c>
      <c r="L367" s="138"/>
      <c r="M367" t="e" cm="1" vm="1">
        <f t="array" ref="M367">TRANSPOSE(_xlfn.UNIQUE(_xlfn._xlws.FILTER(Table4[Discipine Area],(Table4[Discipline No.]=C424)*(Table4[Discipline No.]=C424))))</f>
        <v>#VALUE!</v>
      </c>
    </row>
    <row r="368" spans="1:52" ht="15" customHeight="1" x14ac:dyDescent="0.25">
      <c r="A368" s="128"/>
      <c r="B368" s="128"/>
      <c r="C368" s="130"/>
      <c r="D368" s="130"/>
      <c r="E368" s="130"/>
      <c r="F368" s="130"/>
      <c r="G368" s="140"/>
      <c r="H368" s="140"/>
      <c r="I368" s="140"/>
      <c r="J368" s="137"/>
      <c r="K368" s="78" t="s">
        <v>10</v>
      </c>
      <c r="L368" s="78" t="s">
        <v>11</v>
      </c>
      <c r="M368" t="e" cm="1" vm="1">
        <f t="array" ref="M368">TRANSPOSE(_xlfn.UNIQUE(_xlfn._xlws.FILTER(Table4[Discipine Area],(Table4[Discipline No.]=C425)*(Table4[Discipline No.]=C425))))</f>
        <v>#VALUE!</v>
      </c>
    </row>
    <row r="369" spans="1:13" ht="15" customHeight="1" x14ac:dyDescent="0.25">
      <c r="A369" s="9"/>
      <c r="B369" s="114" t="s">
        <v>574</v>
      </c>
      <c r="C369" s="9"/>
      <c r="D369" s="73"/>
      <c r="E369" s="73"/>
      <c r="F369" s="73"/>
      <c r="G369" s="74"/>
      <c r="H369" s="74"/>
      <c r="I369" s="73"/>
      <c r="J369" s="3"/>
      <c r="K369" s="3"/>
      <c r="L369" s="3"/>
      <c r="M369" t="e" cm="1" vm="1">
        <f t="array" ref="M369">TRANSPOSE(_xlfn.UNIQUE(_xlfn._xlws.FILTER(Table4[Discipine Area],(Table4[Discipline No.]=C426)*(Table4[Discipline No.]=C426))))</f>
        <v>#VALUE!</v>
      </c>
    </row>
    <row r="370" spans="1:13" x14ac:dyDescent="0.25">
      <c r="A370" s="9"/>
      <c r="B370" s="118"/>
      <c r="C370" s="9"/>
      <c r="D370" s="73"/>
      <c r="E370" s="73"/>
      <c r="F370" s="73"/>
      <c r="G370" s="74"/>
      <c r="H370" s="74"/>
      <c r="I370" s="73"/>
      <c r="J370" s="3"/>
      <c r="K370" s="3"/>
      <c r="L370" s="3"/>
      <c r="M370" t="e" cm="1" vm="1">
        <f t="array" ref="M370">TRANSPOSE(_xlfn.UNIQUE(_xlfn._xlws.FILTER(Table4[Discipine Area],(Table4[Discipline No.]=C427)*(Table4[Discipline No.]=C427))))</f>
        <v>#VALUE!</v>
      </c>
    </row>
    <row r="371" spans="1:13" x14ac:dyDescent="0.25">
      <c r="A371" s="9"/>
      <c r="B371" s="117"/>
      <c r="C371" s="9"/>
      <c r="D371" s="73"/>
      <c r="E371" s="73"/>
      <c r="F371" s="73"/>
      <c r="G371" s="74"/>
      <c r="H371" s="74"/>
      <c r="I371" s="73"/>
      <c r="J371" s="3"/>
      <c r="K371" s="3"/>
      <c r="L371" s="3"/>
      <c r="M371" t="e" cm="1" vm="1">
        <f t="array" ref="M371">TRANSPOSE(_xlfn.UNIQUE(_xlfn._xlws.FILTER(Table4[Discipine Area],(Table4[Discipline No.]=C428)*(Table4[Discipline No.]=C428))))</f>
        <v>#VALUE!</v>
      </c>
    </row>
    <row r="372" spans="1:13" x14ac:dyDescent="0.25">
      <c r="A372" s="9"/>
      <c r="B372" s="115"/>
      <c r="C372" s="9"/>
      <c r="D372" s="73"/>
      <c r="E372" s="73"/>
      <c r="F372" s="73"/>
      <c r="G372" s="74"/>
      <c r="H372" s="74"/>
      <c r="I372" s="73"/>
      <c r="J372" s="3"/>
      <c r="K372" s="3"/>
      <c r="L372" s="3"/>
      <c r="M372" t="e" cm="1" vm="1">
        <f t="array" ref="M372">TRANSPOSE(_xlfn.UNIQUE(_xlfn._xlws.FILTER(Table4[Discipine Area],(Table4[Discipline No.]=C429)*(Table4[Discipline No.]=C429))))</f>
        <v>#VALUE!</v>
      </c>
    </row>
    <row r="373" spans="1:13" x14ac:dyDescent="0.25">
      <c r="A373" s="9"/>
      <c r="B373" s="117"/>
      <c r="C373" s="9">
        <v>1</v>
      </c>
      <c r="D373" s="73" t="s">
        <v>42</v>
      </c>
      <c r="E373" s="73" t="s">
        <v>298</v>
      </c>
      <c r="F373" s="73"/>
      <c r="G373" s="74" t="s">
        <v>579</v>
      </c>
      <c r="H373" s="74"/>
      <c r="I373" s="73"/>
      <c r="J373" s="3"/>
      <c r="K373" s="3"/>
      <c r="L373" s="3"/>
      <c r="M373" t="e" cm="1" vm="1">
        <f t="array" ref="M373">TRANSPOSE(_xlfn.UNIQUE(_xlfn._xlws.FILTER(Table4[Discipine Area],(Table4[Discipline No.]=C430)*(Table4[Discipline No.]=C430))))</f>
        <v>#VALUE!</v>
      </c>
    </row>
    <row r="374" spans="1:13" x14ac:dyDescent="0.25">
      <c r="A374" s="9"/>
      <c r="B374" s="117"/>
      <c r="C374" s="9">
        <v>1</v>
      </c>
      <c r="D374" s="73" t="s">
        <v>42</v>
      </c>
      <c r="E374" s="73" t="s">
        <v>575</v>
      </c>
      <c r="F374" s="73"/>
      <c r="G374" s="74" t="s">
        <v>580</v>
      </c>
      <c r="H374" s="74"/>
      <c r="I374" s="73"/>
      <c r="J374" s="3"/>
      <c r="K374" s="3"/>
      <c r="L374" s="3"/>
      <c r="M374" t="e" cm="1" vm="1">
        <f t="array" ref="M374">TRANSPOSE(_xlfn.UNIQUE(_xlfn._xlws.FILTER(Table4[Discipine Area],(Table4[Discipline No.]=C431)*(Table4[Discipline No.]=C431))))</f>
        <v>#VALUE!</v>
      </c>
    </row>
    <row r="375" spans="1:13" ht="30" x14ac:dyDescent="0.25">
      <c r="A375" s="9"/>
      <c r="B375" s="117"/>
      <c r="C375" s="9">
        <v>1</v>
      </c>
      <c r="D375" s="73" t="s">
        <v>15</v>
      </c>
      <c r="E375" s="73" t="s">
        <v>576</v>
      </c>
      <c r="F375" s="73"/>
      <c r="G375" s="74" t="s">
        <v>581</v>
      </c>
      <c r="H375" s="74"/>
      <c r="I375" s="73"/>
      <c r="J375" s="3"/>
      <c r="K375" s="3"/>
      <c r="L375" s="3"/>
      <c r="M375" t="e" cm="1" vm="1">
        <f t="array" ref="M375">TRANSPOSE(_xlfn.UNIQUE(_xlfn._xlws.FILTER(Table4[Discipine Area],(Table4[Discipline No.]=C432)*(Table4[Discipline No.]=C432))))</f>
        <v>#VALUE!</v>
      </c>
    </row>
    <row r="376" spans="1:13" x14ac:dyDescent="0.25">
      <c r="A376" s="9"/>
      <c r="B376" s="117"/>
      <c r="C376" s="9">
        <v>1</v>
      </c>
      <c r="D376" s="73" t="s">
        <v>26</v>
      </c>
      <c r="E376" s="73" t="s">
        <v>576</v>
      </c>
      <c r="F376" s="73"/>
      <c r="G376" s="74" t="s">
        <v>582</v>
      </c>
      <c r="H376" s="74"/>
      <c r="I376" s="73"/>
      <c r="J376" s="3"/>
      <c r="K376" s="3"/>
      <c r="L376" s="3"/>
      <c r="M376" t="e" cm="1" vm="1">
        <f t="array" ref="M376">TRANSPOSE(_xlfn.UNIQUE(_xlfn._xlws.FILTER(Table4[Discipine Area],(Table4[Discipline No.]=C433)*(Table4[Discipline No.]=C433))))</f>
        <v>#VALUE!</v>
      </c>
    </row>
    <row r="377" spans="1:13" x14ac:dyDescent="0.25">
      <c r="A377" s="9"/>
      <c r="B377" s="118"/>
      <c r="C377" s="9">
        <v>1</v>
      </c>
      <c r="D377" s="73" t="s">
        <v>23</v>
      </c>
      <c r="E377" s="73" t="s">
        <v>577</v>
      </c>
      <c r="F377" s="73"/>
      <c r="G377" s="74" t="s">
        <v>583</v>
      </c>
      <c r="H377" s="73"/>
      <c r="I377" s="3"/>
      <c r="J377" s="3"/>
      <c r="K377" s="3"/>
      <c r="L377" s="3"/>
      <c r="M377" t="e" cm="1" vm="1">
        <f t="array" ref="M377">TRANSPOSE(_xlfn.UNIQUE(_xlfn._xlws.FILTER(Table4[Discipine Area],(Table4[Discipline No.]=C434)*(Table4[Discipline No.]=C434))))</f>
        <v>#VALUE!</v>
      </c>
    </row>
    <row r="378" spans="1:13" x14ac:dyDescent="0.25">
      <c r="A378" s="9"/>
      <c r="B378" s="117"/>
      <c r="C378" s="9"/>
      <c r="D378" s="73"/>
      <c r="E378" s="73"/>
      <c r="F378" s="73"/>
      <c r="G378" s="74"/>
      <c r="H378" s="74"/>
      <c r="I378" s="73"/>
      <c r="J378" s="3"/>
      <c r="K378" s="3"/>
      <c r="L378" s="3"/>
      <c r="M378" t="e" cm="1" vm="1">
        <f t="array" ref="M378">TRANSPOSE(_xlfn.UNIQUE(_xlfn._xlws.FILTER(Table4[Discipine Area],(Table4[Discipline No.]=C435)*(Table4[Discipline No.]=C435))))</f>
        <v>#VALUE!</v>
      </c>
    </row>
    <row r="379" spans="1:13" x14ac:dyDescent="0.25">
      <c r="A379" s="9"/>
      <c r="B379" s="117"/>
      <c r="C379" s="9"/>
      <c r="D379" s="73"/>
      <c r="E379" s="73"/>
      <c r="F379" s="73"/>
      <c r="G379" s="74"/>
      <c r="H379" s="74"/>
      <c r="I379" s="73"/>
      <c r="J379" s="3"/>
      <c r="K379" s="3"/>
      <c r="L379" s="3"/>
      <c r="M379" t="e" cm="1">
        <f t="array" ref="M379">TRANSPOSE(_xlfn.UNIQUE(_xlfn._xlws.FILTER(Table4[Discipine Area],(Table4[Discipline No.]=#REF!)*(Table4[Discipline No.]=#REF!))))</f>
        <v>#REF!</v>
      </c>
    </row>
    <row r="380" spans="1:13" x14ac:dyDescent="0.25">
      <c r="A380" s="9"/>
      <c r="B380" s="114" t="s">
        <v>578</v>
      </c>
      <c r="C380" s="9"/>
      <c r="D380" s="73"/>
      <c r="E380" s="73"/>
      <c r="F380" s="73"/>
      <c r="G380" s="74"/>
      <c r="H380" s="74"/>
      <c r="I380" s="73"/>
      <c r="J380" s="3"/>
      <c r="K380" s="3"/>
      <c r="L380" s="3"/>
    </row>
    <row r="381" spans="1:13" x14ac:dyDescent="0.25">
      <c r="A381" s="9"/>
      <c r="B381" s="117"/>
      <c r="C381" s="9"/>
      <c r="D381" s="73"/>
      <c r="E381" s="73"/>
      <c r="F381" s="73"/>
      <c r="G381" s="74"/>
      <c r="H381" s="74"/>
      <c r="I381" s="73"/>
      <c r="J381" s="73"/>
      <c r="K381" s="73"/>
      <c r="L381" s="3"/>
      <c r="M381" t="e" cm="1">
        <f t="array" ref="M381">TRANSPOSE(_xlfn.UNIQUE(_xlfn._xlws.FILTER(Table4[Discipine Area],(Table4[Discipline No.]=#REF!)*(Table4[Discipline No.]=#REF!))))</f>
        <v>#REF!</v>
      </c>
    </row>
    <row r="382" spans="1:13" ht="30" x14ac:dyDescent="0.25">
      <c r="A382" s="9"/>
      <c r="B382" s="117"/>
      <c r="C382" s="9">
        <v>1</v>
      </c>
      <c r="D382" s="73" t="s">
        <v>23</v>
      </c>
      <c r="E382" s="73" t="s">
        <v>576</v>
      </c>
      <c r="F382" s="73"/>
      <c r="G382" s="74" t="s">
        <v>584</v>
      </c>
      <c r="H382" s="74"/>
      <c r="I382" s="73"/>
      <c r="J382" s="73"/>
      <c r="K382" s="73"/>
      <c r="L382" s="3"/>
      <c r="M382" t="e" cm="1" vm="1">
        <f t="array" ref="M382">TRANSPOSE(_xlfn.UNIQUE(_xlfn._xlws.FILTER(Table4[Discipine Area],(Table4[Discipline No.]=C437)*(Table4[Discipline No.]=C437))))</f>
        <v>#VALUE!</v>
      </c>
    </row>
    <row r="383" spans="1:13" x14ac:dyDescent="0.25">
      <c r="A383" s="9"/>
      <c r="B383" s="117"/>
      <c r="C383" s="9">
        <v>1</v>
      </c>
      <c r="D383" s="73" t="s">
        <v>26</v>
      </c>
      <c r="E383" s="73" t="s">
        <v>575</v>
      </c>
      <c r="F383" s="73"/>
      <c r="G383" s="74" t="s">
        <v>585</v>
      </c>
      <c r="H383" s="3"/>
      <c r="I383" s="3"/>
      <c r="J383" s="3"/>
      <c r="K383" s="3"/>
      <c r="L383" s="3"/>
      <c r="M383" t="e" cm="1" vm="1">
        <f t="array" ref="M383">TRANSPOSE(_xlfn.UNIQUE(_xlfn._xlws.FILTER(Table4[Discipine Area],(Table4[Discipline No.]=C438)*(Table4[Discipline No.]=C438))))</f>
        <v>#VALUE!</v>
      </c>
    </row>
    <row r="384" spans="1:13" ht="15" customHeight="1" x14ac:dyDescent="0.25">
      <c r="A384" s="9"/>
      <c r="B384" s="117"/>
      <c r="C384" s="9">
        <v>1</v>
      </c>
      <c r="D384" s="73" t="s">
        <v>42</v>
      </c>
      <c r="E384" s="73" t="s">
        <v>575</v>
      </c>
      <c r="F384" s="73"/>
      <c r="G384" s="74" t="s">
        <v>580</v>
      </c>
      <c r="H384" s="74"/>
      <c r="I384" s="73"/>
      <c r="J384" s="3"/>
      <c r="K384" s="3"/>
      <c r="L384" s="3"/>
      <c r="M384" t="e" cm="1" vm="1">
        <f t="array" ref="M384">TRANSPOSE(_xlfn.UNIQUE(_xlfn._xlws.FILTER(Table4[Discipine Area],(Table4[Discipline No.]=C439)*(Table4[Discipline No.]=C439))))</f>
        <v>#VALUE!</v>
      </c>
    </row>
    <row r="385" spans="1:82" ht="15" customHeight="1" x14ac:dyDescent="0.25">
      <c r="A385" s="9"/>
      <c r="B385" s="117"/>
      <c r="C385" s="9">
        <v>1</v>
      </c>
      <c r="D385" s="73" t="s">
        <v>12</v>
      </c>
      <c r="E385" s="73" t="s">
        <v>577</v>
      </c>
      <c r="F385" s="73"/>
      <c r="G385" s="74" t="s">
        <v>586</v>
      </c>
      <c r="H385" s="74"/>
      <c r="I385" s="73"/>
      <c r="J385" s="3"/>
      <c r="K385" s="3"/>
      <c r="L385" s="3"/>
      <c r="M385" t="e" cm="1" vm="1">
        <f t="array" ref="M385">TRANSPOSE(_xlfn.UNIQUE(_xlfn._xlws.FILTER(Table4[Discipine Area],(Table4[Discipline No.]=C440)*(Table4[Discipline No.]=C440))))</f>
        <v>#VALUE!</v>
      </c>
    </row>
    <row r="386" spans="1:82" ht="15" customHeight="1" x14ac:dyDescent="0.25">
      <c r="A386" s="90"/>
      <c r="B386" s="119"/>
      <c r="C386" s="9">
        <v>1</v>
      </c>
      <c r="D386" s="73" t="s">
        <v>42</v>
      </c>
      <c r="E386" s="73" t="s">
        <v>576</v>
      </c>
      <c r="F386" s="73"/>
      <c r="G386" s="74" t="s">
        <v>587</v>
      </c>
      <c r="H386" s="74"/>
      <c r="I386" s="73"/>
      <c r="J386" s="3"/>
      <c r="K386" s="3"/>
      <c r="L386" s="3"/>
      <c r="M386" t="e" cm="1" vm="1">
        <f t="array" ref="M386">TRANSPOSE(_xlfn.UNIQUE(_xlfn._xlws.FILTER(Table4[Discipine Area],(Table4[Discipline No.]=C441)*(Table4[Discipline No.]=C441))))</f>
        <v>#VALUE!</v>
      </c>
    </row>
    <row r="387" spans="1:82" ht="15" customHeight="1" x14ac:dyDescent="0.25">
      <c r="A387" s="9"/>
      <c r="B387" s="102"/>
      <c r="C387" s="9"/>
      <c r="D387" s="74"/>
      <c r="E387" s="73"/>
      <c r="F387" s="73"/>
      <c r="G387" s="74"/>
      <c r="H387" s="74"/>
      <c r="I387" s="73"/>
      <c r="J387" s="3"/>
      <c r="K387" s="3"/>
      <c r="L387" s="3"/>
      <c r="M387" t="str" cm="1">
        <f t="array" ref="M387:CD387">TRANSPOSE(_xlfn.UNIQUE(_xlfn._xlws.FILTER(Table4[Discipine Area],(Table4[Discipline No.]=C442)*(Table4[Discipline No.]=C442))))</f>
        <v>SALOON</v>
      </c>
      <c r="N387" t="str">
        <v>Companion door</v>
      </c>
      <c r="O387" t="str">
        <v>Fwd cockpit door</v>
      </c>
      <c r="P387" t="str">
        <v>Windows</v>
      </c>
      <c r="Q387" t="str">
        <v>U shape settee</v>
      </c>
      <c r="R387" t="str">
        <v>Saloon table</v>
      </c>
      <c r="S387" t="str">
        <v>Formica Bulkheads</v>
      </c>
      <c r="T387" t="str">
        <v>Magazine locker/shelf locker</v>
      </c>
      <c r="U387" t="str">
        <v>Vents</v>
      </c>
      <c r="V387" t="str">
        <v>Hullside vinyl panels</v>
      </c>
      <c r="W387" t="str">
        <v>Window blinds</v>
      </c>
      <c r="X387" t="str">
        <v>Nav desk</v>
      </c>
      <c r="Y387" t="str">
        <v>Chart table with storage locker under hinged lid</v>
      </c>
      <c r="Z387" t="str">
        <v>Storage locker under chart table</v>
      </c>
      <c r="AA387" t="str">
        <v xml:space="preserve">AC Outlets </v>
      </c>
      <c r="AB387" t="str">
        <v>Ottoman</v>
      </c>
      <c r="AC387" t="str">
        <v>Galley lockers</v>
      </c>
      <c r="AD387" t="str">
        <v>Stove locker</v>
      </c>
      <c r="AE387" t="str">
        <v>Draw locker</v>
      </c>
      <c r="AF387" t="str">
        <v>Fridge/Freezer locker</v>
      </c>
      <c r="AG387" t="str">
        <v>Microwave locker</v>
      </c>
      <c r="AH387" t="str">
        <v>Tv locker</v>
      </c>
      <c r="AI387" t="str">
        <v>AC/DC locker</v>
      </c>
      <c r="AJ387" t="str">
        <v>Vinyl ceiling</v>
      </c>
      <c r="AK387" t="str">
        <v>Floor</v>
      </c>
      <c r="AL387" t="str">
        <v>Large bowl s/s sink</v>
      </c>
      <c r="AM387" t="str">
        <v>Dish and cutlery drying recess with drainage</v>
      </c>
      <c r="AN387" t="str">
        <v>Cover for drying recess</v>
      </c>
      <c r="AO387" t="str">
        <v xml:space="preserve">Vitrifrigo 2 drawer front-opening fridge/freezer </v>
      </c>
      <c r="AP387" t="str">
        <v>Ice maker</v>
      </c>
      <c r="AQ387" t="str">
        <v>Wine cooler</v>
      </c>
      <c r="AR387" t="str">
        <v>Burner gas hob</v>
      </c>
      <c r="AS387" t="str">
        <v>Gas oven</v>
      </c>
      <c r="AT387" t="str">
        <v>Gas solenoid shut-off valve with control &amp; warning light at cooker</v>
      </c>
      <c r="AU387" t="str">
        <v xml:space="preserve">Formica steps </v>
      </c>
      <c r="AV387" t="str">
        <v>Gas detectors in each hull connected to alarm in saloon</v>
      </c>
      <c r="AW387" t="str">
        <v>Smoke detector/alarm</v>
      </c>
      <c r="AX387" t="str">
        <v>LED overhead lighting</v>
      </c>
      <c r="AY387" t="str">
        <v>CABIN/ STUDY/PASSAGE</v>
      </c>
      <c r="AZ387" t="str">
        <v>Inspection lids</v>
      </c>
      <c r="BA387" t="str">
        <v>Vinyl panels</v>
      </c>
      <c r="BB387" t="str">
        <v>Stairs</v>
      </c>
      <c r="BC387" t="str">
        <v>Bedside table outboard</v>
      </c>
      <c r="BD387" t="str">
        <v>Bedside cave locker inboard</v>
      </c>
      <c r="BE387" t="str">
        <v>Bunktop/Double berth</v>
      </c>
      <c r="BF387" t="str">
        <v>Hanging locker</v>
      </c>
      <c r="BG387" t="str">
        <v>Bunk Drawers</v>
      </c>
      <c r="BH387" t="str">
        <v>Cabin Door</v>
      </c>
      <c r="BI387" t="str">
        <v>Door frames</v>
      </c>
      <c r="BJ387" t="str">
        <v>Fiddles</v>
      </c>
      <c r="BK387" t="str">
        <v>Fan</v>
      </c>
      <c r="BL387" t="str">
        <v>Hatch</v>
      </c>
      <c r="BM387" t="str">
        <v>2 x LED reading lamps over bunk</v>
      </c>
      <c r="BN387" t="str">
        <v>Vanity table/desk with storage locker and mirror under lid</v>
      </c>
      <c r="BO387" t="str">
        <v>Fold up vanity mirror</v>
      </c>
      <c r="BP387" t="str">
        <v>Sliding entrance door with lock</v>
      </c>
      <c r="BQ387" t="str">
        <v>Doors</v>
      </c>
      <c r="BR387" t="str">
        <v>Large mirror behind sliding entrance door</v>
      </c>
      <c r="BS387" t="str">
        <v xml:space="preserve">HEADS </v>
      </c>
      <c r="BT387" t="str">
        <v>Under-basin locker with toilet roll holder</v>
      </c>
      <c r="BU387" t="str">
        <v>Vanity locker with mirror</v>
      </c>
      <c r="BV387" t="str">
        <v>Double towel rail</v>
      </c>
      <c r="BW387" t="str">
        <v>Sliding or hinged heads door</v>
      </c>
      <c r="BX387" t="str">
        <v>Washing machine locker</v>
      </c>
      <c r="BY387" t="str">
        <v>Dedicated trashcan locker</v>
      </c>
      <c r="BZ387" t="str">
        <v>Coat hook</v>
      </c>
      <c r="CA387" t="str">
        <v>Waste tank</v>
      </c>
      <c r="CB387" t="str">
        <v>Forepeak panel</v>
      </c>
      <c r="CC387" t="str">
        <v>Portlight with roller blind</v>
      </c>
      <c r="CD387" t="str">
        <v>Overhead roller blinds for privacy</v>
      </c>
    </row>
    <row r="388" spans="1:82" ht="15" customHeight="1" x14ac:dyDescent="0.25">
      <c r="A388" s="9"/>
      <c r="B388" s="102"/>
      <c r="C388" s="9"/>
      <c r="D388" s="74"/>
      <c r="E388" s="73"/>
      <c r="F388" s="73"/>
      <c r="G388" s="74"/>
      <c r="H388" s="74"/>
      <c r="I388" s="73"/>
      <c r="J388" s="3"/>
      <c r="K388" s="3"/>
      <c r="L388" s="3"/>
      <c r="M388" t="str" cm="1">
        <f t="array" ref="M388:AZ388">TRANSPOSE(_xlfn.UNIQUE(_xlfn._xlws.FILTER(Table4[Discipine Area],(Table4[Discipline No.]=C443)*(Table4[Discipline No.]=C443))))</f>
        <v>Exterior</v>
      </c>
      <c r="N388" t="str">
        <v>Fwd area</v>
      </c>
      <c r="O388" t="str">
        <v>Midship area</v>
      </c>
      <c r="P388" t="str">
        <v>Aft area</v>
      </c>
      <c r="Q388" t="str">
        <v>window surround</v>
      </c>
      <c r="R388" t="str">
        <v>Bows</v>
      </c>
      <c r="S388" t="str">
        <v>fwd deck steps</v>
      </c>
      <c r="T388" t="str">
        <v>Deck flange</v>
      </c>
      <c r="U388" t="str">
        <v>Waterchannel</v>
      </c>
      <c r="V388" t="str">
        <v>Helmstation</v>
      </c>
      <c r="W388" t="str">
        <v>window module</v>
      </c>
      <c r="X388" t="str">
        <v>deck Join</v>
      </c>
      <c r="Y388" t="str">
        <v>side deck step</v>
      </c>
      <c r="Z388" t="str">
        <v>Bimini</v>
      </c>
      <c r="AA388" t="str">
        <v>Helmstation steps</v>
      </c>
      <c r="AB388" t="str">
        <v>toe rail</v>
      </c>
      <c r="AC388" t="str">
        <v>Inboard liner</v>
      </c>
      <c r="AD388" t="str">
        <v>Settee</v>
      </c>
      <c r="AE388" t="str">
        <v>Transom</v>
      </c>
      <c r="AF388" t="str">
        <v>Floating step</v>
      </c>
      <c r="AG388" t="str">
        <v>Locker lids</v>
      </c>
      <c r="AH388" t="str">
        <v>Table</v>
      </c>
      <c r="AI388" t="str">
        <v>Ceiling</v>
      </c>
      <c r="AJ388" t="str">
        <v>Targawing</v>
      </c>
      <c r="AK388" t="str">
        <v>Eyebrow</v>
      </c>
      <c r="AL388" t="str">
        <v>Decklid</v>
      </c>
      <c r="AM388" t="str">
        <v>Skylight</v>
      </c>
      <c r="AN388" t="str">
        <v>Floor</v>
      </c>
      <c r="AO388" t="str">
        <v>Flybridge steps</v>
      </c>
      <c r="AP388" t="str">
        <v>INTERIOR</v>
      </c>
      <c r="AQ388" t="str">
        <v>Stowage space under floorboards</v>
      </c>
      <c r="AR388" t="str">
        <v>Door surround</v>
      </c>
      <c r="AS388" t="str">
        <v>Staircase</v>
      </c>
      <c r="AT388" t="str">
        <v>Plinth/Skirting</v>
      </c>
      <c r="AU388" t="str">
        <v>Ceiling Liner</v>
      </c>
      <c r="AV388" t="str">
        <v>BBQ Locker</v>
      </c>
      <c r="AW388" t="str">
        <v>Bunk Liners</v>
      </c>
      <c r="AX388" t="str">
        <v>Basin module</v>
      </c>
      <c r="AY388" t="str">
        <v>Shower bulkhead module</v>
      </c>
      <c r="AZ388" t="str">
        <v>Heads bulkhead module</v>
      </c>
    </row>
    <row r="389" spans="1:82" ht="15" customHeight="1" x14ac:dyDescent="0.25">
      <c r="A389" s="9"/>
      <c r="B389" s="101"/>
      <c r="C389" s="9"/>
      <c r="D389" s="74"/>
      <c r="E389" s="73"/>
      <c r="F389" s="73"/>
      <c r="G389" s="74"/>
      <c r="H389" s="74"/>
      <c r="I389" s="73"/>
      <c r="J389" s="3"/>
      <c r="K389" s="3"/>
      <c r="L389" s="3"/>
      <c r="M389" t="str" cm="1">
        <f t="array" ref="M389:U389">TRANSPOSE(_xlfn.UNIQUE(_xlfn._xlws.FILTER(Table4[Discipine Area],(Table4[Discipline No.]=C444)*(Table4[Discipline No.]=C444))))</f>
        <v>CLEANING</v>
      </c>
      <c r="N389" t="str">
        <v>Formica</v>
      </c>
      <c r="O389" t="str">
        <v>GRP</v>
      </c>
      <c r="P389" t="str">
        <v>Vinyl</v>
      </c>
      <c r="Q389" t="str">
        <v>Stainlesteel</v>
      </c>
      <c r="R389" t="str">
        <v>Stickers/tape/residue</v>
      </c>
      <c r="S389" t="str">
        <v>Bilges</v>
      </c>
      <c r="T389" t="str">
        <v>Lockers</v>
      </c>
      <c r="U389" t="str">
        <v>Perspex</v>
      </c>
    </row>
    <row r="390" spans="1:82" ht="15" customHeight="1" x14ac:dyDescent="0.25">
      <c r="A390" s="9"/>
      <c r="B390" s="101"/>
      <c r="C390" s="9"/>
      <c r="D390" s="74"/>
      <c r="E390" s="73"/>
      <c r="F390" s="73"/>
      <c r="G390" s="74"/>
      <c r="H390" s="74"/>
      <c r="I390" s="73"/>
      <c r="J390" s="3"/>
      <c r="K390" s="3"/>
      <c r="L390" s="3"/>
      <c r="M390" t="str" cm="1">
        <f t="array" ref="M390:U390">TRANSPOSE(_xlfn.UNIQUE(_xlfn._xlws.FILTER(Table4[Discipine Area],(Table4[Discipline No.]=C445)*(Table4[Discipline No.]=C445))))</f>
        <v>CLEANING</v>
      </c>
      <c r="N390" t="str">
        <v>Formica</v>
      </c>
      <c r="O390" t="str">
        <v>GRP</v>
      </c>
      <c r="P390" t="str">
        <v>Vinyl</v>
      </c>
      <c r="Q390" t="str">
        <v>Stainlesteel</v>
      </c>
      <c r="R390" t="str">
        <v>Stickers/tape/residue</v>
      </c>
      <c r="S390" t="str">
        <v>Bilges</v>
      </c>
      <c r="T390" t="str">
        <v>Lockers</v>
      </c>
      <c r="U390" t="str">
        <v>Perspex</v>
      </c>
    </row>
    <row r="391" spans="1:82" ht="15" customHeight="1" x14ac:dyDescent="0.25">
      <c r="A391" s="9"/>
      <c r="B391" s="102"/>
      <c r="C391" s="9"/>
      <c r="D391" s="74"/>
      <c r="E391" s="73"/>
      <c r="F391" s="73"/>
      <c r="G391" s="74"/>
      <c r="H391" s="74"/>
      <c r="I391" s="73"/>
      <c r="J391" s="3"/>
      <c r="K391" s="3"/>
      <c r="L391" s="3"/>
      <c r="M391" t="str" cm="1">
        <f t="array" ref="M391:CD391">TRANSPOSE(_xlfn.UNIQUE(_xlfn._xlws.FILTER(Table4[Discipine Area],(Table4[Discipline No.]=C446)*(Table4[Discipline No.]=C446))))</f>
        <v>SALOON</v>
      </c>
      <c r="N391" t="str">
        <v>Companion door</v>
      </c>
      <c r="O391" t="str">
        <v>Fwd cockpit door</v>
      </c>
      <c r="P391" t="str">
        <v>Windows</v>
      </c>
      <c r="Q391" t="str">
        <v>U shape settee</v>
      </c>
      <c r="R391" t="str">
        <v>Saloon table</v>
      </c>
      <c r="S391" t="str">
        <v>Formica Bulkheads</v>
      </c>
      <c r="T391" t="str">
        <v>Magazine locker/shelf locker</v>
      </c>
      <c r="U391" t="str">
        <v>Vents</v>
      </c>
      <c r="V391" t="str">
        <v>Hullside vinyl panels</v>
      </c>
      <c r="W391" t="str">
        <v>Window blinds</v>
      </c>
      <c r="X391" t="str">
        <v>Nav desk</v>
      </c>
      <c r="Y391" t="str">
        <v>Chart table with storage locker under hinged lid</v>
      </c>
      <c r="Z391" t="str">
        <v>Storage locker under chart table</v>
      </c>
      <c r="AA391" t="str">
        <v xml:space="preserve">AC Outlets </v>
      </c>
      <c r="AB391" t="str">
        <v>Ottoman</v>
      </c>
      <c r="AC391" t="str">
        <v>Galley lockers</v>
      </c>
      <c r="AD391" t="str">
        <v>Stove locker</v>
      </c>
      <c r="AE391" t="str">
        <v>Draw locker</v>
      </c>
      <c r="AF391" t="str">
        <v>Fridge/Freezer locker</v>
      </c>
      <c r="AG391" t="str">
        <v>Microwave locker</v>
      </c>
      <c r="AH391" t="str">
        <v>Tv locker</v>
      </c>
      <c r="AI391" t="str">
        <v>AC/DC locker</v>
      </c>
      <c r="AJ391" t="str">
        <v>Vinyl ceiling</v>
      </c>
      <c r="AK391" t="str">
        <v>Floor</v>
      </c>
      <c r="AL391" t="str">
        <v>Large bowl s/s sink</v>
      </c>
      <c r="AM391" t="str">
        <v>Dish and cutlery drying recess with drainage</v>
      </c>
      <c r="AN391" t="str">
        <v>Cover for drying recess</v>
      </c>
      <c r="AO391" t="str">
        <v xml:space="preserve">Vitrifrigo 2 drawer front-opening fridge/freezer </v>
      </c>
      <c r="AP391" t="str">
        <v>Ice maker</v>
      </c>
      <c r="AQ391" t="str">
        <v>Wine cooler</v>
      </c>
      <c r="AR391" t="str">
        <v>Burner gas hob</v>
      </c>
      <c r="AS391" t="str">
        <v>Gas oven</v>
      </c>
      <c r="AT391" t="str">
        <v>Gas solenoid shut-off valve with control &amp; warning light at cooker</v>
      </c>
      <c r="AU391" t="str">
        <v xml:space="preserve">Formica steps </v>
      </c>
      <c r="AV391" t="str">
        <v>Gas detectors in each hull connected to alarm in saloon</v>
      </c>
      <c r="AW391" t="str">
        <v>Smoke detector/alarm</v>
      </c>
      <c r="AX391" t="str">
        <v>LED overhead lighting</v>
      </c>
      <c r="AY391" t="str">
        <v>CABIN/ STUDY/PASSAGE</v>
      </c>
      <c r="AZ391" t="str">
        <v>Inspection lids</v>
      </c>
      <c r="BA391" t="str">
        <v>Vinyl panels</v>
      </c>
      <c r="BB391" t="str">
        <v>Stairs</v>
      </c>
      <c r="BC391" t="str">
        <v>Bedside table outboard</v>
      </c>
      <c r="BD391" t="str">
        <v>Bedside cave locker inboard</v>
      </c>
      <c r="BE391" t="str">
        <v>Bunktop/Double berth</v>
      </c>
      <c r="BF391" t="str">
        <v>Hanging locker</v>
      </c>
      <c r="BG391" t="str">
        <v>Bunk Drawers</v>
      </c>
      <c r="BH391" t="str">
        <v>Cabin Door</v>
      </c>
      <c r="BI391" t="str">
        <v>Door frames</v>
      </c>
      <c r="BJ391" t="str">
        <v>Fiddles</v>
      </c>
      <c r="BK391" t="str">
        <v>Fan</v>
      </c>
      <c r="BL391" t="str">
        <v>Hatch</v>
      </c>
      <c r="BM391" t="str">
        <v>2 x LED reading lamps over bunk</v>
      </c>
      <c r="BN391" t="str">
        <v>Vanity table/desk with storage locker and mirror under lid</v>
      </c>
      <c r="BO391" t="str">
        <v>Fold up vanity mirror</v>
      </c>
      <c r="BP391" t="str">
        <v>Sliding entrance door with lock</v>
      </c>
      <c r="BQ391" t="str">
        <v>Doors</v>
      </c>
      <c r="BR391" t="str">
        <v>Large mirror behind sliding entrance door</v>
      </c>
      <c r="BS391" t="str">
        <v xml:space="preserve">HEADS </v>
      </c>
      <c r="BT391" t="str">
        <v>Under-basin locker with toilet roll holder</v>
      </c>
      <c r="BU391" t="str">
        <v>Vanity locker with mirror</v>
      </c>
      <c r="BV391" t="str">
        <v>Double towel rail</v>
      </c>
      <c r="BW391" t="str">
        <v>Sliding or hinged heads door</v>
      </c>
      <c r="BX391" t="str">
        <v>Washing machine locker</v>
      </c>
      <c r="BY391" t="str">
        <v>Dedicated trashcan locker</v>
      </c>
      <c r="BZ391" t="str">
        <v>Coat hook</v>
      </c>
      <c r="CA391" t="str">
        <v>Waste tank</v>
      </c>
      <c r="CB391" t="str">
        <v>Forepeak panel</v>
      </c>
      <c r="CC391" t="str">
        <v>Portlight with roller blind</v>
      </c>
      <c r="CD391" t="str">
        <v>Overhead roller blinds for privacy</v>
      </c>
    </row>
    <row r="392" spans="1:82" ht="15" customHeight="1" x14ac:dyDescent="0.25">
      <c r="A392" s="9"/>
      <c r="B392" s="106"/>
      <c r="C392" s="9"/>
      <c r="D392" s="74"/>
      <c r="E392" s="73"/>
      <c r="F392" s="73"/>
      <c r="G392" s="74"/>
      <c r="H392" s="73"/>
      <c r="I392" s="73"/>
      <c r="J392" s="3"/>
      <c r="K392" s="3"/>
      <c r="L392" s="3"/>
      <c r="M392" t="str" cm="1">
        <f t="array" ref="M392:AI392">TRANSPOSE(_xlfn.UNIQUE(_xlfn._xlws.FILTER(Table4[Discipine Area],(Table4[Discipline No.]=C447)*(Table4[Discipline No.]=C447))))</f>
        <v>PLUMBING</v>
      </c>
      <c r="N392" t="str">
        <v>Hot and cold pressurized fresh water system consisting of:</v>
      </c>
      <c r="O392" t="str">
        <v>Water tanks,total capacity with level reading and gauges</v>
      </c>
      <c r="P392" t="str">
        <v>Fresh water pressure pump with accumulator tank</v>
      </c>
      <c r="Q392" t="str">
        <v>Hot water cylinders/waterheaters</v>
      </c>
      <c r="R392" t="str">
        <v>Transom shower (cold only)</v>
      </c>
      <c r="S392" t="str">
        <v xml:space="preserve">Automatic shower drain pumps </v>
      </c>
      <c r="T392" t="str">
        <v>Holding tanks</v>
      </c>
      <c r="U392" t="str">
        <v>Electric bilge pumps (keel sump) with float switches and alarm at switch panel</v>
      </c>
      <c r="V392" t="str">
        <v>Manual bilge pumps with (keel sump)</v>
      </c>
      <c r="W392" t="str">
        <v>High water bilge float switches with alarm at switch panel</v>
      </c>
      <c r="X392" t="str">
        <v>Electric bilge pumps (engine room) with float switch and warning light at switch panel</v>
      </c>
      <c r="Y392" t="str">
        <v>Water purifying filter system (Purifying water tap located at galley)</v>
      </c>
      <c r="Z392" t="str">
        <v>LPG label</v>
      </c>
      <c r="AA392" t="str">
        <v>Aircon unit</v>
      </c>
      <c r="AB392" t="str">
        <v>Ducting</v>
      </c>
      <c r="AC392" t="str">
        <v>Engine Room</v>
      </c>
      <c r="AD392" t="str">
        <v>Electric sea water flush toilet</v>
      </c>
      <c r="AE392" t="str">
        <v>Single lever mixer faucet with pull-out sprayer</v>
      </c>
      <c r="AF392" t="str">
        <v>Gas cylinder regulator in dedicated LPG locker</v>
      </c>
      <c r="AG392" t="str">
        <v>Washbasins with basin mixer</v>
      </c>
      <c r="AH392" t="str">
        <v>Shower compartment c/w lever mixer and adjustable shower rose</v>
      </c>
      <c r="AI392" t="str">
        <v>Shower sump with automatic drainage system</v>
      </c>
    </row>
    <row r="393" spans="1:82" ht="15" customHeight="1" x14ac:dyDescent="0.25">
      <c r="A393" s="9"/>
      <c r="B393" s="106"/>
      <c r="C393" s="9"/>
      <c r="D393" s="74"/>
      <c r="E393" s="73"/>
      <c r="F393" s="73"/>
      <c r="G393" s="74"/>
      <c r="H393" s="73"/>
      <c r="I393" s="73"/>
      <c r="J393" s="3"/>
      <c r="K393" s="3"/>
      <c r="L393" s="3"/>
      <c r="M393" t="str" cm="1">
        <f t="array" ref="M393:AZ393">TRANSPOSE(_xlfn.UNIQUE(_xlfn._xlws.FILTER(Table4[Discipine Area],(Table4[Discipline No.]=C448)*(Table4[Discipline No.]=C448))))</f>
        <v>Exterior</v>
      </c>
      <c r="N393" t="str">
        <v>Fwd area</v>
      </c>
      <c r="O393" t="str">
        <v>Midship area</v>
      </c>
      <c r="P393" t="str">
        <v>Aft area</v>
      </c>
      <c r="Q393" t="str">
        <v>window surround</v>
      </c>
      <c r="R393" t="str">
        <v>Bows</v>
      </c>
      <c r="S393" t="str">
        <v>fwd deck steps</v>
      </c>
      <c r="T393" t="str">
        <v>Deck flange</v>
      </c>
      <c r="U393" t="str">
        <v>Waterchannel</v>
      </c>
      <c r="V393" t="str">
        <v>Helmstation</v>
      </c>
      <c r="W393" t="str">
        <v>window module</v>
      </c>
      <c r="X393" t="str">
        <v>deck Join</v>
      </c>
      <c r="Y393" t="str">
        <v>side deck step</v>
      </c>
      <c r="Z393" t="str">
        <v>Bimini</v>
      </c>
      <c r="AA393" t="str">
        <v>Helmstation steps</v>
      </c>
      <c r="AB393" t="str">
        <v>toe rail</v>
      </c>
      <c r="AC393" t="str">
        <v>Inboard liner</v>
      </c>
      <c r="AD393" t="str">
        <v>Settee</v>
      </c>
      <c r="AE393" t="str">
        <v>Transom</v>
      </c>
      <c r="AF393" t="str">
        <v>Floating step</v>
      </c>
      <c r="AG393" t="str">
        <v>Locker lids</v>
      </c>
      <c r="AH393" t="str">
        <v>Table</v>
      </c>
      <c r="AI393" t="str">
        <v>Ceiling</v>
      </c>
      <c r="AJ393" t="str">
        <v>Targawing</v>
      </c>
      <c r="AK393" t="str">
        <v>Eyebrow</v>
      </c>
      <c r="AL393" t="str">
        <v>Decklid</v>
      </c>
      <c r="AM393" t="str">
        <v>Skylight</v>
      </c>
      <c r="AN393" t="str">
        <v>Floor</v>
      </c>
      <c r="AO393" t="str">
        <v>Flybridge steps</v>
      </c>
      <c r="AP393" t="str">
        <v>INTERIOR</v>
      </c>
      <c r="AQ393" t="str">
        <v>Stowage space under floorboards</v>
      </c>
      <c r="AR393" t="str">
        <v>Door surround</v>
      </c>
      <c r="AS393" t="str">
        <v>Staircase</v>
      </c>
      <c r="AT393" t="str">
        <v>Plinth/Skirting</v>
      </c>
      <c r="AU393" t="str">
        <v>Ceiling Liner</v>
      </c>
      <c r="AV393" t="str">
        <v>BBQ Locker</v>
      </c>
      <c r="AW393" t="str">
        <v>Bunk Liners</v>
      </c>
      <c r="AX393" t="str">
        <v>Basin module</v>
      </c>
      <c r="AY393" t="str">
        <v>Shower bulkhead module</v>
      </c>
      <c r="AZ393" t="str">
        <v>Heads bulkhead module</v>
      </c>
    </row>
    <row r="394" spans="1:82" ht="15" customHeight="1" x14ac:dyDescent="0.25">
      <c r="A394" s="9"/>
      <c r="B394" s="104"/>
      <c r="C394" s="9"/>
      <c r="D394" s="74"/>
      <c r="E394" s="73"/>
      <c r="F394" s="73"/>
      <c r="G394" s="74"/>
      <c r="H394" s="73"/>
      <c r="I394" s="73"/>
      <c r="J394" s="3"/>
      <c r="K394" s="3"/>
      <c r="L394" s="3"/>
      <c r="M394" t="e" cm="1" vm="1">
        <f t="array" ref="M394">TRANSPOSE(_xlfn.UNIQUE(_xlfn._xlws.FILTER(Table4[Discipine Area],(Table4[Discipline No.]=C449)*(Table4[Discipline No.]=C449))))</f>
        <v>#VALUE!</v>
      </c>
    </row>
    <row r="395" spans="1:82" ht="15" customHeight="1" x14ac:dyDescent="0.25">
      <c r="A395" s="9"/>
      <c r="B395" s="105"/>
      <c r="C395" s="9"/>
      <c r="D395" s="74"/>
      <c r="E395" s="73"/>
      <c r="F395" s="73"/>
      <c r="G395" s="74"/>
      <c r="H395" s="73"/>
      <c r="I395" s="73"/>
      <c r="J395" s="3"/>
      <c r="K395" s="3"/>
      <c r="L395" s="3"/>
      <c r="M395" t="e" cm="1" vm="1">
        <f t="array" ref="M395">TRANSPOSE(_xlfn.UNIQUE(_xlfn._xlws.FILTER(Table4[Discipine Area],(Table4[Discipline No.]=C450)*(Table4[Discipline No.]=C450))))</f>
        <v>#VALUE!</v>
      </c>
    </row>
    <row r="396" spans="1:82" ht="15" customHeight="1" x14ac:dyDescent="0.25">
      <c r="A396" s="9"/>
      <c r="B396" s="106"/>
      <c r="C396" s="9"/>
      <c r="D396" s="74"/>
      <c r="E396" s="73"/>
      <c r="F396" s="73"/>
      <c r="G396" s="74"/>
      <c r="H396" s="73"/>
      <c r="I396" s="73"/>
      <c r="J396" s="3"/>
      <c r="K396" s="3"/>
      <c r="L396" s="3"/>
      <c r="M396" t="e" cm="1" vm="1">
        <f t="array" ref="M396">TRANSPOSE(_xlfn.UNIQUE(_xlfn._xlws.FILTER(Table4[Discipine Area],(Table4[Discipline No.]=C451)*(Table4[Discipline No.]=C451))))</f>
        <v>#VALUE!</v>
      </c>
    </row>
    <row r="397" spans="1:82" ht="15" customHeight="1" x14ac:dyDescent="0.25">
      <c r="A397" s="9"/>
      <c r="B397" s="104"/>
      <c r="C397" s="9"/>
      <c r="D397" s="74"/>
      <c r="E397" s="73"/>
      <c r="F397" s="73"/>
      <c r="G397" s="74"/>
      <c r="H397" s="73"/>
      <c r="I397" s="3"/>
      <c r="J397" s="3"/>
      <c r="K397" s="3"/>
      <c r="L397" s="3"/>
      <c r="M397" t="e" cm="1" vm="1">
        <f t="array" ref="M397">TRANSPOSE(_xlfn.UNIQUE(_xlfn._xlws.FILTER(Table4[Discipine Area],(Table4[Discipline No.]=C452)*(Table4[Discipline No.]=C452))))</f>
        <v>#VALUE!</v>
      </c>
    </row>
    <row r="398" spans="1:82" ht="15" customHeight="1" x14ac:dyDescent="0.25">
      <c r="A398" s="9"/>
      <c r="B398" s="102"/>
      <c r="C398" s="76"/>
      <c r="D398" s="3"/>
      <c r="E398" s="3"/>
      <c r="F398" s="73"/>
      <c r="G398" s="75"/>
      <c r="H398" s="73"/>
      <c r="I398" s="3"/>
      <c r="J398" s="3"/>
      <c r="K398" s="3"/>
      <c r="L398" s="3"/>
      <c r="M398" t="e" cm="1" vm="1">
        <f t="array" ref="M398">TRANSPOSE(_xlfn.UNIQUE(_xlfn._xlws.FILTER(Table4[Discipine Area],(Table4[Discipline No.]=C453)*(Table4[Discipline No.]=C453))))</f>
        <v>#VALUE!</v>
      </c>
    </row>
    <row r="399" spans="1:82" ht="15" customHeight="1" x14ac:dyDescent="0.25">
      <c r="A399" s="131" t="s">
        <v>411</v>
      </c>
      <c r="B399" s="132"/>
      <c r="C399" s="132"/>
      <c r="D399" s="132"/>
      <c r="E399" s="132"/>
      <c r="F399" s="133"/>
      <c r="G399" s="3" t="s">
        <v>412</v>
      </c>
      <c r="H399" s="141"/>
      <c r="I399" s="142"/>
      <c r="J399" s="134" t="s">
        <v>409</v>
      </c>
      <c r="K399" s="135"/>
      <c r="L399" s="136"/>
      <c r="M399" t="e" cm="1" vm="1">
        <f t="array" ref="M399">TRANSPOSE(_xlfn.UNIQUE(_xlfn._xlws.FILTER(Table4[Discipine Area],(Table4[Discipline No.]=C462)*(Table4[Discipline No.]=C462))))</f>
        <v>#VALUE!</v>
      </c>
    </row>
    <row r="400" spans="1:82" ht="15" customHeight="1" x14ac:dyDescent="0.25">
      <c r="A400" s="127" t="s">
        <v>0</v>
      </c>
      <c r="B400" s="127" t="s">
        <v>1</v>
      </c>
      <c r="C400" s="129" t="s">
        <v>2</v>
      </c>
      <c r="D400" s="129" t="s">
        <v>3</v>
      </c>
      <c r="E400" s="129" t="s">
        <v>4</v>
      </c>
      <c r="F400" s="129" t="s">
        <v>410</v>
      </c>
      <c r="G400" s="139" t="s">
        <v>216</v>
      </c>
      <c r="H400" s="139" t="s">
        <v>6</v>
      </c>
      <c r="I400" s="139" t="s">
        <v>7</v>
      </c>
      <c r="J400" s="137" t="s">
        <v>8</v>
      </c>
      <c r="K400" s="138" t="s">
        <v>9</v>
      </c>
      <c r="L400" s="138"/>
      <c r="M400" t="e" cm="1" vm="1">
        <f t="array" ref="M400">TRANSPOSE(_xlfn.UNIQUE(_xlfn._xlws.FILTER(Table4[Discipine Area],(Table4[Discipline No.]=C463)*(Table4[Discipline No.]=C463))))</f>
        <v>#VALUE!</v>
      </c>
    </row>
    <row r="401" spans="1:13" ht="15" customHeight="1" x14ac:dyDescent="0.25">
      <c r="A401" s="128"/>
      <c r="B401" s="128"/>
      <c r="C401" s="130"/>
      <c r="D401" s="130"/>
      <c r="E401" s="130"/>
      <c r="F401" s="130"/>
      <c r="G401" s="140"/>
      <c r="H401" s="140"/>
      <c r="I401" s="140"/>
      <c r="J401" s="137"/>
      <c r="K401" s="78" t="s">
        <v>10</v>
      </c>
      <c r="L401" s="78" t="s">
        <v>11</v>
      </c>
      <c r="M401" t="e" cm="1" vm="1">
        <f t="array" ref="M401">TRANSPOSE(_xlfn.UNIQUE(_xlfn._xlws.FILTER(Table4[Discipine Area],(Table4[Discipline No.]=C464)*(Table4[Discipline No.]=C464))))</f>
        <v>#VALUE!</v>
      </c>
    </row>
    <row r="402" spans="1:13" ht="15" customHeight="1" x14ac:dyDescent="0.25">
      <c r="A402" s="76"/>
      <c r="B402" s="121" t="s">
        <v>588</v>
      </c>
      <c r="C402" s="83"/>
      <c r="D402" s="84"/>
      <c r="E402" s="84"/>
      <c r="F402" s="73"/>
      <c r="G402" s="74"/>
      <c r="H402" s="3"/>
      <c r="I402" s="3"/>
      <c r="J402" s="3"/>
      <c r="K402" s="3"/>
      <c r="L402" s="3"/>
      <c r="M402" t="e" cm="1" vm="1">
        <f t="array" ref="M402">TRANSPOSE(_xlfn.UNIQUE(_xlfn._xlws.FILTER(Table4[Discipine Area],(Table4[Discipline No.]=C465)*(Table4[Discipline No.]=C465))))</f>
        <v>#VALUE!</v>
      </c>
    </row>
    <row r="403" spans="1:13" x14ac:dyDescent="0.25">
      <c r="A403" s="76"/>
      <c r="B403" s="145"/>
      <c r="C403" s="146"/>
      <c r="D403" s="73"/>
      <c r="E403" s="147"/>
      <c r="F403" s="73"/>
      <c r="G403" s="74"/>
      <c r="H403" s="3"/>
      <c r="I403" s="3"/>
      <c r="J403" s="3"/>
      <c r="K403" s="3"/>
      <c r="L403" s="3"/>
      <c r="M403" t="e" cm="1" vm="1">
        <f t="array" ref="M403">TRANSPOSE(_xlfn.UNIQUE(_xlfn._xlws.FILTER(Table4[Discipine Area],(Table4[Discipline No.]=C466)*(Table4[Discipline No.]=C466))))</f>
        <v>#VALUE!</v>
      </c>
    </row>
    <row r="404" spans="1:13" x14ac:dyDescent="0.25">
      <c r="A404" s="76"/>
      <c r="B404" s="145"/>
      <c r="C404" s="146"/>
      <c r="D404" s="73"/>
      <c r="E404" s="147"/>
      <c r="F404" s="73"/>
      <c r="G404" s="74"/>
      <c r="H404" s="3"/>
      <c r="I404" s="3"/>
      <c r="J404" s="3"/>
      <c r="K404" s="3"/>
      <c r="L404" s="3"/>
      <c r="M404" t="e" cm="1" vm="1">
        <f t="array" ref="M404">TRANSPOSE(_xlfn.UNIQUE(_xlfn._xlws.FILTER(Table4[Discipine Area],(Table4[Discipline No.]=C467)*(Table4[Discipline No.]=C467))))</f>
        <v>#VALUE!</v>
      </c>
    </row>
    <row r="405" spans="1:13" x14ac:dyDescent="0.25">
      <c r="A405" s="76"/>
      <c r="B405" s="145"/>
      <c r="C405" s="146"/>
      <c r="D405" s="73"/>
      <c r="E405" s="147"/>
      <c r="F405" s="73"/>
      <c r="G405" s="74"/>
      <c r="H405" s="3"/>
      <c r="I405" s="3"/>
      <c r="J405" s="3"/>
      <c r="K405" s="3"/>
      <c r="L405" s="3"/>
      <c r="M405" t="e" cm="1" vm="1">
        <f t="array" ref="M405">TRANSPOSE(_xlfn.UNIQUE(_xlfn._xlws.FILTER(Table4[Discipine Area],(Table4[Discipline No.]=C468)*(Table4[Discipline No.]=C468))))</f>
        <v>#VALUE!</v>
      </c>
    </row>
    <row r="406" spans="1:13" x14ac:dyDescent="0.25">
      <c r="A406" s="76"/>
      <c r="B406" s="148"/>
      <c r="C406" s="7">
        <v>1</v>
      </c>
      <c r="D406" s="73" t="s">
        <v>26</v>
      </c>
      <c r="E406" s="89" t="s">
        <v>576</v>
      </c>
      <c r="F406" s="73"/>
      <c r="G406" s="88" t="s">
        <v>589</v>
      </c>
      <c r="H406" s="3"/>
      <c r="I406" s="3"/>
      <c r="J406" s="3"/>
      <c r="K406" s="3"/>
      <c r="L406" s="3"/>
      <c r="M406" t="e" cm="1" vm="1">
        <f t="array" ref="M406">TRANSPOSE(_xlfn.UNIQUE(_xlfn._xlws.FILTER(Table4[Discipine Area],(Table4[Discipline No.]=C469)*(Table4[Discipline No.]=C469))))</f>
        <v>#VALUE!</v>
      </c>
    </row>
    <row r="407" spans="1:13" ht="30" x14ac:dyDescent="0.25">
      <c r="A407" s="76"/>
      <c r="B407" s="148"/>
      <c r="C407" s="7">
        <v>1</v>
      </c>
      <c r="D407" s="73" t="s">
        <v>26</v>
      </c>
      <c r="E407" s="89" t="s">
        <v>576</v>
      </c>
      <c r="F407" s="73"/>
      <c r="G407" s="88" t="s">
        <v>590</v>
      </c>
      <c r="H407" s="3"/>
      <c r="I407" s="3"/>
      <c r="J407" s="3"/>
      <c r="K407" s="3"/>
      <c r="L407" s="3"/>
      <c r="M407" t="e" cm="1" vm="1">
        <f t="array" ref="M407">TRANSPOSE(_xlfn.UNIQUE(_xlfn._xlws.FILTER(Table4[Discipine Area],(Table4[Discipline No.]=C470)*(Table4[Discipline No.]=C470))))</f>
        <v>#VALUE!</v>
      </c>
    </row>
    <row r="408" spans="1:13" x14ac:dyDescent="0.25">
      <c r="A408" s="76"/>
      <c r="B408" s="119"/>
      <c r="C408" s="7">
        <v>1</v>
      </c>
      <c r="D408" s="73" t="s">
        <v>17</v>
      </c>
      <c r="E408" s="73" t="s">
        <v>222</v>
      </c>
      <c r="F408" s="73"/>
      <c r="G408" s="74" t="s">
        <v>591</v>
      </c>
      <c r="H408" s="3"/>
      <c r="I408" s="3"/>
      <c r="J408" s="3"/>
      <c r="K408" s="3"/>
      <c r="L408" s="3"/>
      <c r="M408" t="e" cm="1" vm="1">
        <f t="array" ref="M408">TRANSPOSE(_xlfn.UNIQUE(_xlfn._xlws.FILTER(Table4[Discipine Area],(Table4[Discipline No.]=C471)*(Table4[Discipline No.]=C471))))</f>
        <v>#VALUE!</v>
      </c>
    </row>
    <row r="409" spans="1:13" x14ac:dyDescent="0.25">
      <c r="A409" s="76"/>
      <c r="B409" s="119"/>
      <c r="C409" s="9">
        <v>1</v>
      </c>
      <c r="D409" s="73" t="s">
        <v>17</v>
      </c>
      <c r="E409" s="73" t="s">
        <v>576</v>
      </c>
      <c r="F409" s="73"/>
      <c r="G409" s="74" t="s">
        <v>592</v>
      </c>
      <c r="H409" s="3"/>
      <c r="I409" s="3"/>
      <c r="J409" s="3"/>
      <c r="K409" s="3"/>
      <c r="L409" s="3"/>
      <c r="M409" t="e" cm="1" vm="1">
        <f t="array" ref="M409">TRANSPOSE(_xlfn.UNIQUE(_xlfn._xlws.FILTER(Table4[Discipine Area],(Table4[Discipline No.]=C472)*(Table4[Discipline No.]=C472))))</f>
        <v>#VALUE!</v>
      </c>
    </row>
    <row r="410" spans="1:13" ht="30" x14ac:dyDescent="0.25">
      <c r="A410" s="76"/>
      <c r="B410" s="119"/>
      <c r="C410" s="9">
        <v>1</v>
      </c>
      <c r="D410" s="73" t="s">
        <v>26</v>
      </c>
      <c r="E410" s="73" t="s">
        <v>576</v>
      </c>
      <c r="F410" s="73"/>
      <c r="G410" s="74" t="s">
        <v>593</v>
      </c>
      <c r="H410" s="3"/>
      <c r="I410" s="3"/>
      <c r="J410" s="3"/>
      <c r="K410" s="3"/>
      <c r="L410" s="3"/>
      <c r="M410" t="e" cm="1" vm="1">
        <f t="array" ref="M410">TRANSPOSE(_xlfn.UNIQUE(_xlfn._xlws.FILTER(Table4[Discipine Area],(Table4[Discipline No.]=C473)*(Table4[Discipline No.]=C473))))</f>
        <v>#VALUE!</v>
      </c>
    </row>
    <row r="411" spans="1:13" ht="30" x14ac:dyDescent="0.25">
      <c r="A411" s="76"/>
      <c r="B411" s="119"/>
      <c r="C411" s="9">
        <v>1</v>
      </c>
      <c r="D411" s="73" t="s">
        <v>26</v>
      </c>
      <c r="E411" s="73" t="s">
        <v>298</v>
      </c>
      <c r="F411" s="73"/>
      <c r="G411" s="74" t="s">
        <v>594</v>
      </c>
      <c r="H411" s="3"/>
      <c r="I411" s="3"/>
      <c r="J411" s="3"/>
      <c r="K411" s="3"/>
      <c r="L411" s="3"/>
      <c r="M411" t="e" cm="1">
        <f t="array" ref="M411">TRANSPOSE(_xlfn.UNIQUE(_xlfn._xlws.FILTER(Table4[Discipine Area],(Table4[Discipline No.]=#REF!)*(Table4[Discipline No.]=#REF!))))</f>
        <v>#REF!</v>
      </c>
    </row>
    <row r="412" spans="1:13" x14ac:dyDescent="0.25">
      <c r="A412" s="76"/>
      <c r="B412" s="119"/>
      <c r="C412" s="9">
        <v>4</v>
      </c>
      <c r="D412" s="73" t="s">
        <v>15</v>
      </c>
      <c r="E412" s="73" t="s">
        <v>215</v>
      </c>
      <c r="F412" s="73"/>
      <c r="G412" s="74" t="s">
        <v>595</v>
      </c>
      <c r="H412" s="3"/>
      <c r="I412" s="3"/>
      <c r="J412" s="3"/>
      <c r="K412" s="3"/>
      <c r="L412" s="3"/>
      <c r="M412" t="e" cm="1">
        <f t="array" ref="M412">TRANSPOSE(_xlfn.UNIQUE(_xlfn._xlws.FILTER(Table4[Discipine Area],(Table4[Discipline No.]=#REF!)*(Table4[Discipline No.]=#REF!))))</f>
        <v>#REF!</v>
      </c>
    </row>
    <row r="413" spans="1:13" x14ac:dyDescent="0.25">
      <c r="A413" s="76"/>
      <c r="B413" s="119"/>
      <c r="C413" s="9">
        <v>1</v>
      </c>
      <c r="D413" s="73" t="s">
        <v>15</v>
      </c>
      <c r="E413" s="73" t="s">
        <v>576</v>
      </c>
      <c r="F413" s="73"/>
      <c r="G413" s="74" t="s">
        <v>596</v>
      </c>
      <c r="H413" s="3"/>
      <c r="I413" s="3"/>
      <c r="J413" s="3"/>
      <c r="K413" s="3"/>
      <c r="L413" s="3"/>
    </row>
    <row r="414" spans="1:13" ht="30" x14ac:dyDescent="0.25">
      <c r="A414" s="76"/>
      <c r="B414" s="119"/>
      <c r="C414" s="9">
        <v>1</v>
      </c>
      <c r="D414" s="73" t="s">
        <v>26</v>
      </c>
      <c r="E414" s="73" t="s">
        <v>576</v>
      </c>
      <c r="F414" s="73"/>
      <c r="G414" s="74" t="s">
        <v>597</v>
      </c>
      <c r="H414" s="3"/>
      <c r="I414" s="3"/>
      <c r="J414" s="3"/>
      <c r="K414" s="3"/>
      <c r="L414" s="3"/>
      <c r="M414" t="e" cm="1">
        <f t="array" ref="M414">TRANSPOSE(_xlfn.UNIQUE(_xlfn._xlws.FILTER(Table4[Discipine Area],(Table4[Discipline No.]=#REF!)*(Table4[Discipline No.]=#REF!))))</f>
        <v>#REF!</v>
      </c>
    </row>
    <row r="415" spans="1:13" ht="30" x14ac:dyDescent="0.25">
      <c r="A415" s="76"/>
      <c r="B415" s="119"/>
      <c r="C415" s="9">
        <v>1</v>
      </c>
      <c r="D415" s="73" t="s">
        <v>26</v>
      </c>
      <c r="E415" s="73" t="s">
        <v>222</v>
      </c>
      <c r="F415" s="73"/>
      <c r="G415" s="74" t="s">
        <v>598</v>
      </c>
      <c r="H415" s="3"/>
      <c r="I415" s="3"/>
      <c r="J415" s="3"/>
      <c r="K415" s="3"/>
      <c r="L415" s="3"/>
      <c r="M415" t="e" cm="1">
        <f t="array" ref="M415">TRANSPOSE(_xlfn.UNIQUE(_xlfn._xlws.FILTER(Table4[Discipine Area],(Table4[Discipline No.]=#REF!)*(Table4[Discipline No.]=#REF!))))</f>
        <v>#REF!</v>
      </c>
    </row>
    <row r="416" spans="1:13" x14ac:dyDescent="0.25">
      <c r="A416" s="76"/>
      <c r="B416" s="119"/>
      <c r="C416" s="9">
        <v>1</v>
      </c>
      <c r="D416" s="73" t="s">
        <v>15</v>
      </c>
      <c r="E416" s="73" t="s">
        <v>575</v>
      </c>
      <c r="F416" s="73"/>
      <c r="G416" s="74" t="s">
        <v>599</v>
      </c>
      <c r="H416" s="3"/>
      <c r="I416" s="3"/>
      <c r="J416" s="3"/>
      <c r="K416" s="3"/>
      <c r="L416" s="3"/>
      <c r="M416" t="e" cm="1" vm="1">
        <f t="array" ref="M416">TRANSPOSE(_xlfn.UNIQUE(_xlfn._xlws.FILTER(Table4[Discipine Area],(Table4[Discipline No.]=C474)*(Table4[Discipline No.]=C474))))</f>
        <v>#VALUE!</v>
      </c>
    </row>
    <row r="417" spans="1:82" ht="15" customHeight="1" x14ac:dyDescent="0.25">
      <c r="A417" s="76"/>
      <c r="B417" s="119"/>
      <c r="C417" s="9">
        <v>8</v>
      </c>
      <c r="D417" s="73" t="s">
        <v>386</v>
      </c>
      <c r="E417" s="73" t="s">
        <v>298</v>
      </c>
      <c r="F417" s="73"/>
      <c r="G417" s="74" t="s">
        <v>600</v>
      </c>
      <c r="H417" s="3"/>
      <c r="I417" s="3"/>
      <c r="J417" s="3"/>
      <c r="K417" s="3"/>
      <c r="L417" s="3"/>
      <c r="M417" t="e" cm="1" vm="1">
        <f t="array" ref="M417">TRANSPOSE(_xlfn.UNIQUE(_xlfn._xlws.FILTER(Table4[Discipine Area],(Table4[Discipline No.]=C475)*(Table4[Discipline No.]=C475))))</f>
        <v>#VALUE!</v>
      </c>
    </row>
    <row r="418" spans="1:82" x14ac:dyDescent="0.25">
      <c r="A418" s="76"/>
      <c r="B418" s="99"/>
      <c r="C418" s="9"/>
      <c r="D418" s="73"/>
      <c r="E418" s="79"/>
      <c r="F418" s="73"/>
      <c r="G418" s="91"/>
      <c r="H418" s="3"/>
      <c r="I418" s="3"/>
      <c r="J418" s="3"/>
      <c r="K418" s="3"/>
      <c r="L418" s="3"/>
      <c r="M418" t="e" cm="1" vm="1">
        <f t="array" ref="M418">TRANSPOSE(_xlfn.UNIQUE(_xlfn._xlws.FILTER(Table4[Discipine Area],(Table4[Discipline No.]=C476)*(Table4[Discipline No.]=C476))))</f>
        <v>#VALUE!</v>
      </c>
    </row>
    <row r="419" spans="1:82" x14ac:dyDescent="0.25">
      <c r="A419" s="76"/>
      <c r="B419" s="99"/>
      <c r="C419" s="9"/>
      <c r="D419" s="73"/>
      <c r="E419" s="73"/>
      <c r="F419" s="73"/>
      <c r="G419" s="88"/>
      <c r="H419" s="3"/>
      <c r="I419" s="3"/>
      <c r="J419" s="3"/>
      <c r="K419" s="3"/>
      <c r="L419" s="3"/>
      <c r="M419" t="e" cm="1" vm="1">
        <f t="array" ref="M419">TRANSPOSE(_xlfn.UNIQUE(_xlfn._xlws.FILTER(Table4[Discipine Area],(Table4[Discipline No.]=C477)*(Table4[Discipline No.]=C477))))</f>
        <v>#VALUE!</v>
      </c>
    </row>
    <row r="420" spans="1:82" x14ac:dyDescent="0.25">
      <c r="A420" s="76"/>
      <c r="B420" s="99"/>
      <c r="C420" s="9"/>
      <c r="D420" s="73"/>
      <c r="E420" s="73"/>
      <c r="F420" s="73"/>
      <c r="G420" s="74"/>
      <c r="H420" s="3"/>
      <c r="I420" s="3"/>
      <c r="J420" s="3"/>
      <c r="K420" s="3"/>
      <c r="L420" s="3"/>
      <c r="M420" t="str" cm="1">
        <f t="array" ref="M420:CD420">TRANSPOSE(_xlfn.UNIQUE(_xlfn._xlws.FILTER(Table4[Discipine Area],(Table4[Discipline No.]=C478)*(Table4[Discipline No.]=C478))))</f>
        <v>SALOON</v>
      </c>
      <c r="N420" t="str">
        <v>Companion door</v>
      </c>
      <c r="O420" t="str">
        <v>Fwd cockpit door</v>
      </c>
      <c r="P420" t="str">
        <v>Windows</v>
      </c>
      <c r="Q420" t="str">
        <v>U shape settee</v>
      </c>
      <c r="R420" t="str">
        <v>Saloon table</v>
      </c>
      <c r="S420" t="str">
        <v>Formica Bulkheads</v>
      </c>
      <c r="T420" t="str">
        <v>Magazine locker/shelf locker</v>
      </c>
      <c r="U420" t="str">
        <v>Vents</v>
      </c>
      <c r="V420" t="str">
        <v>Hullside vinyl panels</v>
      </c>
      <c r="W420" t="str">
        <v>Window blinds</v>
      </c>
      <c r="X420" t="str">
        <v>Nav desk</v>
      </c>
      <c r="Y420" t="str">
        <v>Chart table with storage locker under hinged lid</v>
      </c>
      <c r="Z420" t="str">
        <v>Storage locker under chart table</v>
      </c>
      <c r="AA420" t="str">
        <v xml:space="preserve">AC Outlets </v>
      </c>
      <c r="AB420" t="str">
        <v>Ottoman</v>
      </c>
      <c r="AC420" t="str">
        <v>Galley lockers</v>
      </c>
      <c r="AD420" t="str">
        <v>Stove locker</v>
      </c>
      <c r="AE420" t="str">
        <v>Draw locker</v>
      </c>
      <c r="AF420" t="str">
        <v>Fridge/Freezer locker</v>
      </c>
      <c r="AG420" t="str">
        <v>Microwave locker</v>
      </c>
      <c r="AH420" t="str">
        <v>Tv locker</v>
      </c>
      <c r="AI420" t="str">
        <v>AC/DC locker</v>
      </c>
      <c r="AJ420" t="str">
        <v>Vinyl ceiling</v>
      </c>
      <c r="AK420" t="str">
        <v>Floor</v>
      </c>
      <c r="AL420" t="str">
        <v>Large bowl s/s sink</v>
      </c>
      <c r="AM420" t="str">
        <v>Dish and cutlery drying recess with drainage</v>
      </c>
      <c r="AN420" t="str">
        <v>Cover for drying recess</v>
      </c>
      <c r="AO420" t="str">
        <v xml:space="preserve">Vitrifrigo 2 drawer front-opening fridge/freezer </v>
      </c>
      <c r="AP420" t="str">
        <v>Ice maker</v>
      </c>
      <c r="AQ420" t="str">
        <v>Wine cooler</v>
      </c>
      <c r="AR420" t="str">
        <v>Burner gas hob</v>
      </c>
      <c r="AS420" t="str">
        <v>Gas oven</v>
      </c>
      <c r="AT420" t="str">
        <v>Gas solenoid shut-off valve with control &amp; warning light at cooker</v>
      </c>
      <c r="AU420" t="str">
        <v xml:space="preserve">Formica steps </v>
      </c>
      <c r="AV420" t="str">
        <v>Gas detectors in each hull connected to alarm in saloon</v>
      </c>
      <c r="AW420" t="str">
        <v>Smoke detector/alarm</v>
      </c>
      <c r="AX420" t="str">
        <v>LED overhead lighting</v>
      </c>
      <c r="AY420" t="str">
        <v>CABIN/ STUDY/PASSAGE</v>
      </c>
      <c r="AZ420" t="str">
        <v>Inspection lids</v>
      </c>
      <c r="BA420" t="str">
        <v>Vinyl panels</v>
      </c>
      <c r="BB420" t="str">
        <v>Stairs</v>
      </c>
      <c r="BC420" t="str">
        <v>Bedside table outboard</v>
      </c>
      <c r="BD420" t="str">
        <v>Bedside cave locker inboard</v>
      </c>
      <c r="BE420" t="str">
        <v>Bunktop/Double berth</v>
      </c>
      <c r="BF420" t="str">
        <v>Hanging locker</v>
      </c>
      <c r="BG420" t="str">
        <v>Bunk Drawers</v>
      </c>
      <c r="BH420" t="str">
        <v>Cabin Door</v>
      </c>
      <c r="BI420" t="str">
        <v>Door frames</v>
      </c>
      <c r="BJ420" t="str">
        <v>Fiddles</v>
      </c>
      <c r="BK420" t="str">
        <v>Fan</v>
      </c>
      <c r="BL420" t="str">
        <v>Hatch</v>
      </c>
      <c r="BM420" t="str">
        <v>2 x LED reading lamps over bunk</v>
      </c>
      <c r="BN420" t="str">
        <v>Vanity table/desk with storage locker and mirror under lid</v>
      </c>
      <c r="BO420" t="str">
        <v>Fold up vanity mirror</v>
      </c>
      <c r="BP420" t="str">
        <v>Sliding entrance door with lock</v>
      </c>
      <c r="BQ420" t="str">
        <v>Doors</v>
      </c>
      <c r="BR420" t="str">
        <v>Large mirror behind sliding entrance door</v>
      </c>
      <c r="BS420" t="str">
        <v xml:space="preserve">HEADS </v>
      </c>
      <c r="BT420" t="str">
        <v>Under-basin locker with toilet roll holder</v>
      </c>
      <c r="BU420" t="str">
        <v>Vanity locker with mirror</v>
      </c>
      <c r="BV420" t="str">
        <v>Double towel rail</v>
      </c>
      <c r="BW420" t="str">
        <v>Sliding or hinged heads door</v>
      </c>
      <c r="BX420" t="str">
        <v>Washing machine locker</v>
      </c>
      <c r="BY420" t="str">
        <v>Dedicated trashcan locker</v>
      </c>
      <c r="BZ420" t="str">
        <v>Coat hook</v>
      </c>
      <c r="CA420" t="str">
        <v>Waste tank</v>
      </c>
      <c r="CB420" t="str">
        <v>Forepeak panel</v>
      </c>
      <c r="CC420" t="str">
        <v>Portlight with roller blind</v>
      </c>
      <c r="CD420" t="str">
        <v>Overhead roller blinds for privacy</v>
      </c>
    </row>
    <row r="421" spans="1:82" ht="15" customHeight="1" x14ac:dyDescent="0.25">
      <c r="A421" s="76"/>
      <c r="B421" s="99"/>
      <c r="C421" s="76"/>
      <c r="D421" s="74"/>
      <c r="E421" s="3"/>
      <c r="F421" s="73"/>
      <c r="G421" s="75"/>
      <c r="H421" s="3"/>
      <c r="I421" s="3"/>
      <c r="J421" s="3"/>
      <c r="K421" s="3"/>
      <c r="L421" s="3"/>
      <c r="M421" t="str" cm="1">
        <f t="array" ref="M421:CD421">TRANSPOSE(_xlfn.UNIQUE(_xlfn._xlws.FILTER(Table4[Discipine Area],(Table4[Discipline No.]=C479)*(Table4[Discipline No.]=C479))))</f>
        <v>SALOON</v>
      </c>
      <c r="N421" t="str">
        <v>Companion door</v>
      </c>
      <c r="O421" t="str">
        <v>Fwd cockpit door</v>
      </c>
      <c r="P421" t="str">
        <v>Windows</v>
      </c>
      <c r="Q421" t="str">
        <v>U shape settee</v>
      </c>
      <c r="R421" t="str">
        <v>Saloon table</v>
      </c>
      <c r="S421" t="str">
        <v>Formica Bulkheads</v>
      </c>
      <c r="T421" t="str">
        <v>Magazine locker/shelf locker</v>
      </c>
      <c r="U421" t="str">
        <v>Vents</v>
      </c>
      <c r="V421" t="str">
        <v>Hullside vinyl panels</v>
      </c>
      <c r="W421" t="str">
        <v>Window blinds</v>
      </c>
      <c r="X421" t="str">
        <v>Nav desk</v>
      </c>
      <c r="Y421" t="str">
        <v>Chart table with storage locker under hinged lid</v>
      </c>
      <c r="Z421" t="str">
        <v>Storage locker under chart table</v>
      </c>
      <c r="AA421" t="str">
        <v xml:space="preserve">AC Outlets </v>
      </c>
      <c r="AB421" t="str">
        <v>Ottoman</v>
      </c>
      <c r="AC421" t="str">
        <v>Galley lockers</v>
      </c>
      <c r="AD421" t="str">
        <v>Stove locker</v>
      </c>
      <c r="AE421" t="str">
        <v>Draw locker</v>
      </c>
      <c r="AF421" t="str">
        <v>Fridge/Freezer locker</v>
      </c>
      <c r="AG421" t="str">
        <v>Microwave locker</v>
      </c>
      <c r="AH421" t="str">
        <v>Tv locker</v>
      </c>
      <c r="AI421" t="str">
        <v>AC/DC locker</v>
      </c>
      <c r="AJ421" t="str">
        <v>Vinyl ceiling</v>
      </c>
      <c r="AK421" t="str">
        <v>Floor</v>
      </c>
      <c r="AL421" t="str">
        <v>Large bowl s/s sink</v>
      </c>
      <c r="AM421" t="str">
        <v>Dish and cutlery drying recess with drainage</v>
      </c>
      <c r="AN421" t="str">
        <v>Cover for drying recess</v>
      </c>
      <c r="AO421" t="str">
        <v xml:space="preserve">Vitrifrigo 2 drawer front-opening fridge/freezer </v>
      </c>
      <c r="AP421" t="str">
        <v>Ice maker</v>
      </c>
      <c r="AQ421" t="str">
        <v>Wine cooler</v>
      </c>
      <c r="AR421" t="str">
        <v>Burner gas hob</v>
      </c>
      <c r="AS421" t="str">
        <v>Gas oven</v>
      </c>
      <c r="AT421" t="str">
        <v>Gas solenoid shut-off valve with control &amp; warning light at cooker</v>
      </c>
      <c r="AU421" t="str">
        <v xml:space="preserve">Formica steps </v>
      </c>
      <c r="AV421" t="str">
        <v>Gas detectors in each hull connected to alarm in saloon</v>
      </c>
      <c r="AW421" t="str">
        <v>Smoke detector/alarm</v>
      </c>
      <c r="AX421" t="str">
        <v>LED overhead lighting</v>
      </c>
      <c r="AY421" t="str">
        <v>CABIN/ STUDY/PASSAGE</v>
      </c>
      <c r="AZ421" t="str">
        <v>Inspection lids</v>
      </c>
      <c r="BA421" t="str">
        <v>Vinyl panels</v>
      </c>
      <c r="BB421" t="str">
        <v>Stairs</v>
      </c>
      <c r="BC421" t="str">
        <v>Bedside table outboard</v>
      </c>
      <c r="BD421" t="str">
        <v>Bedside cave locker inboard</v>
      </c>
      <c r="BE421" t="str">
        <v>Bunktop/Double berth</v>
      </c>
      <c r="BF421" t="str">
        <v>Hanging locker</v>
      </c>
      <c r="BG421" t="str">
        <v>Bunk Drawers</v>
      </c>
      <c r="BH421" t="str">
        <v>Cabin Door</v>
      </c>
      <c r="BI421" t="str">
        <v>Door frames</v>
      </c>
      <c r="BJ421" t="str">
        <v>Fiddles</v>
      </c>
      <c r="BK421" t="str">
        <v>Fan</v>
      </c>
      <c r="BL421" t="str">
        <v>Hatch</v>
      </c>
      <c r="BM421" t="str">
        <v>2 x LED reading lamps over bunk</v>
      </c>
      <c r="BN421" t="str">
        <v>Vanity table/desk with storage locker and mirror under lid</v>
      </c>
      <c r="BO421" t="str">
        <v>Fold up vanity mirror</v>
      </c>
      <c r="BP421" t="str">
        <v>Sliding entrance door with lock</v>
      </c>
      <c r="BQ421" t="str">
        <v>Doors</v>
      </c>
      <c r="BR421" t="str">
        <v>Large mirror behind sliding entrance door</v>
      </c>
      <c r="BS421" t="str">
        <v xml:space="preserve">HEADS </v>
      </c>
      <c r="BT421" t="str">
        <v>Under-basin locker with toilet roll holder</v>
      </c>
      <c r="BU421" t="str">
        <v>Vanity locker with mirror</v>
      </c>
      <c r="BV421" t="str">
        <v>Double towel rail</v>
      </c>
      <c r="BW421" t="str">
        <v>Sliding or hinged heads door</v>
      </c>
      <c r="BX421" t="str">
        <v>Washing machine locker</v>
      </c>
      <c r="BY421" t="str">
        <v>Dedicated trashcan locker</v>
      </c>
      <c r="BZ421" t="str">
        <v>Coat hook</v>
      </c>
      <c r="CA421" t="str">
        <v>Waste tank</v>
      </c>
      <c r="CB421" t="str">
        <v>Forepeak panel</v>
      </c>
      <c r="CC421" t="str">
        <v>Portlight with roller blind</v>
      </c>
      <c r="CD421" t="str">
        <v>Overhead roller blinds for privacy</v>
      </c>
    </row>
    <row r="422" spans="1:82" ht="15" customHeight="1" x14ac:dyDescent="0.25">
      <c r="A422" s="76"/>
      <c r="B422" s="97"/>
      <c r="C422" s="76"/>
      <c r="D422" s="3"/>
      <c r="E422" s="3"/>
      <c r="F422" s="73"/>
      <c r="G422" s="75"/>
      <c r="H422" s="3"/>
      <c r="I422" s="3"/>
      <c r="J422" s="3"/>
      <c r="K422" s="3"/>
      <c r="L422" s="3"/>
      <c r="M422" t="str" cm="1">
        <f t="array" ref="M422:CD422">TRANSPOSE(_xlfn.UNIQUE(_xlfn._xlws.FILTER(Table4[Discipine Area],(Table4[Discipline No.]=C480)*(Table4[Discipline No.]=C480))))</f>
        <v>SALOON</v>
      </c>
      <c r="N422" t="str">
        <v>Companion door</v>
      </c>
      <c r="O422" t="str">
        <v>Fwd cockpit door</v>
      </c>
      <c r="P422" t="str">
        <v>Windows</v>
      </c>
      <c r="Q422" t="str">
        <v>U shape settee</v>
      </c>
      <c r="R422" t="str">
        <v>Saloon table</v>
      </c>
      <c r="S422" t="str">
        <v>Formica Bulkheads</v>
      </c>
      <c r="T422" t="str">
        <v>Magazine locker/shelf locker</v>
      </c>
      <c r="U422" t="str">
        <v>Vents</v>
      </c>
      <c r="V422" t="str">
        <v>Hullside vinyl panels</v>
      </c>
      <c r="W422" t="str">
        <v>Window blinds</v>
      </c>
      <c r="X422" t="str">
        <v>Nav desk</v>
      </c>
      <c r="Y422" t="str">
        <v>Chart table with storage locker under hinged lid</v>
      </c>
      <c r="Z422" t="str">
        <v>Storage locker under chart table</v>
      </c>
      <c r="AA422" t="str">
        <v xml:space="preserve">AC Outlets </v>
      </c>
      <c r="AB422" t="str">
        <v>Ottoman</v>
      </c>
      <c r="AC422" t="str">
        <v>Galley lockers</v>
      </c>
      <c r="AD422" t="str">
        <v>Stove locker</v>
      </c>
      <c r="AE422" t="str">
        <v>Draw locker</v>
      </c>
      <c r="AF422" t="str">
        <v>Fridge/Freezer locker</v>
      </c>
      <c r="AG422" t="str">
        <v>Microwave locker</v>
      </c>
      <c r="AH422" t="str">
        <v>Tv locker</v>
      </c>
      <c r="AI422" t="str">
        <v>AC/DC locker</v>
      </c>
      <c r="AJ422" t="str">
        <v>Vinyl ceiling</v>
      </c>
      <c r="AK422" t="str">
        <v>Floor</v>
      </c>
      <c r="AL422" t="str">
        <v>Large bowl s/s sink</v>
      </c>
      <c r="AM422" t="str">
        <v>Dish and cutlery drying recess with drainage</v>
      </c>
      <c r="AN422" t="str">
        <v>Cover for drying recess</v>
      </c>
      <c r="AO422" t="str">
        <v xml:space="preserve">Vitrifrigo 2 drawer front-opening fridge/freezer </v>
      </c>
      <c r="AP422" t="str">
        <v>Ice maker</v>
      </c>
      <c r="AQ422" t="str">
        <v>Wine cooler</v>
      </c>
      <c r="AR422" t="str">
        <v>Burner gas hob</v>
      </c>
      <c r="AS422" t="str">
        <v>Gas oven</v>
      </c>
      <c r="AT422" t="str">
        <v>Gas solenoid shut-off valve with control &amp; warning light at cooker</v>
      </c>
      <c r="AU422" t="str">
        <v xml:space="preserve">Formica steps </v>
      </c>
      <c r="AV422" t="str">
        <v>Gas detectors in each hull connected to alarm in saloon</v>
      </c>
      <c r="AW422" t="str">
        <v>Smoke detector/alarm</v>
      </c>
      <c r="AX422" t="str">
        <v>LED overhead lighting</v>
      </c>
      <c r="AY422" t="str">
        <v>CABIN/ STUDY/PASSAGE</v>
      </c>
      <c r="AZ422" t="str">
        <v>Inspection lids</v>
      </c>
      <c r="BA422" t="str">
        <v>Vinyl panels</v>
      </c>
      <c r="BB422" t="str">
        <v>Stairs</v>
      </c>
      <c r="BC422" t="str">
        <v>Bedside table outboard</v>
      </c>
      <c r="BD422" t="str">
        <v>Bedside cave locker inboard</v>
      </c>
      <c r="BE422" t="str">
        <v>Bunktop/Double berth</v>
      </c>
      <c r="BF422" t="str">
        <v>Hanging locker</v>
      </c>
      <c r="BG422" t="str">
        <v>Bunk Drawers</v>
      </c>
      <c r="BH422" t="str">
        <v>Cabin Door</v>
      </c>
      <c r="BI422" t="str">
        <v>Door frames</v>
      </c>
      <c r="BJ422" t="str">
        <v>Fiddles</v>
      </c>
      <c r="BK422" t="str">
        <v>Fan</v>
      </c>
      <c r="BL422" t="str">
        <v>Hatch</v>
      </c>
      <c r="BM422" t="str">
        <v>2 x LED reading lamps over bunk</v>
      </c>
      <c r="BN422" t="str">
        <v>Vanity table/desk with storage locker and mirror under lid</v>
      </c>
      <c r="BO422" t="str">
        <v>Fold up vanity mirror</v>
      </c>
      <c r="BP422" t="str">
        <v>Sliding entrance door with lock</v>
      </c>
      <c r="BQ422" t="str">
        <v>Doors</v>
      </c>
      <c r="BR422" t="str">
        <v>Large mirror behind sliding entrance door</v>
      </c>
      <c r="BS422" t="str">
        <v xml:space="preserve">HEADS </v>
      </c>
      <c r="BT422" t="str">
        <v>Under-basin locker with toilet roll holder</v>
      </c>
      <c r="BU422" t="str">
        <v>Vanity locker with mirror</v>
      </c>
      <c r="BV422" t="str">
        <v>Double towel rail</v>
      </c>
      <c r="BW422" t="str">
        <v>Sliding or hinged heads door</v>
      </c>
      <c r="BX422" t="str">
        <v>Washing machine locker</v>
      </c>
      <c r="BY422" t="str">
        <v>Dedicated trashcan locker</v>
      </c>
      <c r="BZ422" t="str">
        <v>Coat hook</v>
      </c>
      <c r="CA422" t="str">
        <v>Waste tank</v>
      </c>
      <c r="CB422" t="str">
        <v>Forepeak panel</v>
      </c>
      <c r="CC422" t="str">
        <v>Portlight with roller blind</v>
      </c>
      <c r="CD422" t="str">
        <v>Overhead roller blinds for privacy</v>
      </c>
    </row>
    <row r="423" spans="1:82" ht="15" customHeight="1" x14ac:dyDescent="0.25">
      <c r="A423" s="76"/>
      <c r="B423" s="97"/>
      <c r="C423" s="76"/>
      <c r="D423" s="3"/>
      <c r="E423" s="3"/>
      <c r="F423" s="73"/>
      <c r="G423" s="75"/>
      <c r="H423" s="3"/>
      <c r="I423" s="3"/>
      <c r="J423" s="3"/>
      <c r="K423" s="3"/>
      <c r="L423" s="3"/>
      <c r="M423" t="str" cm="1">
        <f t="array" ref="M423:AZ423">TRANSPOSE(_xlfn.UNIQUE(_xlfn._xlws.FILTER(Table4[Discipine Area],(Table4[Discipline No.]=C481)*(Table4[Discipline No.]=C481))))</f>
        <v>Exterior</v>
      </c>
      <c r="N423" t="str">
        <v>Fwd area</v>
      </c>
      <c r="O423" t="str">
        <v>Midship area</v>
      </c>
      <c r="P423" t="str">
        <v>Aft area</v>
      </c>
      <c r="Q423" t="str">
        <v>window surround</v>
      </c>
      <c r="R423" t="str">
        <v>Bows</v>
      </c>
      <c r="S423" t="str">
        <v>fwd deck steps</v>
      </c>
      <c r="T423" t="str">
        <v>Deck flange</v>
      </c>
      <c r="U423" t="str">
        <v>Waterchannel</v>
      </c>
      <c r="V423" t="str">
        <v>Helmstation</v>
      </c>
      <c r="W423" t="str">
        <v>window module</v>
      </c>
      <c r="X423" t="str">
        <v>deck Join</v>
      </c>
      <c r="Y423" t="str">
        <v>side deck step</v>
      </c>
      <c r="Z423" t="str">
        <v>Bimini</v>
      </c>
      <c r="AA423" t="str">
        <v>Helmstation steps</v>
      </c>
      <c r="AB423" t="str">
        <v>toe rail</v>
      </c>
      <c r="AC423" t="str">
        <v>Inboard liner</v>
      </c>
      <c r="AD423" t="str">
        <v>Settee</v>
      </c>
      <c r="AE423" t="str">
        <v>Transom</v>
      </c>
      <c r="AF423" t="str">
        <v>Floating step</v>
      </c>
      <c r="AG423" t="str">
        <v>Locker lids</v>
      </c>
      <c r="AH423" t="str">
        <v>Table</v>
      </c>
      <c r="AI423" t="str">
        <v>Ceiling</v>
      </c>
      <c r="AJ423" t="str">
        <v>Targawing</v>
      </c>
      <c r="AK423" t="str">
        <v>Eyebrow</v>
      </c>
      <c r="AL423" t="str">
        <v>Decklid</v>
      </c>
      <c r="AM423" t="str">
        <v>Skylight</v>
      </c>
      <c r="AN423" t="str">
        <v>Floor</v>
      </c>
      <c r="AO423" t="str">
        <v>Flybridge steps</v>
      </c>
      <c r="AP423" t="str">
        <v>INTERIOR</v>
      </c>
      <c r="AQ423" t="str">
        <v>Stowage space under floorboards</v>
      </c>
      <c r="AR423" t="str">
        <v>Door surround</v>
      </c>
      <c r="AS423" t="str">
        <v>Staircase</v>
      </c>
      <c r="AT423" t="str">
        <v>Plinth/Skirting</v>
      </c>
      <c r="AU423" t="str">
        <v>Ceiling Liner</v>
      </c>
      <c r="AV423" t="str">
        <v>BBQ Locker</v>
      </c>
      <c r="AW423" t="str">
        <v>Bunk Liners</v>
      </c>
      <c r="AX423" t="str">
        <v>Basin module</v>
      </c>
      <c r="AY423" t="str">
        <v>Shower bulkhead module</v>
      </c>
      <c r="AZ423" t="str">
        <v>Heads bulkhead module</v>
      </c>
    </row>
    <row r="424" spans="1:82" ht="15" customHeight="1" x14ac:dyDescent="0.25">
      <c r="A424" s="76"/>
      <c r="B424" s="97"/>
      <c r="C424" s="76"/>
      <c r="D424" s="3"/>
      <c r="E424" s="3"/>
      <c r="F424" s="73"/>
      <c r="G424" s="75"/>
      <c r="H424" s="3"/>
      <c r="I424" s="3"/>
      <c r="J424" s="3"/>
      <c r="K424" s="3"/>
      <c r="L424" s="3"/>
      <c r="M424" t="str" cm="1">
        <f t="array" ref="M424:CD424">TRANSPOSE(_xlfn.UNIQUE(_xlfn._xlws.FILTER(Table4[Discipine Area],(Table4[Discipline No.]=C482)*(Table4[Discipline No.]=C482))))</f>
        <v>SALOON</v>
      </c>
      <c r="N424" t="str">
        <v>Companion door</v>
      </c>
      <c r="O424" t="str">
        <v>Fwd cockpit door</v>
      </c>
      <c r="P424" t="str">
        <v>Windows</v>
      </c>
      <c r="Q424" t="str">
        <v>U shape settee</v>
      </c>
      <c r="R424" t="str">
        <v>Saloon table</v>
      </c>
      <c r="S424" t="str">
        <v>Formica Bulkheads</v>
      </c>
      <c r="T424" t="str">
        <v>Magazine locker/shelf locker</v>
      </c>
      <c r="U424" t="str">
        <v>Vents</v>
      </c>
      <c r="V424" t="str">
        <v>Hullside vinyl panels</v>
      </c>
      <c r="W424" t="str">
        <v>Window blinds</v>
      </c>
      <c r="X424" t="str">
        <v>Nav desk</v>
      </c>
      <c r="Y424" t="str">
        <v>Chart table with storage locker under hinged lid</v>
      </c>
      <c r="Z424" t="str">
        <v>Storage locker under chart table</v>
      </c>
      <c r="AA424" t="str">
        <v xml:space="preserve">AC Outlets </v>
      </c>
      <c r="AB424" t="str">
        <v>Ottoman</v>
      </c>
      <c r="AC424" t="str">
        <v>Galley lockers</v>
      </c>
      <c r="AD424" t="str">
        <v>Stove locker</v>
      </c>
      <c r="AE424" t="str">
        <v>Draw locker</v>
      </c>
      <c r="AF424" t="str">
        <v>Fridge/Freezer locker</v>
      </c>
      <c r="AG424" t="str">
        <v>Microwave locker</v>
      </c>
      <c r="AH424" t="str">
        <v>Tv locker</v>
      </c>
      <c r="AI424" t="str">
        <v>AC/DC locker</v>
      </c>
      <c r="AJ424" t="str">
        <v>Vinyl ceiling</v>
      </c>
      <c r="AK424" t="str">
        <v>Floor</v>
      </c>
      <c r="AL424" t="str">
        <v>Large bowl s/s sink</v>
      </c>
      <c r="AM424" t="str">
        <v>Dish and cutlery drying recess with drainage</v>
      </c>
      <c r="AN424" t="str">
        <v>Cover for drying recess</v>
      </c>
      <c r="AO424" t="str">
        <v xml:space="preserve">Vitrifrigo 2 drawer front-opening fridge/freezer </v>
      </c>
      <c r="AP424" t="str">
        <v>Ice maker</v>
      </c>
      <c r="AQ424" t="str">
        <v>Wine cooler</v>
      </c>
      <c r="AR424" t="str">
        <v>Burner gas hob</v>
      </c>
      <c r="AS424" t="str">
        <v>Gas oven</v>
      </c>
      <c r="AT424" t="str">
        <v>Gas solenoid shut-off valve with control &amp; warning light at cooker</v>
      </c>
      <c r="AU424" t="str">
        <v xml:space="preserve">Formica steps </v>
      </c>
      <c r="AV424" t="str">
        <v>Gas detectors in each hull connected to alarm in saloon</v>
      </c>
      <c r="AW424" t="str">
        <v>Smoke detector/alarm</v>
      </c>
      <c r="AX424" t="str">
        <v>LED overhead lighting</v>
      </c>
      <c r="AY424" t="str">
        <v>CABIN/ STUDY/PASSAGE</v>
      </c>
      <c r="AZ424" t="str">
        <v>Inspection lids</v>
      </c>
      <c r="BA424" t="str">
        <v>Vinyl panels</v>
      </c>
      <c r="BB424" t="str">
        <v>Stairs</v>
      </c>
      <c r="BC424" t="str">
        <v>Bedside table outboard</v>
      </c>
      <c r="BD424" t="str">
        <v>Bedside cave locker inboard</v>
      </c>
      <c r="BE424" t="str">
        <v>Bunktop/Double berth</v>
      </c>
      <c r="BF424" t="str">
        <v>Hanging locker</v>
      </c>
      <c r="BG424" t="str">
        <v>Bunk Drawers</v>
      </c>
      <c r="BH424" t="str">
        <v>Cabin Door</v>
      </c>
      <c r="BI424" t="str">
        <v>Door frames</v>
      </c>
      <c r="BJ424" t="str">
        <v>Fiddles</v>
      </c>
      <c r="BK424" t="str">
        <v>Fan</v>
      </c>
      <c r="BL424" t="str">
        <v>Hatch</v>
      </c>
      <c r="BM424" t="str">
        <v>2 x LED reading lamps over bunk</v>
      </c>
      <c r="BN424" t="str">
        <v>Vanity table/desk with storage locker and mirror under lid</v>
      </c>
      <c r="BO424" t="str">
        <v>Fold up vanity mirror</v>
      </c>
      <c r="BP424" t="str">
        <v>Sliding entrance door with lock</v>
      </c>
      <c r="BQ424" t="str">
        <v>Doors</v>
      </c>
      <c r="BR424" t="str">
        <v>Large mirror behind sliding entrance door</v>
      </c>
      <c r="BS424" t="str">
        <v xml:space="preserve">HEADS </v>
      </c>
      <c r="BT424" t="str">
        <v>Under-basin locker with toilet roll holder</v>
      </c>
      <c r="BU424" t="str">
        <v>Vanity locker with mirror</v>
      </c>
      <c r="BV424" t="str">
        <v>Double towel rail</v>
      </c>
      <c r="BW424" t="str">
        <v>Sliding or hinged heads door</v>
      </c>
      <c r="BX424" t="str">
        <v>Washing machine locker</v>
      </c>
      <c r="BY424" t="str">
        <v>Dedicated trashcan locker</v>
      </c>
      <c r="BZ424" t="str">
        <v>Coat hook</v>
      </c>
      <c r="CA424" t="str">
        <v>Waste tank</v>
      </c>
      <c r="CB424" t="str">
        <v>Forepeak panel</v>
      </c>
      <c r="CC424" t="str">
        <v>Portlight with roller blind</v>
      </c>
      <c r="CD424" t="str">
        <v>Overhead roller blinds for privacy</v>
      </c>
    </row>
    <row r="425" spans="1:82" ht="15" customHeight="1" x14ac:dyDescent="0.25">
      <c r="A425" s="76"/>
      <c r="B425" s="97"/>
      <c r="C425" s="76"/>
      <c r="D425" s="3"/>
      <c r="E425" s="3"/>
      <c r="F425" s="73"/>
      <c r="G425" s="75"/>
      <c r="H425" s="3"/>
      <c r="I425" s="3"/>
      <c r="J425" s="3"/>
      <c r="K425" s="3"/>
      <c r="L425" s="3"/>
      <c r="M425" t="str" cm="1">
        <f t="array" ref="M425:CD425">TRANSPOSE(_xlfn.UNIQUE(_xlfn._xlws.FILTER(Table4[Discipine Area],(Table4[Discipline No.]=C483)*(Table4[Discipline No.]=C483))))</f>
        <v>SALOON</v>
      </c>
      <c r="N425" t="str">
        <v>Companion door</v>
      </c>
      <c r="O425" t="str">
        <v>Fwd cockpit door</v>
      </c>
      <c r="P425" t="str">
        <v>Windows</v>
      </c>
      <c r="Q425" t="str">
        <v>U shape settee</v>
      </c>
      <c r="R425" t="str">
        <v>Saloon table</v>
      </c>
      <c r="S425" t="str">
        <v>Formica Bulkheads</v>
      </c>
      <c r="T425" t="str">
        <v>Magazine locker/shelf locker</v>
      </c>
      <c r="U425" t="str">
        <v>Vents</v>
      </c>
      <c r="V425" t="str">
        <v>Hullside vinyl panels</v>
      </c>
      <c r="W425" t="str">
        <v>Window blinds</v>
      </c>
      <c r="X425" t="str">
        <v>Nav desk</v>
      </c>
      <c r="Y425" t="str">
        <v>Chart table with storage locker under hinged lid</v>
      </c>
      <c r="Z425" t="str">
        <v>Storage locker under chart table</v>
      </c>
      <c r="AA425" t="str">
        <v xml:space="preserve">AC Outlets </v>
      </c>
      <c r="AB425" t="str">
        <v>Ottoman</v>
      </c>
      <c r="AC425" t="str">
        <v>Galley lockers</v>
      </c>
      <c r="AD425" t="str">
        <v>Stove locker</v>
      </c>
      <c r="AE425" t="str">
        <v>Draw locker</v>
      </c>
      <c r="AF425" t="str">
        <v>Fridge/Freezer locker</v>
      </c>
      <c r="AG425" t="str">
        <v>Microwave locker</v>
      </c>
      <c r="AH425" t="str">
        <v>Tv locker</v>
      </c>
      <c r="AI425" t="str">
        <v>AC/DC locker</v>
      </c>
      <c r="AJ425" t="str">
        <v>Vinyl ceiling</v>
      </c>
      <c r="AK425" t="str">
        <v>Floor</v>
      </c>
      <c r="AL425" t="str">
        <v>Large bowl s/s sink</v>
      </c>
      <c r="AM425" t="str">
        <v>Dish and cutlery drying recess with drainage</v>
      </c>
      <c r="AN425" t="str">
        <v>Cover for drying recess</v>
      </c>
      <c r="AO425" t="str">
        <v xml:space="preserve">Vitrifrigo 2 drawer front-opening fridge/freezer </v>
      </c>
      <c r="AP425" t="str">
        <v>Ice maker</v>
      </c>
      <c r="AQ425" t="str">
        <v>Wine cooler</v>
      </c>
      <c r="AR425" t="str">
        <v>Burner gas hob</v>
      </c>
      <c r="AS425" t="str">
        <v>Gas oven</v>
      </c>
      <c r="AT425" t="str">
        <v>Gas solenoid shut-off valve with control &amp; warning light at cooker</v>
      </c>
      <c r="AU425" t="str">
        <v xml:space="preserve">Formica steps </v>
      </c>
      <c r="AV425" t="str">
        <v>Gas detectors in each hull connected to alarm in saloon</v>
      </c>
      <c r="AW425" t="str">
        <v>Smoke detector/alarm</v>
      </c>
      <c r="AX425" t="str">
        <v>LED overhead lighting</v>
      </c>
      <c r="AY425" t="str">
        <v>CABIN/ STUDY/PASSAGE</v>
      </c>
      <c r="AZ425" t="str">
        <v>Inspection lids</v>
      </c>
      <c r="BA425" t="str">
        <v>Vinyl panels</v>
      </c>
      <c r="BB425" t="str">
        <v>Stairs</v>
      </c>
      <c r="BC425" t="str">
        <v>Bedside table outboard</v>
      </c>
      <c r="BD425" t="str">
        <v>Bedside cave locker inboard</v>
      </c>
      <c r="BE425" t="str">
        <v>Bunktop/Double berth</v>
      </c>
      <c r="BF425" t="str">
        <v>Hanging locker</v>
      </c>
      <c r="BG425" t="str">
        <v>Bunk Drawers</v>
      </c>
      <c r="BH425" t="str">
        <v>Cabin Door</v>
      </c>
      <c r="BI425" t="str">
        <v>Door frames</v>
      </c>
      <c r="BJ425" t="str">
        <v>Fiddles</v>
      </c>
      <c r="BK425" t="str">
        <v>Fan</v>
      </c>
      <c r="BL425" t="str">
        <v>Hatch</v>
      </c>
      <c r="BM425" t="str">
        <v>2 x LED reading lamps over bunk</v>
      </c>
      <c r="BN425" t="str">
        <v>Vanity table/desk with storage locker and mirror under lid</v>
      </c>
      <c r="BO425" t="str">
        <v>Fold up vanity mirror</v>
      </c>
      <c r="BP425" t="str">
        <v>Sliding entrance door with lock</v>
      </c>
      <c r="BQ425" t="str">
        <v>Doors</v>
      </c>
      <c r="BR425" t="str">
        <v>Large mirror behind sliding entrance door</v>
      </c>
      <c r="BS425" t="str">
        <v xml:space="preserve">HEADS </v>
      </c>
      <c r="BT425" t="str">
        <v>Under-basin locker with toilet roll holder</v>
      </c>
      <c r="BU425" t="str">
        <v>Vanity locker with mirror</v>
      </c>
      <c r="BV425" t="str">
        <v>Double towel rail</v>
      </c>
      <c r="BW425" t="str">
        <v>Sliding or hinged heads door</v>
      </c>
      <c r="BX425" t="str">
        <v>Washing machine locker</v>
      </c>
      <c r="BY425" t="str">
        <v>Dedicated trashcan locker</v>
      </c>
      <c r="BZ425" t="str">
        <v>Coat hook</v>
      </c>
      <c r="CA425" t="str">
        <v>Waste tank</v>
      </c>
      <c r="CB425" t="str">
        <v>Forepeak panel</v>
      </c>
      <c r="CC425" t="str">
        <v>Portlight with roller blind</v>
      </c>
      <c r="CD425" t="str">
        <v>Overhead roller blinds for privacy</v>
      </c>
    </row>
    <row r="426" spans="1:82" ht="15" customHeight="1" x14ac:dyDescent="0.25">
      <c r="A426" s="76"/>
      <c r="B426" s="97"/>
      <c r="C426" s="76"/>
      <c r="D426" s="3"/>
      <c r="E426" s="3"/>
      <c r="F426" s="73"/>
      <c r="G426" s="75"/>
      <c r="H426" s="3"/>
      <c r="I426" s="3"/>
      <c r="J426" s="3"/>
      <c r="K426" s="3"/>
      <c r="L426" s="3"/>
      <c r="M426" t="str" cm="1">
        <f t="array" ref="M426:AZ426">TRANSPOSE(_xlfn.UNIQUE(_xlfn._xlws.FILTER(Table4[Discipine Area],(Table4[Discipline No.]=C484)*(Table4[Discipline No.]=C484))))</f>
        <v>Exterior</v>
      </c>
      <c r="N426" t="str">
        <v>Fwd area</v>
      </c>
      <c r="O426" t="str">
        <v>Midship area</v>
      </c>
      <c r="P426" t="str">
        <v>Aft area</v>
      </c>
      <c r="Q426" t="str">
        <v>window surround</v>
      </c>
      <c r="R426" t="str">
        <v>Bows</v>
      </c>
      <c r="S426" t="str">
        <v>fwd deck steps</v>
      </c>
      <c r="T426" t="str">
        <v>Deck flange</v>
      </c>
      <c r="U426" t="str">
        <v>Waterchannel</v>
      </c>
      <c r="V426" t="str">
        <v>Helmstation</v>
      </c>
      <c r="W426" t="str">
        <v>window module</v>
      </c>
      <c r="X426" t="str">
        <v>deck Join</v>
      </c>
      <c r="Y426" t="str">
        <v>side deck step</v>
      </c>
      <c r="Z426" t="str">
        <v>Bimini</v>
      </c>
      <c r="AA426" t="str">
        <v>Helmstation steps</v>
      </c>
      <c r="AB426" t="str">
        <v>toe rail</v>
      </c>
      <c r="AC426" t="str">
        <v>Inboard liner</v>
      </c>
      <c r="AD426" t="str">
        <v>Settee</v>
      </c>
      <c r="AE426" t="str">
        <v>Transom</v>
      </c>
      <c r="AF426" t="str">
        <v>Floating step</v>
      </c>
      <c r="AG426" t="str">
        <v>Locker lids</v>
      </c>
      <c r="AH426" t="str">
        <v>Table</v>
      </c>
      <c r="AI426" t="str">
        <v>Ceiling</v>
      </c>
      <c r="AJ426" t="str">
        <v>Targawing</v>
      </c>
      <c r="AK426" t="str">
        <v>Eyebrow</v>
      </c>
      <c r="AL426" t="str">
        <v>Decklid</v>
      </c>
      <c r="AM426" t="str">
        <v>Skylight</v>
      </c>
      <c r="AN426" t="str">
        <v>Floor</v>
      </c>
      <c r="AO426" t="str">
        <v>Flybridge steps</v>
      </c>
      <c r="AP426" t="str">
        <v>INTERIOR</v>
      </c>
      <c r="AQ426" t="str">
        <v>Stowage space under floorboards</v>
      </c>
      <c r="AR426" t="str">
        <v>Door surround</v>
      </c>
      <c r="AS426" t="str">
        <v>Staircase</v>
      </c>
      <c r="AT426" t="str">
        <v>Plinth/Skirting</v>
      </c>
      <c r="AU426" t="str">
        <v>Ceiling Liner</v>
      </c>
      <c r="AV426" t="str">
        <v>BBQ Locker</v>
      </c>
      <c r="AW426" t="str">
        <v>Bunk Liners</v>
      </c>
      <c r="AX426" t="str">
        <v>Basin module</v>
      </c>
      <c r="AY426" t="str">
        <v>Shower bulkhead module</v>
      </c>
      <c r="AZ426" t="str">
        <v>Heads bulkhead module</v>
      </c>
    </row>
    <row r="427" spans="1:82" ht="15" customHeight="1" x14ac:dyDescent="0.25">
      <c r="A427" s="76"/>
      <c r="B427" s="97"/>
      <c r="C427" s="76"/>
      <c r="D427" s="3"/>
      <c r="E427" s="3"/>
      <c r="F427" s="73"/>
      <c r="G427" s="75"/>
      <c r="H427" s="3"/>
      <c r="I427" s="3"/>
      <c r="J427" s="3"/>
      <c r="K427" s="3"/>
      <c r="L427" s="3"/>
      <c r="M427" t="str" cm="1">
        <f t="array" ref="M427:CD427">TRANSPOSE(_xlfn.UNIQUE(_xlfn._xlws.FILTER(Table4[Discipine Area],(Table4[Discipline No.]=C485)*(Table4[Discipline No.]=C485))))</f>
        <v>SALOON</v>
      </c>
      <c r="N427" t="str">
        <v>Companion door</v>
      </c>
      <c r="O427" t="str">
        <v>Fwd cockpit door</v>
      </c>
      <c r="P427" t="str">
        <v>Windows</v>
      </c>
      <c r="Q427" t="str">
        <v>U shape settee</v>
      </c>
      <c r="R427" t="str">
        <v>Saloon table</v>
      </c>
      <c r="S427" t="str">
        <v>Formica Bulkheads</v>
      </c>
      <c r="T427" t="str">
        <v>Magazine locker/shelf locker</v>
      </c>
      <c r="U427" t="str">
        <v>Vents</v>
      </c>
      <c r="V427" t="str">
        <v>Hullside vinyl panels</v>
      </c>
      <c r="W427" t="str">
        <v>Window blinds</v>
      </c>
      <c r="X427" t="str">
        <v>Nav desk</v>
      </c>
      <c r="Y427" t="str">
        <v>Chart table with storage locker under hinged lid</v>
      </c>
      <c r="Z427" t="str">
        <v>Storage locker under chart table</v>
      </c>
      <c r="AA427" t="str">
        <v xml:space="preserve">AC Outlets </v>
      </c>
      <c r="AB427" t="str">
        <v>Ottoman</v>
      </c>
      <c r="AC427" t="str">
        <v>Galley lockers</v>
      </c>
      <c r="AD427" t="str">
        <v>Stove locker</v>
      </c>
      <c r="AE427" t="str">
        <v>Draw locker</v>
      </c>
      <c r="AF427" t="str">
        <v>Fridge/Freezer locker</v>
      </c>
      <c r="AG427" t="str">
        <v>Microwave locker</v>
      </c>
      <c r="AH427" t="str">
        <v>Tv locker</v>
      </c>
      <c r="AI427" t="str">
        <v>AC/DC locker</v>
      </c>
      <c r="AJ427" t="str">
        <v>Vinyl ceiling</v>
      </c>
      <c r="AK427" t="str">
        <v>Floor</v>
      </c>
      <c r="AL427" t="str">
        <v>Large bowl s/s sink</v>
      </c>
      <c r="AM427" t="str">
        <v>Dish and cutlery drying recess with drainage</v>
      </c>
      <c r="AN427" t="str">
        <v>Cover for drying recess</v>
      </c>
      <c r="AO427" t="str">
        <v xml:space="preserve">Vitrifrigo 2 drawer front-opening fridge/freezer </v>
      </c>
      <c r="AP427" t="str">
        <v>Ice maker</v>
      </c>
      <c r="AQ427" t="str">
        <v>Wine cooler</v>
      </c>
      <c r="AR427" t="str">
        <v>Burner gas hob</v>
      </c>
      <c r="AS427" t="str">
        <v>Gas oven</v>
      </c>
      <c r="AT427" t="str">
        <v>Gas solenoid shut-off valve with control &amp; warning light at cooker</v>
      </c>
      <c r="AU427" t="str">
        <v xml:space="preserve">Formica steps </v>
      </c>
      <c r="AV427" t="str">
        <v>Gas detectors in each hull connected to alarm in saloon</v>
      </c>
      <c r="AW427" t="str">
        <v>Smoke detector/alarm</v>
      </c>
      <c r="AX427" t="str">
        <v>LED overhead lighting</v>
      </c>
      <c r="AY427" t="str">
        <v>CABIN/ STUDY/PASSAGE</v>
      </c>
      <c r="AZ427" t="str">
        <v>Inspection lids</v>
      </c>
      <c r="BA427" t="str">
        <v>Vinyl panels</v>
      </c>
      <c r="BB427" t="str">
        <v>Stairs</v>
      </c>
      <c r="BC427" t="str">
        <v>Bedside table outboard</v>
      </c>
      <c r="BD427" t="str">
        <v>Bedside cave locker inboard</v>
      </c>
      <c r="BE427" t="str">
        <v>Bunktop/Double berth</v>
      </c>
      <c r="BF427" t="str">
        <v>Hanging locker</v>
      </c>
      <c r="BG427" t="str">
        <v>Bunk Drawers</v>
      </c>
      <c r="BH427" t="str">
        <v>Cabin Door</v>
      </c>
      <c r="BI427" t="str">
        <v>Door frames</v>
      </c>
      <c r="BJ427" t="str">
        <v>Fiddles</v>
      </c>
      <c r="BK427" t="str">
        <v>Fan</v>
      </c>
      <c r="BL427" t="str">
        <v>Hatch</v>
      </c>
      <c r="BM427" t="str">
        <v>2 x LED reading lamps over bunk</v>
      </c>
      <c r="BN427" t="str">
        <v>Vanity table/desk with storage locker and mirror under lid</v>
      </c>
      <c r="BO427" t="str">
        <v>Fold up vanity mirror</v>
      </c>
      <c r="BP427" t="str">
        <v>Sliding entrance door with lock</v>
      </c>
      <c r="BQ427" t="str">
        <v>Doors</v>
      </c>
      <c r="BR427" t="str">
        <v>Large mirror behind sliding entrance door</v>
      </c>
      <c r="BS427" t="str">
        <v xml:space="preserve">HEADS </v>
      </c>
      <c r="BT427" t="str">
        <v>Under-basin locker with toilet roll holder</v>
      </c>
      <c r="BU427" t="str">
        <v>Vanity locker with mirror</v>
      </c>
      <c r="BV427" t="str">
        <v>Double towel rail</v>
      </c>
      <c r="BW427" t="str">
        <v>Sliding or hinged heads door</v>
      </c>
      <c r="BX427" t="str">
        <v>Washing machine locker</v>
      </c>
      <c r="BY427" t="str">
        <v>Dedicated trashcan locker</v>
      </c>
      <c r="BZ427" t="str">
        <v>Coat hook</v>
      </c>
      <c r="CA427" t="str">
        <v>Waste tank</v>
      </c>
      <c r="CB427" t="str">
        <v>Forepeak panel</v>
      </c>
      <c r="CC427" t="str">
        <v>Portlight with roller blind</v>
      </c>
      <c r="CD427" t="str">
        <v>Overhead roller blinds for privacy</v>
      </c>
    </row>
    <row r="428" spans="1:82" ht="15" customHeight="1" x14ac:dyDescent="0.25">
      <c r="A428" s="76"/>
      <c r="B428" s="97"/>
      <c r="C428" s="76"/>
      <c r="D428" s="3"/>
      <c r="E428" s="3"/>
      <c r="F428" s="73"/>
      <c r="G428" s="75"/>
      <c r="H428" s="3"/>
      <c r="I428" s="3"/>
      <c r="J428" s="3"/>
      <c r="K428" s="3"/>
      <c r="L428" s="3"/>
      <c r="M428" t="str" cm="1">
        <f t="array" ref="M428:CD428">TRANSPOSE(_xlfn.UNIQUE(_xlfn._xlws.FILTER(Table4[Discipine Area],(Table4[Discipline No.]=C486)*(Table4[Discipline No.]=C486))))</f>
        <v>SALOON</v>
      </c>
      <c r="N428" t="str">
        <v>Companion door</v>
      </c>
      <c r="O428" t="str">
        <v>Fwd cockpit door</v>
      </c>
      <c r="P428" t="str">
        <v>Windows</v>
      </c>
      <c r="Q428" t="str">
        <v>U shape settee</v>
      </c>
      <c r="R428" t="str">
        <v>Saloon table</v>
      </c>
      <c r="S428" t="str">
        <v>Formica Bulkheads</v>
      </c>
      <c r="T428" t="str">
        <v>Magazine locker/shelf locker</v>
      </c>
      <c r="U428" t="str">
        <v>Vents</v>
      </c>
      <c r="V428" t="str">
        <v>Hullside vinyl panels</v>
      </c>
      <c r="W428" t="str">
        <v>Window blinds</v>
      </c>
      <c r="X428" t="str">
        <v>Nav desk</v>
      </c>
      <c r="Y428" t="str">
        <v>Chart table with storage locker under hinged lid</v>
      </c>
      <c r="Z428" t="str">
        <v>Storage locker under chart table</v>
      </c>
      <c r="AA428" t="str">
        <v xml:space="preserve">AC Outlets </v>
      </c>
      <c r="AB428" t="str">
        <v>Ottoman</v>
      </c>
      <c r="AC428" t="str">
        <v>Galley lockers</v>
      </c>
      <c r="AD428" t="str">
        <v>Stove locker</v>
      </c>
      <c r="AE428" t="str">
        <v>Draw locker</v>
      </c>
      <c r="AF428" t="str">
        <v>Fridge/Freezer locker</v>
      </c>
      <c r="AG428" t="str">
        <v>Microwave locker</v>
      </c>
      <c r="AH428" t="str">
        <v>Tv locker</v>
      </c>
      <c r="AI428" t="str">
        <v>AC/DC locker</v>
      </c>
      <c r="AJ428" t="str">
        <v>Vinyl ceiling</v>
      </c>
      <c r="AK428" t="str">
        <v>Floor</v>
      </c>
      <c r="AL428" t="str">
        <v>Large bowl s/s sink</v>
      </c>
      <c r="AM428" t="str">
        <v>Dish and cutlery drying recess with drainage</v>
      </c>
      <c r="AN428" t="str">
        <v>Cover for drying recess</v>
      </c>
      <c r="AO428" t="str">
        <v xml:space="preserve">Vitrifrigo 2 drawer front-opening fridge/freezer </v>
      </c>
      <c r="AP428" t="str">
        <v>Ice maker</v>
      </c>
      <c r="AQ428" t="str">
        <v>Wine cooler</v>
      </c>
      <c r="AR428" t="str">
        <v>Burner gas hob</v>
      </c>
      <c r="AS428" t="str">
        <v>Gas oven</v>
      </c>
      <c r="AT428" t="str">
        <v>Gas solenoid shut-off valve with control &amp; warning light at cooker</v>
      </c>
      <c r="AU428" t="str">
        <v xml:space="preserve">Formica steps </v>
      </c>
      <c r="AV428" t="str">
        <v>Gas detectors in each hull connected to alarm in saloon</v>
      </c>
      <c r="AW428" t="str">
        <v>Smoke detector/alarm</v>
      </c>
      <c r="AX428" t="str">
        <v>LED overhead lighting</v>
      </c>
      <c r="AY428" t="str">
        <v>CABIN/ STUDY/PASSAGE</v>
      </c>
      <c r="AZ428" t="str">
        <v>Inspection lids</v>
      </c>
      <c r="BA428" t="str">
        <v>Vinyl panels</v>
      </c>
      <c r="BB428" t="str">
        <v>Stairs</v>
      </c>
      <c r="BC428" t="str">
        <v>Bedside table outboard</v>
      </c>
      <c r="BD428" t="str">
        <v>Bedside cave locker inboard</v>
      </c>
      <c r="BE428" t="str">
        <v>Bunktop/Double berth</v>
      </c>
      <c r="BF428" t="str">
        <v>Hanging locker</v>
      </c>
      <c r="BG428" t="str">
        <v>Bunk Drawers</v>
      </c>
      <c r="BH428" t="str">
        <v>Cabin Door</v>
      </c>
      <c r="BI428" t="str">
        <v>Door frames</v>
      </c>
      <c r="BJ428" t="str">
        <v>Fiddles</v>
      </c>
      <c r="BK428" t="str">
        <v>Fan</v>
      </c>
      <c r="BL428" t="str">
        <v>Hatch</v>
      </c>
      <c r="BM428" t="str">
        <v>2 x LED reading lamps over bunk</v>
      </c>
      <c r="BN428" t="str">
        <v>Vanity table/desk with storage locker and mirror under lid</v>
      </c>
      <c r="BO428" t="str">
        <v>Fold up vanity mirror</v>
      </c>
      <c r="BP428" t="str">
        <v>Sliding entrance door with lock</v>
      </c>
      <c r="BQ428" t="str">
        <v>Doors</v>
      </c>
      <c r="BR428" t="str">
        <v>Large mirror behind sliding entrance door</v>
      </c>
      <c r="BS428" t="str">
        <v xml:space="preserve">HEADS </v>
      </c>
      <c r="BT428" t="str">
        <v>Under-basin locker with toilet roll holder</v>
      </c>
      <c r="BU428" t="str">
        <v>Vanity locker with mirror</v>
      </c>
      <c r="BV428" t="str">
        <v>Double towel rail</v>
      </c>
      <c r="BW428" t="str">
        <v>Sliding or hinged heads door</v>
      </c>
      <c r="BX428" t="str">
        <v>Washing machine locker</v>
      </c>
      <c r="BY428" t="str">
        <v>Dedicated trashcan locker</v>
      </c>
      <c r="BZ428" t="str">
        <v>Coat hook</v>
      </c>
      <c r="CA428" t="str">
        <v>Waste tank</v>
      </c>
      <c r="CB428" t="str">
        <v>Forepeak panel</v>
      </c>
      <c r="CC428" t="str">
        <v>Portlight with roller blind</v>
      </c>
      <c r="CD428" t="str">
        <v>Overhead roller blinds for privacy</v>
      </c>
    </row>
    <row r="429" spans="1:82" ht="15" customHeight="1" x14ac:dyDescent="0.25">
      <c r="A429" s="76"/>
      <c r="B429" s="97"/>
      <c r="C429" s="76"/>
      <c r="D429" s="3"/>
      <c r="E429" s="3"/>
      <c r="F429" s="73"/>
      <c r="G429" s="75"/>
      <c r="H429" s="3"/>
      <c r="I429" s="3"/>
      <c r="J429" s="3"/>
      <c r="K429" s="3"/>
      <c r="L429" s="3"/>
      <c r="M429" t="str" cm="1">
        <f t="array" ref="M429:CD429">TRANSPOSE(_xlfn.UNIQUE(_xlfn._xlws.FILTER(Table4[Discipine Area],(Table4[Discipline No.]=C487)*(Table4[Discipline No.]=C487))))</f>
        <v>SALOON</v>
      </c>
      <c r="N429" t="str">
        <v>Companion door</v>
      </c>
      <c r="O429" t="str">
        <v>Fwd cockpit door</v>
      </c>
      <c r="P429" t="str">
        <v>Windows</v>
      </c>
      <c r="Q429" t="str">
        <v>U shape settee</v>
      </c>
      <c r="R429" t="str">
        <v>Saloon table</v>
      </c>
      <c r="S429" t="str">
        <v>Formica Bulkheads</v>
      </c>
      <c r="T429" t="str">
        <v>Magazine locker/shelf locker</v>
      </c>
      <c r="U429" t="str">
        <v>Vents</v>
      </c>
      <c r="V429" t="str">
        <v>Hullside vinyl panels</v>
      </c>
      <c r="W429" t="str">
        <v>Window blinds</v>
      </c>
      <c r="X429" t="str">
        <v>Nav desk</v>
      </c>
      <c r="Y429" t="str">
        <v>Chart table with storage locker under hinged lid</v>
      </c>
      <c r="Z429" t="str">
        <v>Storage locker under chart table</v>
      </c>
      <c r="AA429" t="str">
        <v xml:space="preserve">AC Outlets </v>
      </c>
      <c r="AB429" t="str">
        <v>Ottoman</v>
      </c>
      <c r="AC429" t="str">
        <v>Galley lockers</v>
      </c>
      <c r="AD429" t="str">
        <v>Stove locker</v>
      </c>
      <c r="AE429" t="str">
        <v>Draw locker</v>
      </c>
      <c r="AF429" t="str">
        <v>Fridge/Freezer locker</v>
      </c>
      <c r="AG429" t="str">
        <v>Microwave locker</v>
      </c>
      <c r="AH429" t="str">
        <v>Tv locker</v>
      </c>
      <c r="AI429" t="str">
        <v>AC/DC locker</v>
      </c>
      <c r="AJ429" t="str">
        <v>Vinyl ceiling</v>
      </c>
      <c r="AK429" t="str">
        <v>Floor</v>
      </c>
      <c r="AL429" t="str">
        <v>Large bowl s/s sink</v>
      </c>
      <c r="AM429" t="str">
        <v>Dish and cutlery drying recess with drainage</v>
      </c>
      <c r="AN429" t="str">
        <v>Cover for drying recess</v>
      </c>
      <c r="AO429" t="str">
        <v xml:space="preserve">Vitrifrigo 2 drawer front-opening fridge/freezer </v>
      </c>
      <c r="AP429" t="str">
        <v>Ice maker</v>
      </c>
      <c r="AQ429" t="str">
        <v>Wine cooler</v>
      </c>
      <c r="AR429" t="str">
        <v>Burner gas hob</v>
      </c>
      <c r="AS429" t="str">
        <v>Gas oven</v>
      </c>
      <c r="AT429" t="str">
        <v>Gas solenoid shut-off valve with control &amp; warning light at cooker</v>
      </c>
      <c r="AU429" t="str">
        <v xml:space="preserve">Formica steps </v>
      </c>
      <c r="AV429" t="str">
        <v>Gas detectors in each hull connected to alarm in saloon</v>
      </c>
      <c r="AW429" t="str">
        <v>Smoke detector/alarm</v>
      </c>
      <c r="AX429" t="str">
        <v>LED overhead lighting</v>
      </c>
      <c r="AY429" t="str">
        <v>CABIN/ STUDY/PASSAGE</v>
      </c>
      <c r="AZ429" t="str">
        <v>Inspection lids</v>
      </c>
      <c r="BA429" t="str">
        <v>Vinyl panels</v>
      </c>
      <c r="BB429" t="str">
        <v>Stairs</v>
      </c>
      <c r="BC429" t="str">
        <v>Bedside table outboard</v>
      </c>
      <c r="BD429" t="str">
        <v>Bedside cave locker inboard</v>
      </c>
      <c r="BE429" t="str">
        <v>Bunktop/Double berth</v>
      </c>
      <c r="BF429" t="str">
        <v>Hanging locker</v>
      </c>
      <c r="BG429" t="str">
        <v>Bunk Drawers</v>
      </c>
      <c r="BH429" t="str">
        <v>Cabin Door</v>
      </c>
      <c r="BI429" t="str">
        <v>Door frames</v>
      </c>
      <c r="BJ429" t="str">
        <v>Fiddles</v>
      </c>
      <c r="BK429" t="str">
        <v>Fan</v>
      </c>
      <c r="BL429" t="str">
        <v>Hatch</v>
      </c>
      <c r="BM429" t="str">
        <v>2 x LED reading lamps over bunk</v>
      </c>
      <c r="BN429" t="str">
        <v>Vanity table/desk with storage locker and mirror under lid</v>
      </c>
      <c r="BO429" t="str">
        <v>Fold up vanity mirror</v>
      </c>
      <c r="BP429" t="str">
        <v>Sliding entrance door with lock</v>
      </c>
      <c r="BQ429" t="str">
        <v>Doors</v>
      </c>
      <c r="BR429" t="str">
        <v>Large mirror behind sliding entrance door</v>
      </c>
      <c r="BS429" t="str">
        <v xml:space="preserve">HEADS </v>
      </c>
      <c r="BT429" t="str">
        <v>Under-basin locker with toilet roll holder</v>
      </c>
      <c r="BU429" t="str">
        <v>Vanity locker with mirror</v>
      </c>
      <c r="BV429" t="str">
        <v>Double towel rail</v>
      </c>
      <c r="BW429" t="str">
        <v>Sliding or hinged heads door</v>
      </c>
      <c r="BX429" t="str">
        <v>Washing machine locker</v>
      </c>
      <c r="BY429" t="str">
        <v>Dedicated trashcan locker</v>
      </c>
      <c r="BZ429" t="str">
        <v>Coat hook</v>
      </c>
      <c r="CA429" t="str">
        <v>Waste tank</v>
      </c>
      <c r="CB429" t="str">
        <v>Forepeak panel</v>
      </c>
      <c r="CC429" t="str">
        <v>Portlight with roller blind</v>
      </c>
      <c r="CD429" t="str">
        <v>Overhead roller blinds for privacy</v>
      </c>
    </row>
    <row r="430" spans="1:82" ht="15" customHeight="1" x14ac:dyDescent="0.25">
      <c r="A430" s="76"/>
      <c r="B430" s="97"/>
      <c r="C430" s="76"/>
      <c r="D430" s="3"/>
      <c r="E430" s="3"/>
      <c r="F430" s="73"/>
      <c r="G430" s="75"/>
      <c r="H430" s="3"/>
      <c r="I430" s="3"/>
      <c r="J430" s="3"/>
      <c r="K430" s="3"/>
      <c r="L430" s="3"/>
      <c r="M430" t="str" cm="1">
        <f t="array" ref="M430:CD430">TRANSPOSE(_xlfn.UNIQUE(_xlfn._xlws.FILTER(Table4[Discipine Area],(Table4[Discipline No.]=C488)*(Table4[Discipline No.]=C488))))</f>
        <v>SALOON</v>
      </c>
      <c r="N430" t="str">
        <v>Companion door</v>
      </c>
      <c r="O430" t="str">
        <v>Fwd cockpit door</v>
      </c>
      <c r="P430" t="str">
        <v>Windows</v>
      </c>
      <c r="Q430" t="str">
        <v>U shape settee</v>
      </c>
      <c r="R430" t="str">
        <v>Saloon table</v>
      </c>
      <c r="S430" t="str">
        <v>Formica Bulkheads</v>
      </c>
      <c r="T430" t="str">
        <v>Magazine locker/shelf locker</v>
      </c>
      <c r="U430" t="str">
        <v>Vents</v>
      </c>
      <c r="V430" t="str">
        <v>Hullside vinyl panels</v>
      </c>
      <c r="W430" t="str">
        <v>Window blinds</v>
      </c>
      <c r="X430" t="str">
        <v>Nav desk</v>
      </c>
      <c r="Y430" t="str">
        <v>Chart table with storage locker under hinged lid</v>
      </c>
      <c r="Z430" t="str">
        <v>Storage locker under chart table</v>
      </c>
      <c r="AA430" t="str">
        <v xml:space="preserve">AC Outlets </v>
      </c>
      <c r="AB430" t="str">
        <v>Ottoman</v>
      </c>
      <c r="AC430" t="str">
        <v>Galley lockers</v>
      </c>
      <c r="AD430" t="str">
        <v>Stove locker</v>
      </c>
      <c r="AE430" t="str">
        <v>Draw locker</v>
      </c>
      <c r="AF430" t="str">
        <v>Fridge/Freezer locker</v>
      </c>
      <c r="AG430" t="str">
        <v>Microwave locker</v>
      </c>
      <c r="AH430" t="str">
        <v>Tv locker</v>
      </c>
      <c r="AI430" t="str">
        <v>AC/DC locker</v>
      </c>
      <c r="AJ430" t="str">
        <v>Vinyl ceiling</v>
      </c>
      <c r="AK430" t="str">
        <v>Floor</v>
      </c>
      <c r="AL430" t="str">
        <v>Large bowl s/s sink</v>
      </c>
      <c r="AM430" t="str">
        <v>Dish and cutlery drying recess with drainage</v>
      </c>
      <c r="AN430" t="str">
        <v>Cover for drying recess</v>
      </c>
      <c r="AO430" t="str">
        <v xml:space="preserve">Vitrifrigo 2 drawer front-opening fridge/freezer </v>
      </c>
      <c r="AP430" t="str">
        <v>Ice maker</v>
      </c>
      <c r="AQ430" t="str">
        <v>Wine cooler</v>
      </c>
      <c r="AR430" t="str">
        <v>Burner gas hob</v>
      </c>
      <c r="AS430" t="str">
        <v>Gas oven</v>
      </c>
      <c r="AT430" t="str">
        <v>Gas solenoid shut-off valve with control &amp; warning light at cooker</v>
      </c>
      <c r="AU430" t="str">
        <v xml:space="preserve">Formica steps </v>
      </c>
      <c r="AV430" t="str">
        <v>Gas detectors in each hull connected to alarm in saloon</v>
      </c>
      <c r="AW430" t="str">
        <v>Smoke detector/alarm</v>
      </c>
      <c r="AX430" t="str">
        <v>LED overhead lighting</v>
      </c>
      <c r="AY430" t="str">
        <v>CABIN/ STUDY/PASSAGE</v>
      </c>
      <c r="AZ430" t="str">
        <v>Inspection lids</v>
      </c>
      <c r="BA430" t="str">
        <v>Vinyl panels</v>
      </c>
      <c r="BB430" t="str">
        <v>Stairs</v>
      </c>
      <c r="BC430" t="str">
        <v>Bedside table outboard</v>
      </c>
      <c r="BD430" t="str">
        <v>Bedside cave locker inboard</v>
      </c>
      <c r="BE430" t="str">
        <v>Bunktop/Double berth</v>
      </c>
      <c r="BF430" t="str">
        <v>Hanging locker</v>
      </c>
      <c r="BG430" t="str">
        <v>Bunk Drawers</v>
      </c>
      <c r="BH430" t="str">
        <v>Cabin Door</v>
      </c>
      <c r="BI430" t="str">
        <v>Door frames</v>
      </c>
      <c r="BJ430" t="str">
        <v>Fiddles</v>
      </c>
      <c r="BK430" t="str">
        <v>Fan</v>
      </c>
      <c r="BL430" t="str">
        <v>Hatch</v>
      </c>
      <c r="BM430" t="str">
        <v>2 x LED reading lamps over bunk</v>
      </c>
      <c r="BN430" t="str">
        <v>Vanity table/desk with storage locker and mirror under lid</v>
      </c>
      <c r="BO430" t="str">
        <v>Fold up vanity mirror</v>
      </c>
      <c r="BP430" t="str">
        <v>Sliding entrance door with lock</v>
      </c>
      <c r="BQ430" t="str">
        <v>Doors</v>
      </c>
      <c r="BR430" t="str">
        <v>Large mirror behind sliding entrance door</v>
      </c>
      <c r="BS430" t="str">
        <v xml:space="preserve">HEADS </v>
      </c>
      <c r="BT430" t="str">
        <v>Under-basin locker with toilet roll holder</v>
      </c>
      <c r="BU430" t="str">
        <v>Vanity locker with mirror</v>
      </c>
      <c r="BV430" t="str">
        <v>Double towel rail</v>
      </c>
      <c r="BW430" t="str">
        <v>Sliding or hinged heads door</v>
      </c>
      <c r="BX430" t="str">
        <v>Washing machine locker</v>
      </c>
      <c r="BY430" t="str">
        <v>Dedicated trashcan locker</v>
      </c>
      <c r="BZ430" t="str">
        <v>Coat hook</v>
      </c>
      <c r="CA430" t="str">
        <v>Waste tank</v>
      </c>
      <c r="CB430" t="str">
        <v>Forepeak panel</v>
      </c>
      <c r="CC430" t="str">
        <v>Portlight with roller blind</v>
      </c>
      <c r="CD430" t="str">
        <v>Overhead roller blinds for privacy</v>
      </c>
    </row>
    <row r="431" spans="1:82" ht="15" customHeight="1" x14ac:dyDescent="0.25">
      <c r="A431" s="76"/>
      <c r="B431" s="97"/>
      <c r="C431" s="76"/>
      <c r="D431" s="3"/>
      <c r="E431" s="3"/>
      <c r="F431" s="73"/>
      <c r="G431" s="75"/>
      <c r="H431" s="3"/>
      <c r="I431" s="3"/>
      <c r="J431" s="3"/>
      <c r="K431" s="3"/>
      <c r="L431" s="3"/>
      <c r="M431" t="str" cm="1">
        <f t="array" ref="M431:CD431">TRANSPOSE(_xlfn.UNIQUE(_xlfn._xlws.FILTER(Table4[Discipine Area],(Table4[Discipline No.]=C489)*(Table4[Discipline No.]=C489))))</f>
        <v>SALOON</v>
      </c>
      <c r="N431" t="str">
        <v>Companion door</v>
      </c>
      <c r="O431" t="str">
        <v>Fwd cockpit door</v>
      </c>
      <c r="P431" t="str">
        <v>Windows</v>
      </c>
      <c r="Q431" t="str">
        <v>U shape settee</v>
      </c>
      <c r="R431" t="str">
        <v>Saloon table</v>
      </c>
      <c r="S431" t="str">
        <v>Formica Bulkheads</v>
      </c>
      <c r="T431" t="str">
        <v>Magazine locker/shelf locker</v>
      </c>
      <c r="U431" t="str">
        <v>Vents</v>
      </c>
      <c r="V431" t="str">
        <v>Hullside vinyl panels</v>
      </c>
      <c r="W431" t="str">
        <v>Window blinds</v>
      </c>
      <c r="X431" t="str">
        <v>Nav desk</v>
      </c>
      <c r="Y431" t="str">
        <v>Chart table with storage locker under hinged lid</v>
      </c>
      <c r="Z431" t="str">
        <v>Storage locker under chart table</v>
      </c>
      <c r="AA431" t="str">
        <v xml:space="preserve">AC Outlets </v>
      </c>
      <c r="AB431" t="str">
        <v>Ottoman</v>
      </c>
      <c r="AC431" t="str">
        <v>Galley lockers</v>
      </c>
      <c r="AD431" t="str">
        <v>Stove locker</v>
      </c>
      <c r="AE431" t="str">
        <v>Draw locker</v>
      </c>
      <c r="AF431" t="str">
        <v>Fridge/Freezer locker</v>
      </c>
      <c r="AG431" t="str">
        <v>Microwave locker</v>
      </c>
      <c r="AH431" t="str">
        <v>Tv locker</v>
      </c>
      <c r="AI431" t="str">
        <v>AC/DC locker</v>
      </c>
      <c r="AJ431" t="str">
        <v>Vinyl ceiling</v>
      </c>
      <c r="AK431" t="str">
        <v>Floor</v>
      </c>
      <c r="AL431" t="str">
        <v>Large bowl s/s sink</v>
      </c>
      <c r="AM431" t="str">
        <v>Dish and cutlery drying recess with drainage</v>
      </c>
      <c r="AN431" t="str">
        <v>Cover for drying recess</v>
      </c>
      <c r="AO431" t="str">
        <v xml:space="preserve">Vitrifrigo 2 drawer front-opening fridge/freezer </v>
      </c>
      <c r="AP431" t="str">
        <v>Ice maker</v>
      </c>
      <c r="AQ431" t="str">
        <v>Wine cooler</v>
      </c>
      <c r="AR431" t="str">
        <v>Burner gas hob</v>
      </c>
      <c r="AS431" t="str">
        <v>Gas oven</v>
      </c>
      <c r="AT431" t="str">
        <v>Gas solenoid shut-off valve with control &amp; warning light at cooker</v>
      </c>
      <c r="AU431" t="str">
        <v xml:space="preserve">Formica steps </v>
      </c>
      <c r="AV431" t="str">
        <v>Gas detectors in each hull connected to alarm in saloon</v>
      </c>
      <c r="AW431" t="str">
        <v>Smoke detector/alarm</v>
      </c>
      <c r="AX431" t="str">
        <v>LED overhead lighting</v>
      </c>
      <c r="AY431" t="str">
        <v>CABIN/ STUDY/PASSAGE</v>
      </c>
      <c r="AZ431" t="str">
        <v>Inspection lids</v>
      </c>
      <c r="BA431" t="str">
        <v>Vinyl panels</v>
      </c>
      <c r="BB431" t="str">
        <v>Stairs</v>
      </c>
      <c r="BC431" t="str">
        <v>Bedside table outboard</v>
      </c>
      <c r="BD431" t="str">
        <v>Bedside cave locker inboard</v>
      </c>
      <c r="BE431" t="str">
        <v>Bunktop/Double berth</v>
      </c>
      <c r="BF431" t="str">
        <v>Hanging locker</v>
      </c>
      <c r="BG431" t="str">
        <v>Bunk Drawers</v>
      </c>
      <c r="BH431" t="str">
        <v>Cabin Door</v>
      </c>
      <c r="BI431" t="str">
        <v>Door frames</v>
      </c>
      <c r="BJ431" t="str">
        <v>Fiddles</v>
      </c>
      <c r="BK431" t="str">
        <v>Fan</v>
      </c>
      <c r="BL431" t="str">
        <v>Hatch</v>
      </c>
      <c r="BM431" t="str">
        <v>2 x LED reading lamps over bunk</v>
      </c>
      <c r="BN431" t="str">
        <v>Vanity table/desk with storage locker and mirror under lid</v>
      </c>
      <c r="BO431" t="str">
        <v>Fold up vanity mirror</v>
      </c>
      <c r="BP431" t="str">
        <v>Sliding entrance door with lock</v>
      </c>
      <c r="BQ431" t="str">
        <v>Doors</v>
      </c>
      <c r="BR431" t="str">
        <v>Large mirror behind sliding entrance door</v>
      </c>
      <c r="BS431" t="str">
        <v xml:space="preserve">HEADS </v>
      </c>
      <c r="BT431" t="str">
        <v>Under-basin locker with toilet roll holder</v>
      </c>
      <c r="BU431" t="str">
        <v>Vanity locker with mirror</v>
      </c>
      <c r="BV431" t="str">
        <v>Double towel rail</v>
      </c>
      <c r="BW431" t="str">
        <v>Sliding or hinged heads door</v>
      </c>
      <c r="BX431" t="str">
        <v>Washing machine locker</v>
      </c>
      <c r="BY431" t="str">
        <v>Dedicated trashcan locker</v>
      </c>
      <c r="BZ431" t="str">
        <v>Coat hook</v>
      </c>
      <c r="CA431" t="str">
        <v>Waste tank</v>
      </c>
      <c r="CB431" t="str">
        <v>Forepeak panel</v>
      </c>
      <c r="CC431" t="str">
        <v>Portlight with roller blind</v>
      </c>
      <c r="CD431" t="str">
        <v>Overhead roller blinds for privacy</v>
      </c>
    </row>
    <row r="432" spans="1:82" ht="15" customHeight="1" x14ac:dyDescent="0.25">
      <c r="A432" s="76"/>
      <c r="B432" s="97"/>
      <c r="C432" s="76"/>
      <c r="D432" s="3"/>
      <c r="E432" s="3"/>
      <c r="F432" s="73"/>
      <c r="G432" s="75"/>
      <c r="H432" s="3"/>
      <c r="I432" s="3"/>
      <c r="J432" s="3"/>
      <c r="K432" s="3"/>
      <c r="L432" s="3"/>
      <c r="M432" t="str" cm="1">
        <f t="array" ref="M432:CD432">TRANSPOSE(_xlfn.UNIQUE(_xlfn._xlws.FILTER(Table4[Discipine Area],(Table4[Discipline No.]=C490)*(Table4[Discipline No.]=C490))))</f>
        <v>SALOON</v>
      </c>
      <c r="N432" t="str">
        <v>Companion door</v>
      </c>
      <c r="O432" t="str">
        <v>Fwd cockpit door</v>
      </c>
      <c r="P432" t="str">
        <v>Windows</v>
      </c>
      <c r="Q432" t="str">
        <v>U shape settee</v>
      </c>
      <c r="R432" t="str">
        <v>Saloon table</v>
      </c>
      <c r="S432" t="str">
        <v>Formica Bulkheads</v>
      </c>
      <c r="T432" t="str">
        <v>Magazine locker/shelf locker</v>
      </c>
      <c r="U432" t="str">
        <v>Vents</v>
      </c>
      <c r="V432" t="str">
        <v>Hullside vinyl panels</v>
      </c>
      <c r="W432" t="str">
        <v>Window blinds</v>
      </c>
      <c r="X432" t="str">
        <v>Nav desk</v>
      </c>
      <c r="Y432" t="str">
        <v>Chart table with storage locker under hinged lid</v>
      </c>
      <c r="Z432" t="str">
        <v>Storage locker under chart table</v>
      </c>
      <c r="AA432" t="str">
        <v xml:space="preserve">AC Outlets </v>
      </c>
      <c r="AB432" t="str">
        <v>Ottoman</v>
      </c>
      <c r="AC432" t="str">
        <v>Galley lockers</v>
      </c>
      <c r="AD432" t="str">
        <v>Stove locker</v>
      </c>
      <c r="AE432" t="str">
        <v>Draw locker</v>
      </c>
      <c r="AF432" t="str">
        <v>Fridge/Freezer locker</v>
      </c>
      <c r="AG432" t="str">
        <v>Microwave locker</v>
      </c>
      <c r="AH432" t="str">
        <v>Tv locker</v>
      </c>
      <c r="AI432" t="str">
        <v>AC/DC locker</v>
      </c>
      <c r="AJ432" t="str">
        <v>Vinyl ceiling</v>
      </c>
      <c r="AK432" t="str">
        <v>Floor</v>
      </c>
      <c r="AL432" t="str">
        <v>Large bowl s/s sink</v>
      </c>
      <c r="AM432" t="str">
        <v>Dish and cutlery drying recess with drainage</v>
      </c>
      <c r="AN432" t="str">
        <v>Cover for drying recess</v>
      </c>
      <c r="AO432" t="str">
        <v xml:space="preserve">Vitrifrigo 2 drawer front-opening fridge/freezer </v>
      </c>
      <c r="AP432" t="str">
        <v>Ice maker</v>
      </c>
      <c r="AQ432" t="str">
        <v>Wine cooler</v>
      </c>
      <c r="AR432" t="str">
        <v>Burner gas hob</v>
      </c>
      <c r="AS432" t="str">
        <v>Gas oven</v>
      </c>
      <c r="AT432" t="str">
        <v>Gas solenoid shut-off valve with control &amp; warning light at cooker</v>
      </c>
      <c r="AU432" t="str">
        <v xml:space="preserve">Formica steps </v>
      </c>
      <c r="AV432" t="str">
        <v>Gas detectors in each hull connected to alarm in saloon</v>
      </c>
      <c r="AW432" t="str">
        <v>Smoke detector/alarm</v>
      </c>
      <c r="AX432" t="str">
        <v>LED overhead lighting</v>
      </c>
      <c r="AY432" t="str">
        <v>CABIN/ STUDY/PASSAGE</v>
      </c>
      <c r="AZ432" t="str">
        <v>Inspection lids</v>
      </c>
      <c r="BA432" t="str">
        <v>Vinyl panels</v>
      </c>
      <c r="BB432" t="str">
        <v>Stairs</v>
      </c>
      <c r="BC432" t="str">
        <v>Bedside table outboard</v>
      </c>
      <c r="BD432" t="str">
        <v>Bedside cave locker inboard</v>
      </c>
      <c r="BE432" t="str">
        <v>Bunktop/Double berth</v>
      </c>
      <c r="BF432" t="str">
        <v>Hanging locker</v>
      </c>
      <c r="BG432" t="str">
        <v>Bunk Drawers</v>
      </c>
      <c r="BH432" t="str">
        <v>Cabin Door</v>
      </c>
      <c r="BI432" t="str">
        <v>Door frames</v>
      </c>
      <c r="BJ432" t="str">
        <v>Fiddles</v>
      </c>
      <c r="BK432" t="str">
        <v>Fan</v>
      </c>
      <c r="BL432" t="str">
        <v>Hatch</v>
      </c>
      <c r="BM432" t="str">
        <v>2 x LED reading lamps over bunk</v>
      </c>
      <c r="BN432" t="str">
        <v>Vanity table/desk with storage locker and mirror under lid</v>
      </c>
      <c r="BO432" t="str">
        <v>Fold up vanity mirror</v>
      </c>
      <c r="BP432" t="str">
        <v>Sliding entrance door with lock</v>
      </c>
      <c r="BQ432" t="str">
        <v>Doors</v>
      </c>
      <c r="BR432" t="str">
        <v>Large mirror behind sliding entrance door</v>
      </c>
      <c r="BS432" t="str">
        <v xml:space="preserve">HEADS </v>
      </c>
      <c r="BT432" t="str">
        <v>Under-basin locker with toilet roll holder</v>
      </c>
      <c r="BU432" t="str">
        <v>Vanity locker with mirror</v>
      </c>
      <c r="BV432" t="str">
        <v>Double towel rail</v>
      </c>
      <c r="BW432" t="str">
        <v>Sliding or hinged heads door</v>
      </c>
      <c r="BX432" t="str">
        <v>Washing machine locker</v>
      </c>
      <c r="BY432" t="str">
        <v>Dedicated trashcan locker</v>
      </c>
      <c r="BZ432" t="str">
        <v>Coat hook</v>
      </c>
      <c r="CA432" t="str">
        <v>Waste tank</v>
      </c>
      <c r="CB432" t="str">
        <v>Forepeak panel</v>
      </c>
      <c r="CC432" t="str">
        <v>Portlight with roller blind</v>
      </c>
      <c r="CD432" t="str">
        <v>Overhead roller blinds for privacy</v>
      </c>
    </row>
    <row r="433" spans="1:82" ht="15" customHeight="1" x14ac:dyDescent="0.25">
      <c r="A433" s="76"/>
      <c r="B433" s="97"/>
      <c r="C433" s="76"/>
      <c r="D433" s="3"/>
      <c r="E433" s="3"/>
      <c r="F433" s="73"/>
      <c r="G433" s="75"/>
      <c r="H433" s="3"/>
      <c r="I433" s="3"/>
      <c r="J433" s="3"/>
      <c r="K433" s="3"/>
      <c r="L433" s="3"/>
      <c r="M433" t="str" cm="1">
        <f t="array" ref="M433:CD433">TRANSPOSE(_xlfn.UNIQUE(_xlfn._xlws.FILTER(Table4[Discipine Area],(Table4[Discipline No.]=C491)*(Table4[Discipline No.]=C491))))</f>
        <v>SALOON</v>
      </c>
      <c r="N433" t="str">
        <v>Companion door</v>
      </c>
      <c r="O433" t="str">
        <v>Fwd cockpit door</v>
      </c>
      <c r="P433" t="str">
        <v>Windows</v>
      </c>
      <c r="Q433" t="str">
        <v>U shape settee</v>
      </c>
      <c r="R433" t="str">
        <v>Saloon table</v>
      </c>
      <c r="S433" t="str">
        <v>Formica Bulkheads</v>
      </c>
      <c r="T433" t="str">
        <v>Magazine locker/shelf locker</v>
      </c>
      <c r="U433" t="str">
        <v>Vents</v>
      </c>
      <c r="V433" t="str">
        <v>Hullside vinyl panels</v>
      </c>
      <c r="W433" t="str">
        <v>Window blinds</v>
      </c>
      <c r="X433" t="str">
        <v>Nav desk</v>
      </c>
      <c r="Y433" t="str">
        <v>Chart table with storage locker under hinged lid</v>
      </c>
      <c r="Z433" t="str">
        <v>Storage locker under chart table</v>
      </c>
      <c r="AA433" t="str">
        <v xml:space="preserve">AC Outlets </v>
      </c>
      <c r="AB433" t="str">
        <v>Ottoman</v>
      </c>
      <c r="AC433" t="str">
        <v>Galley lockers</v>
      </c>
      <c r="AD433" t="str">
        <v>Stove locker</v>
      </c>
      <c r="AE433" t="str">
        <v>Draw locker</v>
      </c>
      <c r="AF433" t="str">
        <v>Fridge/Freezer locker</v>
      </c>
      <c r="AG433" t="str">
        <v>Microwave locker</v>
      </c>
      <c r="AH433" t="str">
        <v>Tv locker</v>
      </c>
      <c r="AI433" t="str">
        <v>AC/DC locker</v>
      </c>
      <c r="AJ433" t="str">
        <v>Vinyl ceiling</v>
      </c>
      <c r="AK433" t="str">
        <v>Floor</v>
      </c>
      <c r="AL433" t="str">
        <v>Large bowl s/s sink</v>
      </c>
      <c r="AM433" t="str">
        <v>Dish and cutlery drying recess with drainage</v>
      </c>
      <c r="AN433" t="str">
        <v>Cover for drying recess</v>
      </c>
      <c r="AO433" t="str">
        <v xml:space="preserve">Vitrifrigo 2 drawer front-opening fridge/freezer </v>
      </c>
      <c r="AP433" t="str">
        <v>Ice maker</v>
      </c>
      <c r="AQ433" t="str">
        <v>Wine cooler</v>
      </c>
      <c r="AR433" t="str">
        <v>Burner gas hob</v>
      </c>
      <c r="AS433" t="str">
        <v>Gas oven</v>
      </c>
      <c r="AT433" t="str">
        <v>Gas solenoid shut-off valve with control &amp; warning light at cooker</v>
      </c>
      <c r="AU433" t="str">
        <v xml:space="preserve">Formica steps </v>
      </c>
      <c r="AV433" t="str">
        <v>Gas detectors in each hull connected to alarm in saloon</v>
      </c>
      <c r="AW433" t="str">
        <v>Smoke detector/alarm</v>
      </c>
      <c r="AX433" t="str">
        <v>LED overhead lighting</v>
      </c>
      <c r="AY433" t="str">
        <v>CABIN/ STUDY/PASSAGE</v>
      </c>
      <c r="AZ433" t="str">
        <v>Inspection lids</v>
      </c>
      <c r="BA433" t="str">
        <v>Vinyl panels</v>
      </c>
      <c r="BB433" t="str">
        <v>Stairs</v>
      </c>
      <c r="BC433" t="str">
        <v>Bedside table outboard</v>
      </c>
      <c r="BD433" t="str">
        <v>Bedside cave locker inboard</v>
      </c>
      <c r="BE433" t="str">
        <v>Bunktop/Double berth</v>
      </c>
      <c r="BF433" t="str">
        <v>Hanging locker</v>
      </c>
      <c r="BG433" t="str">
        <v>Bunk Drawers</v>
      </c>
      <c r="BH433" t="str">
        <v>Cabin Door</v>
      </c>
      <c r="BI433" t="str">
        <v>Door frames</v>
      </c>
      <c r="BJ433" t="str">
        <v>Fiddles</v>
      </c>
      <c r="BK433" t="str">
        <v>Fan</v>
      </c>
      <c r="BL433" t="str">
        <v>Hatch</v>
      </c>
      <c r="BM433" t="str">
        <v>2 x LED reading lamps over bunk</v>
      </c>
      <c r="BN433" t="str">
        <v>Vanity table/desk with storage locker and mirror under lid</v>
      </c>
      <c r="BO433" t="str">
        <v>Fold up vanity mirror</v>
      </c>
      <c r="BP433" t="str">
        <v>Sliding entrance door with lock</v>
      </c>
      <c r="BQ433" t="str">
        <v>Doors</v>
      </c>
      <c r="BR433" t="str">
        <v>Large mirror behind sliding entrance door</v>
      </c>
      <c r="BS433" t="str">
        <v xml:space="preserve">HEADS </v>
      </c>
      <c r="BT433" t="str">
        <v>Under-basin locker with toilet roll holder</v>
      </c>
      <c r="BU433" t="str">
        <v>Vanity locker with mirror</v>
      </c>
      <c r="BV433" t="str">
        <v>Double towel rail</v>
      </c>
      <c r="BW433" t="str">
        <v>Sliding or hinged heads door</v>
      </c>
      <c r="BX433" t="str">
        <v>Washing machine locker</v>
      </c>
      <c r="BY433" t="str">
        <v>Dedicated trashcan locker</v>
      </c>
      <c r="BZ433" t="str">
        <v>Coat hook</v>
      </c>
      <c r="CA433" t="str">
        <v>Waste tank</v>
      </c>
      <c r="CB433" t="str">
        <v>Forepeak panel</v>
      </c>
      <c r="CC433" t="str">
        <v>Portlight with roller blind</v>
      </c>
      <c r="CD433" t="str">
        <v>Overhead roller blinds for privacy</v>
      </c>
    </row>
    <row r="434" spans="1:82" ht="15" customHeight="1" x14ac:dyDescent="0.25">
      <c r="A434" s="76"/>
      <c r="B434" s="97"/>
      <c r="C434" s="76"/>
      <c r="D434" s="3"/>
      <c r="E434" s="3"/>
      <c r="F434" s="73"/>
      <c r="G434" s="75"/>
      <c r="H434" s="73"/>
      <c r="I434" s="3"/>
      <c r="J434" s="3"/>
      <c r="K434" s="3"/>
      <c r="L434" s="3"/>
      <c r="M434" t="str" cm="1">
        <f t="array" ref="M434:CD434">TRANSPOSE(_xlfn.UNIQUE(_xlfn._xlws.FILTER(Table4[Discipine Area],(Table4[Discipline No.]=C492)*(Table4[Discipline No.]=C492))))</f>
        <v>SALOON</v>
      </c>
      <c r="N434" t="str">
        <v>Companion door</v>
      </c>
      <c r="O434" t="str">
        <v>Fwd cockpit door</v>
      </c>
      <c r="P434" t="str">
        <v>Windows</v>
      </c>
      <c r="Q434" t="str">
        <v>U shape settee</v>
      </c>
      <c r="R434" t="str">
        <v>Saloon table</v>
      </c>
      <c r="S434" t="str">
        <v>Formica Bulkheads</v>
      </c>
      <c r="T434" t="str">
        <v>Magazine locker/shelf locker</v>
      </c>
      <c r="U434" t="str">
        <v>Vents</v>
      </c>
      <c r="V434" t="str">
        <v>Hullside vinyl panels</v>
      </c>
      <c r="W434" t="str">
        <v>Window blinds</v>
      </c>
      <c r="X434" t="str">
        <v>Nav desk</v>
      </c>
      <c r="Y434" t="str">
        <v>Chart table with storage locker under hinged lid</v>
      </c>
      <c r="Z434" t="str">
        <v>Storage locker under chart table</v>
      </c>
      <c r="AA434" t="str">
        <v xml:space="preserve">AC Outlets </v>
      </c>
      <c r="AB434" t="str">
        <v>Ottoman</v>
      </c>
      <c r="AC434" t="str">
        <v>Galley lockers</v>
      </c>
      <c r="AD434" t="str">
        <v>Stove locker</v>
      </c>
      <c r="AE434" t="str">
        <v>Draw locker</v>
      </c>
      <c r="AF434" t="str">
        <v>Fridge/Freezer locker</v>
      </c>
      <c r="AG434" t="str">
        <v>Microwave locker</v>
      </c>
      <c r="AH434" t="str">
        <v>Tv locker</v>
      </c>
      <c r="AI434" t="str">
        <v>AC/DC locker</v>
      </c>
      <c r="AJ434" t="str">
        <v>Vinyl ceiling</v>
      </c>
      <c r="AK434" t="str">
        <v>Floor</v>
      </c>
      <c r="AL434" t="str">
        <v>Large bowl s/s sink</v>
      </c>
      <c r="AM434" t="str">
        <v>Dish and cutlery drying recess with drainage</v>
      </c>
      <c r="AN434" t="str">
        <v>Cover for drying recess</v>
      </c>
      <c r="AO434" t="str">
        <v xml:space="preserve">Vitrifrigo 2 drawer front-opening fridge/freezer </v>
      </c>
      <c r="AP434" t="str">
        <v>Ice maker</v>
      </c>
      <c r="AQ434" t="str">
        <v>Wine cooler</v>
      </c>
      <c r="AR434" t="str">
        <v>Burner gas hob</v>
      </c>
      <c r="AS434" t="str">
        <v>Gas oven</v>
      </c>
      <c r="AT434" t="str">
        <v>Gas solenoid shut-off valve with control &amp; warning light at cooker</v>
      </c>
      <c r="AU434" t="str">
        <v xml:space="preserve">Formica steps </v>
      </c>
      <c r="AV434" t="str">
        <v>Gas detectors in each hull connected to alarm in saloon</v>
      </c>
      <c r="AW434" t="str">
        <v>Smoke detector/alarm</v>
      </c>
      <c r="AX434" t="str">
        <v>LED overhead lighting</v>
      </c>
      <c r="AY434" t="str">
        <v>CABIN/ STUDY/PASSAGE</v>
      </c>
      <c r="AZ434" t="str">
        <v>Inspection lids</v>
      </c>
      <c r="BA434" t="str">
        <v>Vinyl panels</v>
      </c>
      <c r="BB434" t="str">
        <v>Stairs</v>
      </c>
      <c r="BC434" t="str">
        <v>Bedside table outboard</v>
      </c>
      <c r="BD434" t="str">
        <v>Bedside cave locker inboard</v>
      </c>
      <c r="BE434" t="str">
        <v>Bunktop/Double berth</v>
      </c>
      <c r="BF434" t="str">
        <v>Hanging locker</v>
      </c>
      <c r="BG434" t="str">
        <v>Bunk Drawers</v>
      </c>
      <c r="BH434" t="str">
        <v>Cabin Door</v>
      </c>
      <c r="BI434" t="str">
        <v>Door frames</v>
      </c>
      <c r="BJ434" t="str">
        <v>Fiddles</v>
      </c>
      <c r="BK434" t="str">
        <v>Fan</v>
      </c>
      <c r="BL434" t="str">
        <v>Hatch</v>
      </c>
      <c r="BM434" t="str">
        <v>2 x LED reading lamps over bunk</v>
      </c>
      <c r="BN434" t="str">
        <v>Vanity table/desk with storage locker and mirror under lid</v>
      </c>
      <c r="BO434" t="str">
        <v>Fold up vanity mirror</v>
      </c>
      <c r="BP434" t="str">
        <v>Sliding entrance door with lock</v>
      </c>
      <c r="BQ434" t="str">
        <v>Doors</v>
      </c>
      <c r="BR434" t="str">
        <v>Large mirror behind sliding entrance door</v>
      </c>
      <c r="BS434" t="str">
        <v xml:space="preserve">HEADS </v>
      </c>
      <c r="BT434" t="str">
        <v>Under-basin locker with toilet roll holder</v>
      </c>
      <c r="BU434" t="str">
        <v>Vanity locker with mirror</v>
      </c>
      <c r="BV434" t="str">
        <v>Double towel rail</v>
      </c>
      <c r="BW434" t="str">
        <v>Sliding or hinged heads door</v>
      </c>
      <c r="BX434" t="str">
        <v>Washing machine locker</v>
      </c>
      <c r="BY434" t="str">
        <v>Dedicated trashcan locker</v>
      </c>
      <c r="BZ434" t="str">
        <v>Coat hook</v>
      </c>
      <c r="CA434" t="str">
        <v>Waste tank</v>
      </c>
      <c r="CB434" t="str">
        <v>Forepeak panel</v>
      </c>
      <c r="CC434" t="str">
        <v>Portlight with roller blind</v>
      </c>
      <c r="CD434" t="str">
        <v>Overhead roller blinds for privacy</v>
      </c>
    </row>
    <row r="435" spans="1:82" ht="15" customHeight="1" x14ac:dyDescent="0.25">
      <c r="A435" s="76"/>
      <c r="B435" s="97"/>
      <c r="C435" s="76"/>
      <c r="D435" s="3"/>
      <c r="E435" s="3"/>
      <c r="F435" s="73"/>
      <c r="G435" s="75"/>
      <c r="H435" s="73"/>
      <c r="I435" s="3"/>
      <c r="J435" s="3"/>
      <c r="K435" s="3"/>
      <c r="L435" s="3"/>
      <c r="M435" t="str" cm="1">
        <f t="array" ref="M435:CD435">TRANSPOSE(_xlfn.UNIQUE(_xlfn._xlws.FILTER(Table4[Discipine Area],(Table4[Discipline No.]=C493)*(Table4[Discipline No.]=C493))))</f>
        <v>SALOON</v>
      </c>
      <c r="N435" t="str">
        <v>Companion door</v>
      </c>
      <c r="O435" t="str">
        <v>Fwd cockpit door</v>
      </c>
      <c r="P435" t="str">
        <v>Windows</v>
      </c>
      <c r="Q435" t="str">
        <v>U shape settee</v>
      </c>
      <c r="R435" t="str">
        <v>Saloon table</v>
      </c>
      <c r="S435" t="str">
        <v>Formica Bulkheads</v>
      </c>
      <c r="T435" t="str">
        <v>Magazine locker/shelf locker</v>
      </c>
      <c r="U435" t="str">
        <v>Vents</v>
      </c>
      <c r="V435" t="str">
        <v>Hullside vinyl panels</v>
      </c>
      <c r="W435" t="str">
        <v>Window blinds</v>
      </c>
      <c r="X435" t="str">
        <v>Nav desk</v>
      </c>
      <c r="Y435" t="str">
        <v>Chart table with storage locker under hinged lid</v>
      </c>
      <c r="Z435" t="str">
        <v>Storage locker under chart table</v>
      </c>
      <c r="AA435" t="str">
        <v xml:space="preserve">AC Outlets </v>
      </c>
      <c r="AB435" t="str">
        <v>Ottoman</v>
      </c>
      <c r="AC435" t="str">
        <v>Galley lockers</v>
      </c>
      <c r="AD435" t="str">
        <v>Stove locker</v>
      </c>
      <c r="AE435" t="str">
        <v>Draw locker</v>
      </c>
      <c r="AF435" t="str">
        <v>Fridge/Freezer locker</v>
      </c>
      <c r="AG435" t="str">
        <v>Microwave locker</v>
      </c>
      <c r="AH435" t="str">
        <v>Tv locker</v>
      </c>
      <c r="AI435" t="str">
        <v>AC/DC locker</v>
      </c>
      <c r="AJ435" t="str">
        <v>Vinyl ceiling</v>
      </c>
      <c r="AK435" t="str">
        <v>Floor</v>
      </c>
      <c r="AL435" t="str">
        <v>Large bowl s/s sink</v>
      </c>
      <c r="AM435" t="str">
        <v>Dish and cutlery drying recess with drainage</v>
      </c>
      <c r="AN435" t="str">
        <v>Cover for drying recess</v>
      </c>
      <c r="AO435" t="str">
        <v xml:space="preserve">Vitrifrigo 2 drawer front-opening fridge/freezer </v>
      </c>
      <c r="AP435" t="str">
        <v>Ice maker</v>
      </c>
      <c r="AQ435" t="str">
        <v>Wine cooler</v>
      </c>
      <c r="AR435" t="str">
        <v>Burner gas hob</v>
      </c>
      <c r="AS435" t="str">
        <v>Gas oven</v>
      </c>
      <c r="AT435" t="str">
        <v>Gas solenoid shut-off valve with control &amp; warning light at cooker</v>
      </c>
      <c r="AU435" t="str">
        <v xml:space="preserve">Formica steps </v>
      </c>
      <c r="AV435" t="str">
        <v>Gas detectors in each hull connected to alarm in saloon</v>
      </c>
      <c r="AW435" t="str">
        <v>Smoke detector/alarm</v>
      </c>
      <c r="AX435" t="str">
        <v>LED overhead lighting</v>
      </c>
      <c r="AY435" t="str">
        <v>CABIN/ STUDY/PASSAGE</v>
      </c>
      <c r="AZ435" t="str">
        <v>Inspection lids</v>
      </c>
      <c r="BA435" t="str">
        <v>Vinyl panels</v>
      </c>
      <c r="BB435" t="str">
        <v>Stairs</v>
      </c>
      <c r="BC435" t="str">
        <v>Bedside table outboard</v>
      </c>
      <c r="BD435" t="str">
        <v>Bedside cave locker inboard</v>
      </c>
      <c r="BE435" t="str">
        <v>Bunktop/Double berth</v>
      </c>
      <c r="BF435" t="str">
        <v>Hanging locker</v>
      </c>
      <c r="BG435" t="str">
        <v>Bunk Drawers</v>
      </c>
      <c r="BH435" t="str">
        <v>Cabin Door</v>
      </c>
      <c r="BI435" t="str">
        <v>Door frames</v>
      </c>
      <c r="BJ435" t="str">
        <v>Fiddles</v>
      </c>
      <c r="BK435" t="str">
        <v>Fan</v>
      </c>
      <c r="BL435" t="str">
        <v>Hatch</v>
      </c>
      <c r="BM435" t="str">
        <v>2 x LED reading lamps over bunk</v>
      </c>
      <c r="BN435" t="str">
        <v>Vanity table/desk with storage locker and mirror under lid</v>
      </c>
      <c r="BO435" t="str">
        <v>Fold up vanity mirror</v>
      </c>
      <c r="BP435" t="str">
        <v>Sliding entrance door with lock</v>
      </c>
      <c r="BQ435" t="str">
        <v>Doors</v>
      </c>
      <c r="BR435" t="str">
        <v>Large mirror behind sliding entrance door</v>
      </c>
      <c r="BS435" t="str">
        <v xml:space="preserve">HEADS </v>
      </c>
      <c r="BT435" t="str">
        <v>Under-basin locker with toilet roll holder</v>
      </c>
      <c r="BU435" t="str">
        <v>Vanity locker with mirror</v>
      </c>
      <c r="BV435" t="str">
        <v>Double towel rail</v>
      </c>
      <c r="BW435" t="str">
        <v>Sliding or hinged heads door</v>
      </c>
      <c r="BX435" t="str">
        <v>Washing machine locker</v>
      </c>
      <c r="BY435" t="str">
        <v>Dedicated trashcan locker</v>
      </c>
      <c r="BZ435" t="str">
        <v>Coat hook</v>
      </c>
      <c r="CA435" t="str">
        <v>Waste tank</v>
      </c>
      <c r="CB435" t="str">
        <v>Forepeak panel</v>
      </c>
      <c r="CC435" t="str">
        <v>Portlight with roller blind</v>
      </c>
      <c r="CD435" t="str">
        <v>Overhead roller blinds for privacy</v>
      </c>
    </row>
    <row r="436" spans="1:82" ht="15.75" customHeight="1" x14ac:dyDescent="0.25">
      <c r="A436" s="76"/>
      <c r="B436" s="97"/>
      <c r="C436" s="76"/>
      <c r="D436" s="3"/>
      <c r="E436" s="3"/>
      <c r="F436" s="73"/>
      <c r="G436" s="75"/>
      <c r="H436" s="3"/>
      <c r="I436" s="3"/>
      <c r="J436" s="3"/>
      <c r="K436" s="3"/>
      <c r="L436" s="3"/>
      <c r="M436" t="str" cm="1">
        <f t="array" ref="M436:P436">TRANSPOSE(_xlfn.UNIQUE(_xlfn._xlws.FILTER(Table4[Discipine Area],(Table4[Discipline No.]=C495)*(Table4[Discipline No.]=C495))))</f>
        <v>SPRAY PAINTING</v>
      </c>
      <c r="N436" t="str">
        <v>Solids</v>
      </c>
      <c r="O436" t="str">
        <v>Frame</v>
      </c>
      <c r="P436" t="str">
        <v>Vents</v>
      </c>
    </row>
    <row r="437" spans="1:82" ht="15.75" customHeight="1" x14ac:dyDescent="0.25">
      <c r="A437" s="76"/>
      <c r="B437" s="97"/>
      <c r="C437" s="76"/>
      <c r="D437" s="3"/>
      <c r="E437" s="3"/>
      <c r="F437" s="73"/>
      <c r="G437" s="75"/>
      <c r="H437" s="3"/>
      <c r="I437" s="3"/>
      <c r="J437" s="3"/>
      <c r="K437" s="3"/>
      <c r="L437" s="3"/>
      <c r="M437" t="e" cm="1" vm="1">
        <f t="array" ref="M437">TRANSPOSE(_xlfn.UNIQUE(_xlfn._xlws.FILTER(Table4[Discipine Area],(Table4[Discipline No.]=C497)*(Table4[Discipline No.]=C497))))</f>
        <v>#VALUE!</v>
      </c>
    </row>
    <row r="438" spans="1:82" ht="15" customHeight="1" x14ac:dyDescent="0.25">
      <c r="A438" s="131" t="s">
        <v>411</v>
      </c>
      <c r="B438" s="132"/>
      <c r="C438" s="132"/>
      <c r="D438" s="132"/>
      <c r="E438" s="132"/>
      <c r="F438" s="133"/>
      <c r="G438" s="3" t="s">
        <v>412</v>
      </c>
      <c r="H438" s="141"/>
      <c r="I438" s="142"/>
      <c r="J438" s="134" t="s">
        <v>409</v>
      </c>
      <c r="K438" s="135"/>
      <c r="L438" s="136"/>
      <c r="M438" t="e" cm="1" vm="1">
        <f t="array" ref="M438">TRANSPOSE(_xlfn.UNIQUE(_xlfn._xlws.FILTER(Table4[Discipine Area],(Table4[Discipline No.]=C498)*(Table4[Discipline No.]=C498))))</f>
        <v>#VALUE!</v>
      </c>
    </row>
    <row r="439" spans="1:82" ht="15" customHeight="1" x14ac:dyDescent="0.25">
      <c r="A439" s="127" t="s">
        <v>0</v>
      </c>
      <c r="B439" s="127" t="s">
        <v>1</v>
      </c>
      <c r="C439" s="129" t="s">
        <v>2</v>
      </c>
      <c r="D439" s="129" t="s">
        <v>3</v>
      </c>
      <c r="E439" s="129" t="s">
        <v>4</v>
      </c>
      <c r="F439" s="129" t="s">
        <v>410</v>
      </c>
      <c r="G439" s="139" t="s">
        <v>216</v>
      </c>
      <c r="H439" s="139" t="s">
        <v>6</v>
      </c>
      <c r="I439" s="139" t="s">
        <v>7</v>
      </c>
      <c r="J439" s="137" t="s">
        <v>8</v>
      </c>
      <c r="K439" s="138" t="s">
        <v>9</v>
      </c>
      <c r="L439" s="138"/>
      <c r="M439" t="e" cm="1" vm="1">
        <f t="array" ref="M439">TRANSPOSE(_xlfn.UNIQUE(_xlfn._xlws.FILTER(Table4[Discipine Area],(Table4[Discipline No.]=C499)*(Table4[Discipline No.]=C499))))</f>
        <v>#VALUE!</v>
      </c>
    </row>
    <row r="440" spans="1:82" ht="15" customHeight="1" x14ac:dyDescent="0.25">
      <c r="A440" s="128"/>
      <c r="B440" s="128"/>
      <c r="C440" s="130"/>
      <c r="D440" s="130"/>
      <c r="E440" s="130"/>
      <c r="F440" s="130"/>
      <c r="G440" s="140"/>
      <c r="H440" s="140"/>
      <c r="I440" s="140"/>
      <c r="J440" s="137"/>
      <c r="K440" s="78" t="s">
        <v>10</v>
      </c>
      <c r="L440" s="78" t="s">
        <v>11</v>
      </c>
      <c r="M440" t="e" cm="1" vm="1">
        <f t="array" ref="M440">TRANSPOSE(_xlfn.UNIQUE(_xlfn._xlws.FILTER(Table4[Discipine Area],(Table4[Discipline No.]=C500)*(Table4[Discipline No.]=C500))))</f>
        <v>#VALUE!</v>
      </c>
    </row>
    <row r="441" spans="1:82" ht="15" customHeight="1" x14ac:dyDescent="0.25">
      <c r="A441" s="9"/>
      <c r="B441" s="113" t="s">
        <v>601</v>
      </c>
      <c r="C441" s="9"/>
      <c r="D441" s="74"/>
      <c r="E441" s="73"/>
      <c r="F441" s="3"/>
      <c r="G441" s="75"/>
      <c r="H441" s="3"/>
      <c r="I441" s="3"/>
      <c r="J441" s="3"/>
      <c r="K441" s="3"/>
      <c r="L441" s="3"/>
      <c r="M441" t="e" cm="1" vm="1">
        <f t="array" ref="M441">TRANSPOSE(_xlfn.UNIQUE(_xlfn._xlws.FILTER(Table4[Discipine Area],(Table4[Discipline No.]=C501)*(Table4[Discipline No.]=C501))))</f>
        <v>#VALUE!</v>
      </c>
    </row>
    <row r="442" spans="1:82" x14ac:dyDescent="0.25">
      <c r="A442" s="9"/>
      <c r="B442" s="144"/>
      <c r="C442" s="9">
        <v>3</v>
      </c>
      <c r="D442" s="74" t="s">
        <v>175</v>
      </c>
      <c r="E442" s="73" t="s">
        <v>301</v>
      </c>
      <c r="F442" s="3"/>
      <c r="G442" s="74" t="s">
        <v>602</v>
      </c>
      <c r="H442" s="3"/>
      <c r="I442" s="3"/>
      <c r="J442" s="3"/>
      <c r="K442" s="3"/>
      <c r="L442" s="3"/>
      <c r="M442" t="e" cm="1" vm="1">
        <f t="array" ref="M442">TRANSPOSE(_xlfn.UNIQUE(_xlfn._xlws.FILTER(Table4[Discipine Area],(Table4[Discipline No.]=C502)*(Table4[Discipline No.]=C502))))</f>
        <v>#VALUE!</v>
      </c>
    </row>
    <row r="443" spans="1:82" x14ac:dyDescent="0.25">
      <c r="A443" s="9"/>
      <c r="B443" s="118"/>
      <c r="C443" s="9">
        <v>1</v>
      </c>
      <c r="D443" s="74" t="s">
        <v>175</v>
      </c>
      <c r="E443" s="74" t="s">
        <v>224</v>
      </c>
      <c r="F443" s="3"/>
      <c r="G443" s="74" t="s">
        <v>603</v>
      </c>
      <c r="H443" s="3"/>
      <c r="I443" s="3"/>
      <c r="J443" s="3"/>
      <c r="K443" s="3"/>
      <c r="L443" s="3"/>
      <c r="M443" t="e" cm="1" vm="1">
        <f t="array" ref="M443">TRANSPOSE(_xlfn.UNIQUE(_xlfn._xlws.FILTER(Table4[Discipine Area],(Table4[Discipline No.]=C503)*(Table4[Discipline No.]=C503))))</f>
        <v>#VALUE!</v>
      </c>
    </row>
    <row r="444" spans="1:82" ht="30" x14ac:dyDescent="0.25">
      <c r="A444" s="9"/>
      <c r="B444" s="116"/>
      <c r="C444" s="9">
        <v>10</v>
      </c>
      <c r="D444" s="74" t="s">
        <v>26</v>
      </c>
      <c r="E444" s="73" t="s">
        <v>217</v>
      </c>
      <c r="F444" s="3"/>
      <c r="G444" s="74" t="s">
        <v>604</v>
      </c>
      <c r="H444" s="3"/>
      <c r="I444" s="3"/>
      <c r="J444" s="3"/>
      <c r="K444" s="3"/>
      <c r="L444" s="3"/>
      <c r="M444" t="e" cm="1" vm="1">
        <f t="array" ref="M444">TRANSPOSE(_xlfn.UNIQUE(_xlfn._xlws.FILTER(Table4[Discipine Area],(Table4[Discipline No.]=C504)*(Table4[Discipline No.]=C504))))</f>
        <v>#VALUE!</v>
      </c>
    </row>
    <row r="445" spans="1:82" x14ac:dyDescent="0.25">
      <c r="A445" s="126"/>
      <c r="B445" s="118"/>
      <c r="C445" s="9">
        <v>10</v>
      </c>
      <c r="D445" s="74" t="s">
        <v>389</v>
      </c>
      <c r="E445" s="74" t="s">
        <v>217</v>
      </c>
      <c r="F445" s="3"/>
      <c r="G445" s="74" t="s">
        <v>605</v>
      </c>
      <c r="H445" s="3"/>
      <c r="I445" s="3"/>
      <c r="J445" s="3"/>
      <c r="K445" s="3"/>
      <c r="L445" s="3"/>
      <c r="M445" t="e" cm="1" vm="1">
        <f t="array" ref="M445">TRANSPOSE(_xlfn.UNIQUE(_xlfn._xlws.FILTER(Table4[Discipine Area],(Table4[Discipline No.]=C505)*(Table4[Discipline No.]=C505))))</f>
        <v>#VALUE!</v>
      </c>
    </row>
    <row r="446" spans="1:82" ht="30" x14ac:dyDescent="0.25">
      <c r="A446" s="9"/>
      <c r="B446" s="118"/>
      <c r="C446" s="9">
        <v>3</v>
      </c>
      <c r="D446" s="74" t="s">
        <v>12</v>
      </c>
      <c r="E446" s="73" t="s">
        <v>301</v>
      </c>
      <c r="F446" s="3"/>
      <c r="G446" s="74" t="s">
        <v>606</v>
      </c>
      <c r="H446" s="3"/>
      <c r="I446" s="3"/>
      <c r="J446" s="3"/>
      <c r="K446" s="3"/>
      <c r="L446" s="3"/>
      <c r="M446" t="str" cm="1">
        <f t="array" ref="M446:CD446">TRANSPOSE(_xlfn.UNIQUE(_xlfn._xlws.FILTER(Table4[Discipine Area],(Table4[Discipline No.]=C513)*(Table4[Discipline No.]=C513))))</f>
        <v>SALOON</v>
      </c>
      <c r="N446" t="str">
        <v>Companion door</v>
      </c>
      <c r="O446" t="str">
        <v>Fwd cockpit door</v>
      </c>
      <c r="P446" t="str">
        <v>Windows</v>
      </c>
      <c r="Q446" t="str">
        <v>U shape settee</v>
      </c>
      <c r="R446" t="str">
        <v>Saloon table</v>
      </c>
      <c r="S446" t="str">
        <v>Formica Bulkheads</v>
      </c>
      <c r="T446" t="str">
        <v>Magazine locker/shelf locker</v>
      </c>
      <c r="U446" t="str">
        <v>Vents</v>
      </c>
      <c r="V446" t="str">
        <v>Hullside vinyl panels</v>
      </c>
      <c r="W446" t="str">
        <v>Window blinds</v>
      </c>
      <c r="X446" t="str">
        <v>Nav desk</v>
      </c>
      <c r="Y446" t="str">
        <v>Chart table with storage locker under hinged lid</v>
      </c>
      <c r="Z446" t="str">
        <v>Storage locker under chart table</v>
      </c>
      <c r="AA446" t="str">
        <v xml:space="preserve">AC Outlets </v>
      </c>
      <c r="AB446" t="str">
        <v>Ottoman</v>
      </c>
      <c r="AC446" t="str">
        <v>Galley lockers</v>
      </c>
      <c r="AD446" t="str">
        <v>Stove locker</v>
      </c>
      <c r="AE446" t="str">
        <v>Draw locker</v>
      </c>
      <c r="AF446" t="str">
        <v>Fridge/Freezer locker</v>
      </c>
      <c r="AG446" t="str">
        <v>Microwave locker</v>
      </c>
      <c r="AH446" t="str">
        <v>Tv locker</v>
      </c>
      <c r="AI446" t="str">
        <v>AC/DC locker</v>
      </c>
      <c r="AJ446" t="str">
        <v>Vinyl ceiling</v>
      </c>
      <c r="AK446" t="str">
        <v>Floor</v>
      </c>
      <c r="AL446" t="str">
        <v>Large bowl s/s sink</v>
      </c>
      <c r="AM446" t="str">
        <v>Dish and cutlery drying recess with drainage</v>
      </c>
      <c r="AN446" t="str">
        <v>Cover for drying recess</v>
      </c>
      <c r="AO446" t="str">
        <v xml:space="preserve">Vitrifrigo 2 drawer front-opening fridge/freezer </v>
      </c>
      <c r="AP446" t="str">
        <v>Ice maker</v>
      </c>
      <c r="AQ446" t="str">
        <v>Wine cooler</v>
      </c>
      <c r="AR446" t="str">
        <v>Burner gas hob</v>
      </c>
      <c r="AS446" t="str">
        <v>Gas oven</v>
      </c>
      <c r="AT446" t="str">
        <v>Gas solenoid shut-off valve with control &amp; warning light at cooker</v>
      </c>
      <c r="AU446" t="str">
        <v xml:space="preserve">Formica steps </v>
      </c>
      <c r="AV446" t="str">
        <v>Gas detectors in each hull connected to alarm in saloon</v>
      </c>
      <c r="AW446" t="str">
        <v>Smoke detector/alarm</v>
      </c>
      <c r="AX446" t="str">
        <v>LED overhead lighting</v>
      </c>
      <c r="AY446" t="str">
        <v>CABIN/ STUDY/PASSAGE</v>
      </c>
      <c r="AZ446" t="str">
        <v>Inspection lids</v>
      </c>
      <c r="BA446" t="str">
        <v>Vinyl panels</v>
      </c>
      <c r="BB446" t="str">
        <v>Stairs</v>
      </c>
      <c r="BC446" t="str">
        <v>Bedside table outboard</v>
      </c>
      <c r="BD446" t="str">
        <v>Bedside cave locker inboard</v>
      </c>
      <c r="BE446" t="str">
        <v>Bunktop/Double berth</v>
      </c>
      <c r="BF446" t="str">
        <v>Hanging locker</v>
      </c>
      <c r="BG446" t="str">
        <v>Bunk Drawers</v>
      </c>
      <c r="BH446" t="str">
        <v>Cabin Door</v>
      </c>
      <c r="BI446" t="str">
        <v>Door frames</v>
      </c>
      <c r="BJ446" t="str">
        <v>Fiddles</v>
      </c>
      <c r="BK446" t="str">
        <v>Fan</v>
      </c>
      <c r="BL446" t="str">
        <v>Hatch</v>
      </c>
      <c r="BM446" t="str">
        <v>2 x LED reading lamps over bunk</v>
      </c>
      <c r="BN446" t="str">
        <v>Vanity table/desk with storage locker and mirror under lid</v>
      </c>
      <c r="BO446" t="str">
        <v>Fold up vanity mirror</v>
      </c>
      <c r="BP446" t="str">
        <v>Sliding entrance door with lock</v>
      </c>
      <c r="BQ446" t="str">
        <v>Doors</v>
      </c>
      <c r="BR446" t="str">
        <v>Large mirror behind sliding entrance door</v>
      </c>
      <c r="BS446" t="str">
        <v xml:space="preserve">HEADS </v>
      </c>
      <c r="BT446" t="str">
        <v>Under-basin locker with toilet roll holder</v>
      </c>
      <c r="BU446" t="str">
        <v>Vanity locker with mirror</v>
      </c>
      <c r="BV446" t="str">
        <v>Double towel rail</v>
      </c>
      <c r="BW446" t="str">
        <v>Sliding or hinged heads door</v>
      </c>
      <c r="BX446" t="str">
        <v>Washing machine locker</v>
      </c>
      <c r="BY446" t="str">
        <v>Dedicated trashcan locker</v>
      </c>
      <c r="BZ446" t="str">
        <v>Coat hook</v>
      </c>
      <c r="CA446" t="str">
        <v>Waste tank</v>
      </c>
      <c r="CB446" t="str">
        <v>Forepeak panel</v>
      </c>
      <c r="CC446" t="str">
        <v>Portlight with roller blind</v>
      </c>
      <c r="CD446" t="str">
        <v>Overhead roller blinds for privacy</v>
      </c>
    </row>
    <row r="447" spans="1:82" x14ac:dyDescent="0.25">
      <c r="A447" s="76"/>
      <c r="B447" s="118"/>
      <c r="C447" s="9">
        <v>5</v>
      </c>
      <c r="D447" s="74" t="s">
        <v>283</v>
      </c>
      <c r="E447" s="74" t="s">
        <v>301</v>
      </c>
      <c r="F447" s="3"/>
      <c r="G447" s="74" t="s">
        <v>607</v>
      </c>
      <c r="H447" s="3"/>
      <c r="I447" s="3"/>
      <c r="J447" s="3"/>
      <c r="K447" s="3"/>
      <c r="L447" s="3"/>
      <c r="M447" t="str" cm="1">
        <f t="array" ref="M447:CD447">TRANSPOSE(_xlfn.UNIQUE(_xlfn._xlws.FILTER(Table4[Discipine Area],(Table4[Discipline No.]=C514)*(Table4[Discipline No.]=C514))))</f>
        <v>SALOON</v>
      </c>
      <c r="N447" t="str">
        <v>Companion door</v>
      </c>
      <c r="O447" t="str">
        <v>Fwd cockpit door</v>
      </c>
      <c r="P447" t="str">
        <v>Windows</v>
      </c>
      <c r="Q447" t="str">
        <v>U shape settee</v>
      </c>
      <c r="R447" t="str">
        <v>Saloon table</v>
      </c>
      <c r="S447" t="str">
        <v>Formica Bulkheads</v>
      </c>
      <c r="T447" t="str">
        <v>Magazine locker/shelf locker</v>
      </c>
      <c r="U447" t="str">
        <v>Vents</v>
      </c>
      <c r="V447" t="str">
        <v>Hullside vinyl panels</v>
      </c>
      <c r="W447" t="str">
        <v>Window blinds</v>
      </c>
      <c r="X447" t="str">
        <v>Nav desk</v>
      </c>
      <c r="Y447" t="str">
        <v>Chart table with storage locker under hinged lid</v>
      </c>
      <c r="Z447" t="str">
        <v>Storage locker under chart table</v>
      </c>
      <c r="AA447" t="str">
        <v xml:space="preserve">AC Outlets </v>
      </c>
      <c r="AB447" t="str">
        <v>Ottoman</v>
      </c>
      <c r="AC447" t="str">
        <v>Galley lockers</v>
      </c>
      <c r="AD447" t="str">
        <v>Stove locker</v>
      </c>
      <c r="AE447" t="str">
        <v>Draw locker</v>
      </c>
      <c r="AF447" t="str">
        <v>Fridge/Freezer locker</v>
      </c>
      <c r="AG447" t="str">
        <v>Microwave locker</v>
      </c>
      <c r="AH447" t="str">
        <v>Tv locker</v>
      </c>
      <c r="AI447" t="str">
        <v>AC/DC locker</v>
      </c>
      <c r="AJ447" t="str">
        <v>Vinyl ceiling</v>
      </c>
      <c r="AK447" t="str">
        <v>Floor</v>
      </c>
      <c r="AL447" t="str">
        <v>Large bowl s/s sink</v>
      </c>
      <c r="AM447" t="str">
        <v>Dish and cutlery drying recess with drainage</v>
      </c>
      <c r="AN447" t="str">
        <v>Cover for drying recess</v>
      </c>
      <c r="AO447" t="str">
        <v xml:space="preserve">Vitrifrigo 2 drawer front-opening fridge/freezer </v>
      </c>
      <c r="AP447" t="str">
        <v>Ice maker</v>
      </c>
      <c r="AQ447" t="str">
        <v>Wine cooler</v>
      </c>
      <c r="AR447" t="str">
        <v>Burner gas hob</v>
      </c>
      <c r="AS447" t="str">
        <v>Gas oven</v>
      </c>
      <c r="AT447" t="str">
        <v>Gas solenoid shut-off valve with control &amp; warning light at cooker</v>
      </c>
      <c r="AU447" t="str">
        <v xml:space="preserve">Formica steps </v>
      </c>
      <c r="AV447" t="str">
        <v>Gas detectors in each hull connected to alarm in saloon</v>
      </c>
      <c r="AW447" t="str">
        <v>Smoke detector/alarm</v>
      </c>
      <c r="AX447" t="str">
        <v>LED overhead lighting</v>
      </c>
      <c r="AY447" t="str">
        <v>CABIN/ STUDY/PASSAGE</v>
      </c>
      <c r="AZ447" t="str">
        <v>Inspection lids</v>
      </c>
      <c r="BA447" t="str">
        <v>Vinyl panels</v>
      </c>
      <c r="BB447" t="str">
        <v>Stairs</v>
      </c>
      <c r="BC447" t="str">
        <v>Bedside table outboard</v>
      </c>
      <c r="BD447" t="str">
        <v>Bedside cave locker inboard</v>
      </c>
      <c r="BE447" t="str">
        <v>Bunktop/Double berth</v>
      </c>
      <c r="BF447" t="str">
        <v>Hanging locker</v>
      </c>
      <c r="BG447" t="str">
        <v>Bunk Drawers</v>
      </c>
      <c r="BH447" t="str">
        <v>Cabin Door</v>
      </c>
      <c r="BI447" t="str">
        <v>Door frames</v>
      </c>
      <c r="BJ447" t="str">
        <v>Fiddles</v>
      </c>
      <c r="BK447" t="str">
        <v>Fan</v>
      </c>
      <c r="BL447" t="str">
        <v>Hatch</v>
      </c>
      <c r="BM447" t="str">
        <v>2 x LED reading lamps over bunk</v>
      </c>
      <c r="BN447" t="str">
        <v>Vanity table/desk with storage locker and mirror under lid</v>
      </c>
      <c r="BO447" t="str">
        <v>Fold up vanity mirror</v>
      </c>
      <c r="BP447" t="str">
        <v>Sliding entrance door with lock</v>
      </c>
      <c r="BQ447" t="str">
        <v>Doors</v>
      </c>
      <c r="BR447" t="str">
        <v>Large mirror behind sliding entrance door</v>
      </c>
      <c r="BS447" t="str">
        <v xml:space="preserve">HEADS </v>
      </c>
      <c r="BT447" t="str">
        <v>Under-basin locker with toilet roll holder</v>
      </c>
      <c r="BU447" t="str">
        <v>Vanity locker with mirror</v>
      </c>
      <c r="BV447" t="str">
        <v>Double towel rail</v>
      </c>
      <c r="BW447" t="str">
        <v>Sliding or hinged heads door</v>
      </c>
      <c r="BX447" t="str">
        <v>Washing machine locker</v>
      </c>
      <c r="BY447" t="str">
        <v>Dedicated trashcan locker</v>
      </c>
      <c r="BZ447" t="str">
        <v>Coat hook</v>
      </c>
      <c r="CA447" t="str">
        <v>Waste tank</v>
      </c>
      <c r="CB447" t="str">
        <v>Forepeak panel</v>
      </c>
      <c r="CC447" t="str">
        <v>Portlight with roller blind</v>
      </c>
      <c r="CD447" t="str">
        <v>Overhead roller blinds for privacy</v>
      </c>
    </row>
    <row r="448" spans="1:82" x14ac:dyDescent="0.25">
      <c r="A448" s="126"/>
      <c r="B448" s="118"/>
      <c r="C448" s="9">
        <v>1</v>
      </c>
      <c r="D448" s="74" t="s">
        <v>280</v>
      </c>
      <c r="E448" s="74" t="s">
        <v>217</v>
      </c>
      <c r="F448" s="3"/>
      <c r="G448" s="74" t="s">
        <v>608</v>
      </c>
      <c r="H448" s="3"/>
      <c r="I448" s="3"/>
      <c r="J448" s="3"/>
      <c r="K448" s="3"/>
      <c r="L448" s="3"/>
      <c r="M448" t="str" cm="1">
        <f t="array" ref="M448:CD448">TRANSPOSE(_xlfn.UNIQUE(_xlfn._xlws.FILTER(Table4[Discipine Area],(Table4[Discipline No.]=C515)*(Table4[Discipline No.]=C515))))</f>
        <v>SALOON</v>
      </c>
      <c r="N448" t="str">
        <v>Companion door</v>
      </c>
      <c r="O448" t="str">
        <v>Fwd cockpit door</v>
      </c>
      <c r="P448" t="str">
        <v>Windows</v>
      </c>
      <c r="Q448" t="str">
        <v>U shape settee</v>
      </c>
      <c r="R448" t="str">
        <v>Saloon table</v>
      </c>
      <c r="S448" t="str">
        <v>Formica Bulkheads</v>
      </c>
      <c r="T448" t="str">
        <v>Magazine locker/shelf locker</v>
      </c>
      <c r="U448" t="str">
        <v>Vents</v>
      </c>
      <c r="V448" t="str">
        <v>Hullside vinyl panels</v>
      </c>
      <c r="W448" t="str">
        <v>Window blinds</v>
      </c>
      <c r="X448" t="str">
        <v>Nav desk</v>
      </c>
      <c r="Y448" t="str">
        <v>Chart table with storage locker under hinged lid</v>
      </c>
      <c r="Z448" t="str">
        <v>Storage locker under chart table</v>
      </c>
      <c r="AA448" t="str">
        <v xml:space="preserve">AC Outlets </v>
      </c>
      <c r="AB448" t="str">
        <v>Ottoman</v>
      </c>
      <c r="AC448" t="str">
        <v>Galley lockers</v>
      </c>
      <c r="AD448" t="str">
        <v>Stove locker</v>
      </c>
      <c r="AE448" t="str">
        <v>Draw locker</v>
      </c>
      <c r="AF448" t="str">
        <v>Fridge/Freezer locker</v>
      </c>
      <c r="AG448" t="str">
        <v>Microwave locker</v>
      </c>
      <c r="AH448" t="str">
        <v>Tv locker</v>
      </c>
      <c r="AI448" t="str">
        <v>AC/DC locker</v>
      </c>
      <c r="AJ448" t="str">
        <v>Vinyl ceiling</v>
      </c>
      <c r="AK448" t="str">
        <v>Floor</v>
      </c>
      <c r="AL448" t="str">
        <v>Large bowl s/s sink</v>
      </c>
      <c r="AM448" t="str">
        <v>Dish and cutlery drying recess with drainage</v>
      </c>
      <c r="AN448" t="str">
        <v>Cover for drying recess</v>
      </c>
      <c r="AO448" t="str">
        <v xml:space="preserve">Vitrifrigo 2 drawer front-opening fridge/freezer </v>
      </c>
      <c r="AP448" t="str">
        <v>Ice maker</v>
      </c>
      <c r="AQ448" t="str">
        <v>Wine cooler</v>
      </c>
      <c r="AR448" t="str">
        <v>Burner gas hob</v>
      </c>
      <c r="AS448" t="str">
        <v>Gas oven</v>
      </c>
      <c r="AT448" t="str">
        <v>Gas solenoid shut-off valve with control &amp; warning light at cooker</v>
      </c>
      <c r="AU448" t="str">
        <v xml:space="preserve">Formica steps </v>
      </c>
      <c r="AV448" t="str">
        <v>Gas detectors in each hull connected to alarm in saloon</v>
      </c>
      <c r="AW448" t="str">
        <v>Smoke detector/alarm</v>
      </c>
      <c r="AX448" t="str">
        <v>LED overhead lighting</v>
      </c>
      <c r="AY448" t="str">
        <v>CABIN/ STUDY/PASSAGE</v>
      </c>
      <c r="AZ448" t="str">
        <v>Inspection lids</v>
      </c>
      <c r="BA448" t="str">
        <v>Vinyl panels</v>
      </c>
      <c r="BB448" t="str">
        <v>Stairs</v>
      </c>
      <c r="BC448" t="str">
        <v>Bedside table outboard</v>
      </c>
      <c r="BD448" t="str">
        <v>Bedside cave locker inboard</v>
      </c>
      <c r="BE448" t="str">
        <v>Bunktop/Double berth</v>
      </c>
      <c r="BF448" t="str">
        <v>Hanging locker</v>
      </c>
      <c r="BG448" t="str">
        <v>Bunk Drawers</v>
      </c>
      <c r="BH448" t="str">
        <v>Cabin Door</v>
      </c>
      <c r="BI448" t="str">
        <v>Door frames</v>
      </c>
      <c r="BJ448" t="str">
        <v>Fiddles</v>
      </c>
      <c r="BK448" t="str">
        <v>Fan</v>
      </c>
      <c r="BL448" t="str">
        <v>Hatch</v>
      </c>
      <c r="BM448" t="str">
        <v>2 x LED reading lamps over bunk</v>
      </c>
      <c r="BN448" t="str">
        <v>Vanity table/desk with storage locker and mirror under lid</v>
      </c>
      <c r="BO448" t="str">
        <v>Fold up vanity mirror</v>
      </c>
      <c r="BP448" t="str">
        <v>Sliding entrance door with lock</v>
      </c>
      <c r="BQ448" t="str">
        <v>Doors</v>
      </c>
      <c r="BR448" t="str">
        <v>Large mirror behind sliding entrance door</v>
      </c>
      <c r="BS448" t="str">
        <v xml:space="preserve">HEADS </v>
      </c>
      <c r="BT448" t="str">
        <v>Under-basin locker with toilet roll holder</v>
      </c>
      <c r="BU448" t="str">
        <v>Vanity locker with mirror</v>
      </c>
      <c r="BV448" t="str">
        <v>Double towel rail</v>
      </c>
      <c r="BW448" t="str">
        <v>Sliding or hinged heads door</v>
      </c>
      <c r="BX448" t="str">
        <v>Washing machine locker</v>
      </c>
      <c r="BY448" t="str">
        <v>Dedicated trashcan locker</v>
      </c>
      <c r="BZ448" t="str">
        <v>Coat hook</v>
      </c>
      <c r="CA448" t="str">
        <v>Waste tank</v>
      </c>
      <c r="CB448" t="str">
        <v>Forepeak panel</v>
      </c>
      <c r="CC448" t="str">
        <v>Portlight with roller blind</v>
      </c>
      <c r="CD448" t="str">
        <v>Overhead roller blinds for privacy</v>
      </c>
    </row>
    <row r="449" spans="1:82" x14ac:dyDescent="0.25">
      <c r="A449" s="76"/>
      <c r="B449" s="99"/>
      <c r="C449" s="9"/>
      <c r="D449" s="73"/>
      <c r="E449" s="73"/>
      <c r="F449" s="3"/>
      <c r="G449" s="74"/>
      <c r="H449" s="3"/>
      <c r="I449" s="3"/>
      <c r="J449" s="3"/>
      <c r="K449" s="3"/>
      <c r="L449" s="3"/>
      <c r="M449" t="str" cm="1">
        <f t="array" ref="M449:CD449">TRANSPOSE(_xlfn.UNIQUE(_xlfn._xlws.FILTER(Table4[Discipine Area],(Table4[Discipline No.]=C516)*(Table4[Discipline No.]=C516))))</f>
        <v>SALOON</v>
      </c>
      <c r="N449" t="str">
        <v>Companion door</v>
      </c>
      <c r="O449" t="str">
        <v>Fwd cockpit door</v>
      </c>
      <c r="P449" t="str">
        <v>Windows</v>
      </c>
      <c r="Q449" t="str">
        <v>U shape settee</v>
      </c>
      <c r="R449" t="str">
        <v>Saloon table</v>
      </c>
      <c r="S449" t="str">
        <v>Formica Bulkheads</v>
      </c>
      <c r="T449" t="str">
        <v>Magazine locker/shelf locker</v>
      </c>
      <c r="U449" t="str">
        <v>Vents</v>
      </c>
      <c r="V449" t="str">
        <v>Hullside vinyl panels</v>
      </c>
      <c r="W449" t="str">
        <v>Window blinds</v>
      </c>
      <c r="X449" t="str">
        <v>Nav desk</v>
      </c>
      <c r="Y449" t="str">
        <v>Chart table with storage locker under hinged lid</v>
      </c>
      <c r="Z449" t="str">
        <v>Storage locker under chart table</v>
      </c>
      <c r="AA449" t="str">
        <v xml:space="preserve">AC Outlets </v>
      </c>
      <c r="AB449" t="str">
        <v>Ottoman</v>
      </c>
      <c r="AC449" t="str">
        <v>Galley lockers</v>
      </c>
      <c r="AD449" t="str">
        <v>Stove locker</v>
      </c>
      <c r="AE449" t="str">
        <v>Draw locker</v>
      </c>
      <c r="AF449" t="str">
        <v>Fridge/Freezer locker</v>
      </c>
      <c r="AG449" t="str">
        <v>Microwave locker</v>
      </c>
      <c r="AH449" t="str">
        <v>Tv locker</v>
      </c>
      <c r="AI449" t="str">
        <v>AC/DC locker</v>
      </c>
      <c r="AJ449" t="str">
        <v>Vinyl ceiling</v>
      </c>
      <c r="AK449" t="str">
        <v>Floor</v>
      </c>
      <c r="AL449" t="str">
        <v>Large bowl s/s sink</v>
      </c>
      <c r="AM449" t="str">
        <v>Dish and cutlery drying recess with drainage</v>
      </c>
      <c r="AN449" t="str">
        <v>Cover for drying recess</v>
      </c>
      <c r="AO449" t="str">
        <v xml:space="preserve">Vitrifrigo 2 drawer front-opening fridge/freezer </v>
      </c>
      <c r="AP449" t="str">
        <v>Ice maker</v>
      </c>
      <c r="AQ449" t="str">
        <v>Wine cooler</v>
      </c>
      <c r="AR449" t="str">
        <v>Burner gas hob</v>
      </c>
      <c r="AS449" t="str">
        <v>Gas oven</v>
      </c>
      <c r="AT449" t="str">
        <v>Gas solenoid shut-off valve with control &amp; warning light at cooker</v>
      </c>
      <c r="AU449" t="str">
        <v xml:space="preserve">Formica steps </v>
      </c>
      <c r="AV449" t="str">
        <v>Gas detectors in each hull connected to alarm in saloon</v>
      </c>
      <c r="AW449" t="str">
        <v>Smoke detector/alarm</v>
      </c>
      <c r="AX449" t="str">
        <v>LED overhead lighting</v>
      </c>
      <c r="AY449" t="str">
        <v>CABIN/ STUDY/PASSAGE</v>
      </c>
      <c r="AZ449" t="str">
        <v>Inspection lids</v>
      </c>
      <c r="BA449" t="str">
        <v>Vinyl panels</v>
      </c>
      <c r="BB449" t="str">
        <v>Stairs</v>
      </c>
      <c r="BC449" t="str">
        <v>Bedside table outboard</v>
      </c>
      <c r="BD449" t="str">
        <v>Bedside cave locker inboard</v>
      </c>
      <c r="BE449" t="str">
        <v>Bunktop/Double berth</v>
      </c>
      <c r="BF449" t="str">
        <v>Hanging locker</v>
      </c>
      <c r="BG449" t="str">
        <v>Bunk Drawers</v>
      </c>
      <c r="BH449" t="str">
        <v>Cabin Door</v>
      </c>
      <c r="BI449" t="str">
        <v>Door frames</v>
      </c>
      <c r="BJ449" t="str">
        <v>Fiddles</v>
      </c>
      <c r="BK449" t="str">
        <v>Fan</v>
      </c>
      <c r="BL449" t="str">
        <v>Hatch</v>
      </c>
      <c r="BM449" t="str">
        <v>2 x LED reading lamps over bunk</v>
      </c>
      <c r="BN449" t="str">
        <v>Vanity table/desk with storage locker and mirror under lid</v>
      </c>
      <c r="BO449" t="str">
        <v>Fold up vanity mirror</v>
      </c>
      <c r="BP449" t="str">
        <v>Sliding entrance door with lock</v>
      </c>
      <c r="BQ449" t="str">
        <v>Doors</v>
      </c>
      <c r="BR449" t="str">
        <v>Large mirror behind sliding entrance door</v>
      </c>
      <c r="BS449" t="str">
        <v xml:space="preserve">HEADS </v>
      </c>
      <c r="BT449" t="str">
        <v>Under-basin locker with toilet roll holder</v>
      </c>
      <c r="BU449" t="str">
        <v>Vanity locker with mirror</v>
      </c>
      <c r="BV449" t="str">
        <v>Double towel rail</v>
      </c>
      <c r="BW449" t="str">
        <v>Sliding or hinged heads door</v>
      </c>
      <c r="BX449" t="str">
        <v>Washing machine locker</v>
      </c>
      <c r="BY449" t="str">
        <v>Dedicated trashcan locker</v>
      </c>
      <c r="BZ449" t="str">
        <v>Coat hook</v>
      </c>
      <c r="CA449" t="str">
        <v>Waste tank</v>
      </c>
      <c r="CB449" t="str">
        <v>Forepeak panel</v>
      </c>
      <c r="CC449" t="str">
        <v>Portlight with roller blind</v>
      </c>
      <c r="CD449" t="str">
        <v>Overhead roller blinds for privacy</v>
      </c>
    </row>
    <row r="450" spans="1:82" x14ac:dyDescent="0.25">
      <c r="A450" s="76"/>
      <c r="B450" s="99"/>
      <c r="C450" s="9"/>
      <c r="D450" s="73"/>
      <c r="E450" s="73"/>
      <c r="F450" s="3"/>
      <c r="G450" s="74"/>
      <c r="H450" s="3"/>
      <c r="I450" s="3"/>
      <c r="J450" s="3"/>
      <c r="K450" s="3"/>
      <c r="L450" s="3"/>
      <c r="M450" t="str" cm="1">
        <f t="array" ref="M450:CD450">TRANSPOSE(_xlfn.UNIQUE(_xlfn._xlws.FILTER(Table4[Discipine Area],(Table4[Discipline No.]=C517)*(Table4[Discipline No.]=C517))))</f>
        <v>SALOON</v>
      </c>
      <c r="N450" t="str">
        <v>Companion door</v>
      </c>
      <c r="O450" t="str">
        <v>Fwd cockpit door</v>
      </c>
      <c r="P450" t="str">
        <v>Windows</v>
      </c>
      <c r="Q450" t="str">
        <v>U shape settee</v>
      </c>
      <c r="R450" t="str">
        <v>Saloon table</v>
      </c>
      <c r="S450" t="str">
        <v>Formica Bulkheads</v>
      </c>
      <c r="T450" t="str">
        <v>Magazine locker/shelf locker</v>
      </c>
      <c r="U450" t="str">
        <v>Vents</v>
      </c>
      <c r="V450" t="str">
        <v>Hullside vinyl panels</v>
      </c>
      <c r="W450" t="str">
        <v>Window blinds</v>
      </c>
      <c r="X450" t="str">
        <v>Nav desk</v>
      </c>
      <c r="Y450" t="str">
        <v>Chart table with storage locker under hinged lid</v>
      </c>
      <c r="Z450" t="str">
        <v>Storage locker under chart table</v>
      </c>
      <c r="AA450" t="str">
        <v xml:space="preserve">AC Outlets </v>
      </c>
      <c r="AB450" t="str">
        <v>Ottoman</v>
      </c>
      <c r="AC450" t="str">
        <v>Galley lockers</v>
      </c>
      <c r="AD450" t="str">
        <v>Stove locker</v>
      </c>
      <c r="AE450" t="str">
        <v>Draw locker</v>
      </c>
      <c r="AF450" t="str">
        <v>Fridge/Freezer locker</v>
      </c>
      <c r="AG450" t="str">
        <v>Microwave locker</v>
      </c>
      <c r="AH450" t="str">
        <v>Tv locker</v>
      </c>
      <c r="AI450" t="str">
        <v>AC/DC locker</v>
      </c>
      <c r="AJ450" t="str">
        <v>Vinyl ceiling</v>
      </c>
      <c r="AK450" t="str">
        <v>Floor</v>
      </c>
      <c r="AL450" t="str">
        <v>Large bowl s/s sink</v>
      </c>
      <c r="AM450" t="str">
        <v>Dish and cutlery drying recess with drainage</v>
      </c>
      <c r="AN450" t="str">
        <v>Cover for drying recess</v>
      </c>
      <c r="AO450" t="str">
        <v xml:space="preserve">Vitrifrigo 2 drawer front-opening fridge/freezer </v>
      </c>
      <c r="AP450" t="str">
        <v>Ice maker</v>
      </c>
      <c r="AQ450" t="str">
        <v>Wine cooler</v>
      </c>
      <c r="AR450" t="str">
        <v>Burner gas hob</v>
      </c>
      <c r="AS450" t="str">
        <v>Gas oven</v>
      </c>
      <c r="AT450" t="str">
        <v>Gas solenoid shut-off valve with control &amp; warning light at cooker</v>
      </c>
      <c r="AU450" t="str">
        <v xml:space="preserve">Formica steps </v>
      </c>
      <c r="AV450" t="str">
        <v>Gas detectors in each hull connected to alarm in saloon</v>
      </c>
      <c r="AW450" t="str">
        <v>Smoke detector/alarm</v>
      </c>
      <c r="AX450" t="str">
        <v>LED overhead lighting</v>
      </c>
      <c r="AY450" t="str">
        <v>CABIN/ STUDY/PASSAGE</v>
      </c>
      <c r="AZ450" t="str">
        <v>Inspection lids</v>
      </c>
      <c r="BA450" t="str">
        <v>Vinyl panels</v>
      </c>
      <c r="BB450" t="str">
        <v>Stairs</v>
      </c>
      <c r="BC450" t="str">
        <v>Bedside table outboard</v>
      </c>
      <c r="BD450" t="str">
        <v>Bedside cave locker inboard</v>
      </c>
      <c r="BE450" t="str">
        <v>Bunktop/Double berth</v>
      </c>
      <c r="BF450" t="str">
        <v>Hanging locker</v>
      </c>
      <c r="BG450" t="str">
        <v>Bunk Drawers</v>
      </c>
      <c r="BH450" t="str">
        <v>Cabin Door</v>
      </c>
      <c r="BI450" t="str">
        <v>Door frames</v>
      </c>
      <c r="BJ450" t="str">
        <v>Fiddles</v>
      </c>
      <c r="BK450" t="str">
        <v>Fan</v>
      </c>
      <c r="BL450" t="str">
        <v>Hatch</v>
      </c>
      <c r="BM450" t="str">
        <v>2 x LED reading lamps over bunk</v>
      </c>
      <c r="BN450" t="str">
        <v>Vanity table/desk with storage locker and mirror under lid</v>
      </c>
      <c r="BO450" t="str">
        <v>Fold up vanity mirror</v>
      </c>
      <c r="BP450" t="str">
        <v>Sliding entrance door with lock</v>
      </c>
      <c r="BQ450" t="str">
        <v>Doors</v>
      </c>
      <c r="BR450" t="str">
        <v>Large mirror behind sliding entrance door</v>
      </c>
      <c r="BS450" t="str">
        <v xml:space="preserve">HEADS </v>
      </c>
      <c r="BT450" t="str">
        <v>Under-basin locker with toilet roll holder</v>
      </c>
      <c r="BU450" t="str">
        <v>Vanity locker with mirror</v>
      </c>
      <c r="BV450" t="str">
        <v>Double towel rail</v>
      </c>
      <c r="BW450" t="str">
        <v>Sliding or hinged heads door</v>
      </c>
      <c r="BX450" t="str">
        <v>Washing machine locker</v>
      </c>
      <c r="BY450" t="str">
        <v>Dedicated trashcan locker</v>
      </c>
      <c r="BZ450" t="str">
        <v>Coat hook</v>
      </c>
      <c r="CA450" t="str">
        <v>Waste tank</v>
      </c>
      <c r="CB450" t="str">
        <v>Forepeak panel</v>
      </c>
      <c r="CC450" t="str">
        <v>Portlight with roller blind</v>
      </c>
      <c r="CD450" t="str">
        <v>Overhead roller blinds for privacy</v>
      </c>
    </row>
    <row r="451" spans="1:82" x14ac:dyDescent="0.25">
      <c r="A451" s="76"/>
      <c r="B451" s="99"/>
      <c r="C451" s="9"/>
      <c r="D451" s="73"/>
      <c r="E451" s="73"/>
      <c r="F451" s="3"/>
      <c r="G451" s="74"/>
      <c r="H451" s="3"/>
      <c r="I451" s="3"/>
      <c r="J451" s="3"/>
      <c r="K451" s="3"/>
      <c r="L451" s="3"/>
      <c r="M451" t="e" cm="1" vm="1">
        <f t="array" ref="M451">TRANSPOSE(_xlfn.UNIQUE(_xlfn._xlws.FILTER(Table4[Discipine Area],(Table4[Discipline No.]=C506)*(Table4[Discipline No.]=C506))))</f>
        <v>#VALUE!</v>
      </c>
    </row>
    <row r="452" spans="1:82" x14ac:dyDescent="0.25">
      <c r="A452" s="76"/>
      <c r="B452" s="99"/>
      <c r="C452" s="9"/>
      <c r="D452" s="73"/>
      <c r="E452" s="73"/>
      <c r="F452" s="3"/>
      <c r="G452" s="74"/>
      <c r="H452" s="3"/>
      <c r="I452" s="3"/>
      <c r="J452" s="3"/>
      <c r="K452" s="3"/>
      <c r="L452" s="3"/>
      <c r="M452" t="e" cm="1">
        <f t="array" ref="M452">TRANSPOSE(_xlfn.UNIQUE(_xlfn._xlws.FILTER(Table4[Discipine Area],(Table4[Discipline No.]=#REF!)*(Table4[Discipline No.]=#REF!))))</f>
        <v>#REF!</v>
      </c>
    </row>
    <row r="453" spans="1:82" x14ac:dyDescent="0.25">
      <c r="A453" s="76"/>
      <c r="B453" s="102"/>
      <c r="C453" s="9"/>
      <c r="D453" s="73"/>
      <c r="E453" s="73"/>
      <c r="F453" s="3"/>
      <c r="G453" s="74"/>
      <c r="H453" s="3"/>
      <c r="I453" s="3"/>
      <c r="J453" s="3"/>
      <c r="K453" s="3"/>
      <c r="L453" s="3"/>
    </row>
    <row r="454" spans="1:82" x14ac:dyDescent="0.25">
      <c r="A454" s="76"/>
      <c r="B454" s="99"/>
      <c r="C454" s="9"/>
      <c r="D454" s="73"/>
      <c r="E454" s="73"/>
      <c r="F454" s="3"/>
      <c r="G454" s="74"/>
      <c r="H454" s="3"/>
      <c r="I454" s="3"/>
      <c r="J454" s="3"/>
      <c r="K454" s="3"/>
      <c r="L454" s="3"/>
      <c r="M454" t="e" cm="1" vm="1">
        <f t="array" ref="M454">TRANSPOSE(_xlfn.UNIQUE(_xlfn._xlws.FILTER(Table4[Discipine Area],(Table4[Discipline No.]=C508)*(Table4[Discipline No.]=C508))))</f>
        <v>#VALUE!</v>
      </c>
    </row>
    <row r="455" spans="1:82" x14ac:dyDescent="0.25">
      <c r="A455" s="76"/>
      <c r="B455" s="99"/>
      <c r="C455" s="9"/>
      <c r="D455" s="73"/>
      <c r="E455" s="73"/>
      <c r="F455" s="3"/>
      <c r="G455" s="74"/>
      <c r="H455" s="3"/>
      <c r="I455" s="3"/>
      <c r="J455" s="3"/>
      <c r="K455" s="3"/>
      <c r="L455" s="3"/>
      <c r="M455" t="e" cm="1" vm="1">
        <f t="array" ref="M455">TRANSPOSE(_xlfn.UNIQUE(_xlfn._xlws.FILTER(Table4[Discipine Area],(Table4[Discipline No.]=C509)*(Table4[Discipline No.]=C509))))</f>
        <v>#VALUE!</v>
      </c>
    </row>
    <row r="456" spans="1:82" ht="15" customHeight="1" x14ac:dyDescent="0.25">
      <c r="A456" s="76"/>
      <c r="B456" s="99"/>
      <c r="C456" s="9"/>
      <c r="D456" s="73"/>
      <c r="E456" s="73"/>
      <c r="F456" s="3"/>
      <c r="G456" s="74"/>
      <c r="H456" s="3"/>
      <c r="I456" s="3"/>
      <c r="J456" s="3"/>
      <c r="K456" s="3"/>
      <c r="L456" s="3"/>
      <c r="M456" t="e" cm="1" vm="1">
        <f t="array" ref="M456">TRANSPOSE(_xlfn.UNIQUE(_xlfn._xlws.FILTER(Table4[Discipine Area],(Table4[Discipline No.]=C510)*(Table4[Discipline No.]=C510))))</f>
        <v>#VALUE!</v>
      </c>
    </row>
    <row r="457" spans="1:82" ht="15" customHeight="1" x14ac:dyDescent="0.25">
      <c r="A457" s="76"/>
      <c r="B457" s="99"/>
      <c r="C457" s="9"/>
      <c r="D457" s="73"/>
      <c r="E457" s="73"/>
      <c r="F457" s="3"/>
      <c r="G457" s="74"/>
      <c r="H457" s="3"/>
      <c r="I457" s="3"/>
      <c r="J457" s="3"/>
      <c r="K457" s="3"/>
      <c r="L457" s="3"/>
      <c r="M457" t="e" cm="1" vm="1">
        <f t="array" ref="M457">TRANSPOSE(_xlfn.UNIQUE(_xlfn._xlws.FILTER(Table4[Discipine Area],(Table4[Discipline No.]=C511)*(Table4[Discipline No.]=C511))))</f>
        <v>#VALUE!</v>
      </c>
    </row>
    <row r="458" spans="1:82" ht="15" customHeight="1" x14ac:dyDescent="0.25">
      <c r="A458" s="76"/>
      <c r="B458" s="99"/>
      <c r="C458" s="9"/>
      <c r="D458" s="73"/>
      <c r="E458" s="73"/>
      <c r="F458" s="3"/>
      <c r="G458" s="74"/>
      <c r="H458" s="3"/>
      <c r="I458" s="3"/>
      <c r="J458" s="3"/>
      <c r="K458" s="3"/>
      <c r="L458" s="3"/>
      <c r="M458" t="e" cm="1" vm="1">
        <f t="array" ref="M458">TRANSPOSE(_xlfn.UNIQUE(_xlfn._xlws.FILTER(Table4[Discipine Area],(Table4[Discipline No.]=C512)*(Table4[Discipline No.]=C512))))</f>
        <v>#VALUE!</v>
      </c>
    </row>
    <row r="459" spans="1:82" ht="15" customHeight="1" x14ac:dyDescent="0.25">
      <c r="A459" s="76"/>
      <c r="B459" s="99"/>
      <c r="C459" s="9"/>
      <c r="D459" s="73"/>
      <c r="E459" s="73"/>
      <c r="F459" s="3"/>
      <c r="G459" s="74"/>
      <c r="H459" s="3"/>
      <c r="I459" s="3"/>
      <c r="J459" s="3"/>
      <c r="K459" s="3"/>
      <c r="L459" s="3"/>
      <c r="M459" t="str" cm="1">
        <f t="array" ref="M459:CD459">TRANSPOSE(_xlfn.UNIQUE(_xlfn._xlws.FILTER(Table4[Discipine Area],(Table4[Discipline No.]=C518)*(Table4[Discipline No.]=C518))))</f>
        <v>SALOON</v>
      </c>
      <c r="N459" t="str">
        <v>Companion door</v>
      </c>
      <c r="O459" t="str">
        <v>Fwd cockpit door</v>
      </c>
      <c r="P459" t="str">
        <v>Windows</v>
      </c>
      <c r="Q459" t="str">
        <v>U shape settee</v>
      </c>
      <c r="R459" t="str">
        <v>Saloon table</v>
      </c>
      <c r="S459" t="str">
        <v>Formica Bulkheads</v>
      </c>
      <c r="T459" t="str">
        <v>Magazine locker/shelf locker</v>
      </c>
      <c r="U459" t="str">
        <v>Vents</v>
      </c>
      <c r="V459" t="str">
        <v>Hullside vinyl panels</v>
      </c>
      <c r="W459" t="str">
        <v>Window blinds</v>
      </c>
      <c r="X459" t="str">
        <v>Nav desk</v>
      </c>
      <c r="Y459" t="str">
        <v>Chart table with storage locker under hinged lid</v>
      </c>
      <c r="Z459" t="str">
        <v>Storage locker under chart table</v>
      </c>
      <c r="AA459" t="str">
        <v xml:space="preserve">AC Outlets </v>
      </c>
      <c r="AB459" t="str">
        <v>Ottoman</v>
      </c>
      <c r="AC459" t="str">
        <v>Galley lockers</v>
      </c>
      <c r="AD459" t="str">
        <v>Stove locker</v>
      </c>
      <c r="AE459" t="str">
        <v>Draw locker</v>
      </c>
      <c r="AF459" t="str">
        <v>Fridge/Freezer locker</v>
      </c>
      <c r="AG459" t="str">
        <v>Microwave locker</v>
      </c>
      <c r="AH459" t="str">
        <v>Tv locker</v>
      </c>
      <c r="AI459" t="str">
        <v>AC/DC locker</v>
      </c>
      <c r="AJ459" t="str">
        <v>Vinyl ceiling</v>
      </c>
      <c r="AK459" t="str">
        <v>Floor</v>
      </c>
      <c r="AL459" t="str">
        <v>Large bowl s/s sink</v>
      </c>
      <c r="AM459" t="str">
        <v>Dish and cutlery drying recess with drainage</v>
      </c>
      <c r="AN459" t="str">
        <v>Cover for drying recess</v>
      </c>
      <c r="AO459" t="str">
        <v xml:space="preserve">Vitrifrigo 2 drawer front-opening fridge/freezer </v>
      </c>
      <c r="AP459" t="str">
        <v>Ice maker</v>
      </c>
      <c r="AQ459" t="str">
        <v>Wine cooler</v>
      </c>
      <c r="AR459" t="str">
        <v>Burner gas hob</v>
      </c>
      <c r="AS459" t="str">
        <v>Gas oven</v>
      </c>
      <c r="AT459" t="str">
        <v>Gas solenoid shut-off valve with control &amp; warning light at cooker</v>
      </c>
      <c r="AU459" t="str">
        <v xml:space="preserve">Formica steps </v>
      </c>
      <c r="AV459" t="str">
        <v>Gas detectors in each hull connected to alarm in saloon</v>
      </c>
      <c r="AW459" t="str">
        <v>Smoke detector/alarm</v>
      </c>
      <c r="AX459" t="str">
        <v>LED overhead lighting</v>
      </c>
      <c r="AY459" t="str">
        <v>CABIN/ STUDY/PASSAGE</v>
      </c>
      <c r="AZ459" t="str">
        <v>Inspection lids</v>
      </c>
      <c r="BA459" t="str">
        <v>Vinyl panels</v>
      </c>
      <c r="BB459" t="str">
        <v>Stairs</v>
      </c>
      <c r="BC459" t="str">
        <v>Bedside table outboard</v>
      </c>
      <c r="BD459" t="str">
        <v>Bedside cave locker inboard</v>
      </c>
      <c r="BE459" t="str">
        <v>Bunktop/Double berth</v>
      </c>
      <c r="BF459" t="str">
        <v>Hanging locker</v>
      </c>
      <c r="BG459" t="str">
        <v>Bunk Drawers</v>
      </c>
      <c r="BH459" t="str">
        <v>Cabin Door</v>
      </c>
      <c r="BI459" t="str">
        <v>Door frames</v>
      </c>
      <c r="BJ459" t="str">
        <v>Fiddles</v>
      </c>
      <c r="BK459" t="str">
        <v>Fan</v>
      </c>
      <c r="BL459" t="str">
        <v>Hatch</v>
      </c>
      <c r="BM459" t="str">
        <v>2 x LED reading lamps over bunk</v>
      </c>
      <c r="BN459" t="str">
        <v>Vanity table/desk with storage locker and mirror under lid</v>
      </c>
      <c r="BO459" t="str">
        <v>Fold up vanity mirror</v>
      </c>
      <c r="BP459" t="str">
        <v>Sliding entrance door with lock</v>
      </c>
      <c r="BQ459" t="str">
        <v>Doors</v>
      </c>
      <c r="BR459" t="str">
        <v>Large mirror behind sliding entrance door</v>
      </c>
      <c r="BS459" t="str">
        <v xml:space="preserve">HEADS </v>
      </c>
      <c r="BT459" t="str">
        <v>Under-basin locker with toilet roll holder</v>
      </c>
      <c r="BU459" t="str">
        <v>Vanity locker with mirror</v>
      </c>
      <c r="BV459" t="str">
        <v>Double towel rail</v>
      </c>
      <c r="BW459" t="str">
        <v>Sliding or hinged heads door</v>
      </c>
      <c r="BX459" t="str">
        <v>Washing machine locker</v>
      </c>
      <c r="BY459" t="str">
        <v>Dedicated trashcan locker</v>
      </c>
      <c r="BZ459" t="str">
        <v>Coat hook</v>
      </c>
      <c r="CA459" t="str">
        <v>Waste tank</v>
      </c>
      <c r="CB459" t="str">
        <v>Forepeak panel</v>
      </c>
      <c r="CC459" t="str">
        <v>Portlight with roller blind</v>
      </c>
      <c r="CD459" t="str">
        <v>Overhead roller blinds for privacy</v>
      </c>
    </row>
    <row r="460" spans="1:82" ht="15" customHeight="1" x14ac:dyDescent="0.25">
      <c r="A460" s="76"/>
      <c r="B460" s="99"/>
      <c r="C460" s="9"/>
      <c r="D460" s="73"/>
      <c r="E460" s="73"/>
      <c r="F460" s="3"/>
      <c r="G460" s="74"/>
      <c r="H460" s="3"/>
      <c r="I460" s="3"/>
      <c r="J460" s="3"/>
      <c r="K460" s="3"/>
      <c r="L460" s="3"/>
      <c r="M460" t="str" cm="1">
        <f t="array" ref="M460:R460">TRANSPOSE(_xlfn.UNIQUE(_xlfn._xlws.FILTER(Table4[Discipine Area],(Table4[Discipline No.]=C519)*(Table4[Discipline No.]=C519))))</f>
        <v>PERSPEX</v>
      </c>
      <c r="N460" t="str">
        <v>Doors</v>
      </c>
      <c r="O460" t="str">
        <v>corian</v>
      </c>
      <c r="P460" t="str">
        <v>Dividers</v>
      </c>
      <c r="Q460" t="str">
        <v>Portlight</v>
      </c>
      <c r="R460" t="str">
        <v>Windows</v>
      </c>
    </row>
    <row r="461" spans="1:82" ht="15" customHeight="1" x14ac:dyDescent="0.25">
      <c r="A461" s="76"/>
      <c r="B461" s="97"/>
      <c r="C461" s="76"/>
      <c r="D461" s="3"/>
      <c r="E461" s="3"/>
      <c r="F461" s="3"/>
      <c r="G461" s="75"/>
      <c r="H461" s="3"/>
      <c r="I461" s="3"/>
      <c r="J461" s="3"/>
      <c r="K461" s="3"/>
      <c r="L461" s="3"/>
      <c r="M461" t="str" cm="1">
        <f t="array" ref="M461:CD461">TRANSPOSE(_xlfn.UNIQUE(_xlfn._xlws.FILTER(Table4[Discipine Area],(Table4[Discipline No.]=C520)*(Table4[Discipline No.]=C520))))</f>
        <v>SALOON</v>
      </c>
      <c r="N461" t="str">
        <v>Companion door</v>
      </c>
      <c r="O461" t="str">
        <v>Fwd cockpit door</v>
      </c>
      <c r="P461" t="str">
        <v>Windows</v>
      </c>
      <c r="Q461" t="str">
        <v>U shape settee</v>
      </c>
      <c r="R461" t="str">
        <v>Saloon table</v>
      </c>
      <c r="S461" t="str">
        <v>Formica Bulkheads</v>
      </c>
      <c r="T461" t="str">
        <v>Magazine locker/shelf locker</v>
      </c>
      <c r="U461" t="str">
        <v>Vents</v>
      </c>
      <c r="V461" t="str">
        <v>Hullside vinyl panels</v>
      </c>
      <c r="W461" t="str">
        <v>Window blinds</v>
      </c>
      <c r="X461" t="str">
        <v>Nav desk</v>
      </c>
      <c r="Y461" t="str">
        <v>Chart table with storage locker under hinged lid</v>
      </c>
      <c r="Z461" t="str">
        <v>Storage locker under chart table</v>
      </c>
      <c r="AA461" t="str">
        <v xml:space="preserve">AC Outlets </v>
      </c>
      <c r="AB461" t="str">
        <v>Ottoman</v>
      </c>
      <c r="AC461" t="str">
        <v>Galley lockers</v>
      </c>
      <c r="AD461" t="str">
        <v>Stove locker</v>
      </c>
      <c r="AE461" t="str">
        <v>Draw locker</v>
      </c>
      <c r="AF461" t="str">
        <v>Fridge/Freezer locker</v>
      </c>
      <c r="AG461" t="str">
        <v>Microwave locker</v>
      </c>
      <c r="AH461" t="str">
        <v>Tv locker</v>
      </c>
      <c r="AI461" t="str">
        <v>AC/DC locker</v>
      </c>
      <c r="AJ461" t="str">
        <v>Vinyl ceiling</v>
      </c>
      <c r="AK461" t="str">
        <v>Floor</v>
      </c>
      <c r="AL461" t="str">
        <v>Large bowl s/s sink</v>
      </c>
      <c r="AM461" t="str">
        <v>Dish and cutlery drying recess with drainage</v>
      </c>
      <c r="AN461" t="str">
        <v>Cover for drying recess</v>
      </c>
      <c r="AO461" t="str">
        <v xml:space="preserve">Vitrifrigo 2 drawer front-opening fridge/freezer </v>
      </c>
      <c r="AP461" t="str">
        <v>Ice maker</v>
      </c>
      <c r="AQ461" t="str">
        <v>Wine cooler</v>
      </c>
      <c r="AR461" t="str">
        <v>Burner gas hob</v>
      </c>
      <c r="AS461" t="str">
        <v>Gas oven</v>
      </c>
      <c r="AT461" t="str">
        <v>Gas solenoid shut-off valve with control &amp; warning light at cooker</v>
      </c>
      <c r="AU461" t="str">
        <v xml:space="preserve">Formica steps </v>
      </c>
      <c r="AV461" t="str">
        <v>Gas detectors in each hull connected to alarm in saloon</v>
      </c>
      <c r="AW461" t="str">
        <v>Smoke detector/alarm</v>
      </c>
      <c r="AX461" t="str">
        <v>LED overhead lighting</v>
      </c>
      <c r="AY461" t="str">
        <v>CABIN/ STUDY/PASSAGE</v>
      </c>
      <c r="AZ461" t="str">
        <v>Inspection lids</v>
      </c>
      <c r="BA461" t="str">
        <v>Vinyl panels</v>
      </c>
      <c r="BB461" t="str">
        <v>Stairs</v>
      </c>
      <c r="BC461" t="str">
        <v>Bedside table outboard</v>
      </c>
      <c r="BD461" t="str">
        <v>Bedside cave locker inboard</v>
      </c>
      <c r="BE461" t="str">
        <v>Bunktop/Double berth</v>
      </c>
      <c r="BF461" t="str">
        <v>Hanging locker</v>
      </c>
      <c r="BG461" t="str">
        <v>Bunk Drawers</v>
      </c>
      <c r="BH461" t="str">
        <v>Cabin Door</v>
      </c>
      <c r="BI461" t="str">
        <v>Door frames</v>
      </c>
      <c r="BJ461" t="str">
        <v>Fiddles</v>
      </c>
      <c r="BK461" t="str">
        <v>Fan</v>
      </c>
      <c r="BL461" t="str">
        <v>Hatch</v>
      </c>
      <c r="BM461" t="str">
        <v>2 x LED reading lamps over bunk</v>
      </c>
      <c r="BN461" t="str">
        <v>Vanity table/desk with storage locker and mirror under lid</v>
      </c>
      <c r="BO461" t="str">
        <v>Fold up vanity mirror</v>
      </c>
      <c r="BP461" t="str">
        <v>Sliding entrance door with lock</v>
      </c>
      <c r="BQ461" t="str">
        <v>Doors</v>
      </c>
      <c r="BR461" t="str">
        <v>Large mirror behind sliding entrance door</v>
      </c>
      <c r="BS461" t="str">
        <v xml:space="preserve">HEADS </v>
      </c>
      <c r="BT461" t="str">
        <v>Under-basin locker with toilet roll holder</v>
      </c>
      <c r="BU461" t="str">
        <v>Vanity locker with mirror</v>
      </c>
      <c r="BV461" t="str">
        <v>Double towel rail</v>
      </c>
      <c r="BW461" t="str">
        <v>Sliding or hinged heads door</v>
      </c>
      <c r="BX461" t="str">
        <v>Washing machine locker</v>
      </c>
      <c r="BY461" t="str">
        <v>Dedicated trashcan locker</v>
      </c>
      <c r="BZ461" t="str">
        <v>Coat hook</v>
      </c>
      <c r="CA461" t="str">
        <v>Waste tank</v>
      </c>
      <c r="CB461" t="str">
        <v>Forepeak panel</v>
      </c>
      <c r="CC461" t="str">
        <v>Portlight with roller blind</v>
      </c>
      <c r="CD461" t="str">
        <v>Overhead roller blinds for privacy</v>
      </c>
    </row>
    <row r="462" spans="1:82" ht="15" customHeight="1" x14ac:dyDescent="0.25">
      <c r="A462" s="76"/>
      <c r="B462" s="97"/>
      <c r="C462" s="76"/>
      <c r="D462" s="3"/>
      <c r="E462" s="3"/>
      <c r="F462" s="3"/>
      <c r="G462" s="75"/>
      <c r="H462" s="3"/>
      <c r="I462" s="3"/>
      <c r="J462" s="3"/>
      <c r="K462" s="3"/>
      <c r="L462" s="3"/>
      <c r="M462" t="str" cm="1">
        <f t="array" ref="M462:CD462">TRANSPOSE(_xlfn.UNIQUE(_xlfn._xlws.FILTER(Table4[Discipine Area],(Table4[Discipline No.]=C521)*(Table4[Discipline No.]=C521))))</f>
        <v>SALOON</v>
      </c>
      <c r="N462" t="str">
        <v>Companion door</v>
      </c>
      <c r="O462" t="str">
        <v>Fwd cockpit door</v>
      </c>
      <c r="P462" t="str">
        <v>Windows</v>
      </c>
      <c r="Q462" t="str">
        <v>U shape settee</v>
      </c>
      <c r="R462" t="str">
        <v>Saloon table</v>
      </c>
      <c r="S462" t="str">
        <v>Formica Bulkheads</v>
      </c>
      <c r="T462" t="str">
        <v>Magazine locker/shelf locker</v>
      </c>
      <c r="U462" t="str">
        <v>Vents</v>
      </c>
      <c r="V462" t="str">
        <v>Hullside vinyl panels</v>
      </c>
      <c r="W462" t="str">
        <v>Window blinds</v>
      </c>
      <c r="X462" t="str">
        <v>Nav desk</v>
      </c>
      <c r="Y462" t="str">
        <v>Chart table with storage locker under hinged lid</v>
      </c>
      <c r="Z462" t="str">
        <v>Storage locker under chart table</v>
      </c>
      <c r="AA462" t="str">
        <v xml:space="preserve">AC Outlets </v>
      </c>
      <c r="AB462" t="str">
        <v>Ottoman</v>
      </c>
      <c r="AC462" t="str">
        <v>Galley lockers</v>
      </c>
      <c r="AD462" t="str">
        <v>Stove locker</v>
      </c>
      <c r="AE462" t="str">
        <v>Draw locker</v>
      </c>
      <c r="AF462" t="str">
        <v>Fridge/Freezer locker</v>
      </c>
      <c r="AG462" t="str">
        <v>Microwave locker</v>
      </c>
      <c r="AH462" t="str">
        <v>Tv locker</v>
      </c>
      <c r="AI462" t="str">
        <v>AC/DC locker</v>
      </c>
      <c r="AJ462" t="str">
        <v>Vinyl ceiling</v>
      </c>
      <c r="AK462" t="str">
        <v>Floor</v>
      </c>
      <c r="AL462" t="str">
        <v>Large bowl s/s sink</v>
      </c>
      <c r="AM462" t="str">
        <v>Dish and cutlery drying recess with drainage</v>
      </c>
      <c r="AN462" t="str">
        <v>Cover for drying recess</v>
      </c>
      <c r="AO462" t="str">
        <v xml:space="preserve">Vitrifrigo 2 drawer front-opening fridge/freezer </v>
      </c>
      <c r="AP462" t="str">
        <v>Ice maker</v>
      </c>
      <c r="AQ462" t="str">
        <v>Wine cooler</v>
      </c>
      <c r="AR462" t="str">
        <v>Burner gas hob</v>
      </c>
      <c r="AS462" t="str">
        <v>Gas oven</v>
      </c>
      <c r="AT462" t="str">
        <v>Gas solenoid shut-off valve with control &amp; warning light at cooker</v>
      </c>
      <c r="AU462" t="str">
        <v xml:space="preserve">Formica steps </v>
      </c>
      <c r="AV462" t="str">
        <v>Gas detectors in each hull connected to alarm in saloon</v>
      </c>
      <c r="AW462" t="str">
        <v>Smoke detector/alarm</v>
      </c>
      <c r="AX462" t="str">
        <v>LED overhead lighting</v>
      </c>
      <c r="AY462" t="str">
        <v>CABIN/ STUDY/PASSAGE</v>
      </c>
      <c r="AZ462" t="str">
        <v>Inspection lids</v>
      </c>
      <c r="BA462" t="str">
        <v>Vinyl panels</v>
      </c>
      <c r="BB462" t="str">
        <v>Stairs</v>
      </c>
      <c r="BC462" t="str">
        <v>Bedside table outboard</v>
      </c>
      <c r="BD462" t="str">
        <v>Bedside cave locker inboard</v>
      </c>
      <c r="BE462" t="str">
        <v>Bunktop/Double berth</v>
      </c>
      <c r="BF462" t="str">
        <v>Hanging locker</v>
      </c>
      <c r="BG462" t="str">
        <v>Bunk Drawers</v>
      </c>
      <c r="BH462" t="str">
        <v>Cabin Door</v>
      </c>
      <c r="BI462" t="str">
        <v>Door frames</v>
      </c>
      <c r="BJ462" t="str">
        <v>Fiddles</v>
      </c>
      <c r="BK462" t="str">
        <v>Fan</v>
      </c>
      <c r="BL462" t="str">
        <v>Hatch</v>
      </c>
      <c r="BM462" t="str">
        <v>2 x LED reading lamps over bunk</v>
      </c>
      <c r="BN462" t="str">
        <v>Vanity table/desk with storage locker and mirror under lid</v>
      </c>
      <c r="BO462" t="str">
        <v>Fold up vanity mirror</v>
      </c>
      <c r="BP462" t="str">
        <v>Sliding entrance door with lock</v>
      </c>
      <c r="BQ462" t="str">
        <v>Doors</v>
      </c>
      <c r="BR462" t="str">
        <v>Large mirror behind sliding entrance door</v>
      </c>
      <c r="BS462" t="str">
        <v xml:space="preserve">HEADS </v>
      </c>
      <c r="BT462" t="str">
        <v>Under-basin locker with toilet roll holder</v>
      </c>
      <c r="BU462" t="str">
        <v>Vanity locker with mirror</v>
      </c>
      <c r="BV462" t="str">
        <v>Double towel rail</v>
      </c>
      <c r="BW462" t="str">
        <v>Sliding or hinged heads door</v>
      </c>
      <c r="BX462" t="str">
        <v>Washing machine locker</v>
      </c>
      <c r="BY462" t="str">
        <v>Dedicated trashcan locker</v>
      </c>
      <c r="BZ462" t="str">
        <v>Coat hook</v>
      </c>
      <c r="CA462" t="str">
        <v>Waste tank</v>
      </c>
      <c r="CB462" t="str">
        <v>Forepeak panel</v>
      </c>
      <c r="CC462" t="str">
        <v>Portlight with roller blind</v>
      </c>
      <c r="CD462" t="str">
        <v>Overhead roller blinds for privacy</v>
      </c>
    </row>
    <row r="463" spans="1:82" ht="15" customHeight="1" x14ac:dyDescent="0.25">
      <c r="A463" s="76"/>
      <c r="B463" s="97"/>
      <c r="C463" s="76"/>
      <c r="D463" s="3"/>
      <c r="E463" s="3"/>
      <c r="F463" s="3"/>
      <c r="G463" s="75"/>
      <c r="H463" s="3"/>
      <c r="I463" s="3"/>
      <c r="J463" s="3"/>
      <c r="K463" s="3"/>
      <c r="L463" s="3"/>
      <c r="M463" t="str" cm="1">
        <f t="array" ref="M463:CD463">TRANSPOSE(_xlfn.UNIQUE(_xlfn._xlws.FILTER(Table4[Discipine Area],(Table4[Discipline No.]=C522)*(Table4[Discipline No.]=C522))))</f>
        <v>SALOON</v>
      </c>
      <c r="N463" t="str">
        <v>Companion door</v>
      </c>
      <c r="O463" t="str">
        <v>Fwd cockpit door</v>
      </c>
      <c r="P463" t="str">
        <v>Windows</v>
      </c>
      <c r="Q463" t="str">
        <v>U shape settee</v>
      </c>
      <c r="R463" t="str">
        <v>Saloon table</v>
      </c>
      <c r="S463" t="str">
        <v>Formica Bulkheads</v>
      </c>
      <c r="T463" t="str">
        <v>Magazine locker/shelf locker</v>
      </c>
      <c r="U463" t="str">
        <v>Vents</v>
      </c>
      <c r="V463" t="str">
        <v>Hullside vinyl panels</v>
      </c>
      <c r="W463" t="str">
        <v>Window blinds</v>
      </c>
      <c r="X463" t="str">
        <v>Nav desk</v>
      </c>
      <c r="Y463" t="str">
        <v>Chart table with storage locker under hinged lid</v>
      </c>
      <c r="Z463" t="str">
        <v>Storage locker under chart table</v>
      </c>
      <c r="AA463" t="str">
        <v xml:space="preserve">AC Outlets </v>
      </c>
      <c r="AB463" t="str">
        <v>Ottoman</v>
      </c>
      <c r="AC463" t="str">
        <v>Galley lockers</v>
      </c>
      <c r="AD463" t="str">
        <v>Stove locker</v>
      </c>
      <c r="AE463" t="str">
        <v>Draw locker</v>
      </c>
      <c r="AF463" t="str">
        <v>Fridge/Freezer locker</v>
      </c>
      <c r="AG463" t="str">
        <v>Microwave locker</v>
      </c>
      <c r="AH463" t="str">
        <v>Tv locker</v>
      </c>
      <c r="AI463" t="str">
        <v>AC/DC locker</v>
      </c>
      <c r="AJ463" t="str">
        <v>Vinyl ceiling</v>
      </c>
      <c r="AK463" t="str">
        <v>Floor</v>
      </c>
      <c r="AL463" t="str">
        <v>Large bowl s/s sink</v>
      </c>
      <c r="AM463" t="str">
        <v>Dish and cutlery drying recess with drainage</v>
      </c>
      <c r="AN463" t="str">
        <v>Cover for drying recess</v>
      </c>
      <c r="AO463" t="str">
        <v xml:space="preserve">Vitrifrigo 2 drawer front-opening fridge/freezer </v>
      </c>
      <c r="AP463" t="str">
        <v>Ice maker</v>
      </c>
      <c r="AQ463" t="str">
        <v>Wine cooler</v>
      </c>
      <c r="AR463" t="str">
        <v>Burner gas hob</v>
      </c>
      <c r="AS463" t="str">
        <v>Gas oven</v>
      </c>
      <c r="AT463" t="str">
        <v>Gas solenoid shut-off valve with control &amp; warning light at cooker</v>
      </c>
      <c r="AU463" t="str">
        <v xml:space="preserve">Formica steps </v>
      </c>
      <c r="AV463" t="str">
        <v>Gas detectors in each hull connected to alarm in saloon</v>
      </c>
      <c r="AW463" t="str">
        <v>Smoke detector/alarm</v>
      </c>
      <c r="AX463" t="str">
        <v>LED overhead lighting</v>
      </c>
      <c r="AY463" t="str">
        <v>CABIN/ STUDY/PASSAGE</v>
      </c>
      <c r="AZ463" t="str">
        <v>Inspection lids</v>
      </c>
      <c r="BA463" t="str">
        <v>Vinyl panels</v>
      </c>
      <c r="BB463" t="str">
        <v>Stairs</v>
      </c>
      <c r="BC463" t="str">
        <v>Bedside table outboard</v>
      </c>
      <c r="BD463" t="str">
        <v>Bedside cave locker inboard</v>
      </c>
      <c r="BE463" t="str">
        <v>Bunktop/Double berth</v>
      </c>
      <c r="BF463" t="str">
        <v>Hanging locker</v>
      </c>
      <c r="BG463" t="str">
        <v>Bunk Drawers</v>
      </c>
      <c r="BH463" t="str">
        <v>Cabin Door</v>
      </c>
      <c r="BI463" t="str">
        <v>Door frames</v>
      </c>
      <c r="BJ463" t="str">
        <v>Fiddles</v>
      </c>
      <c r="BK463" t="str">
        <v>Fan</v>
      </c>
      <c r="BL463" t="str">
        <v>Hatch</v>
      </c>
      <c r="BM463" t="str">
        <v>2 x LED reading lamps over bunk</v>
      </c>
      <c r="BN463" t="str">
        <v>Vanity table/desk with storage locker and mirror under lid</v>
      </c>
      <c r="BO463" t="str">
        <v>Fold up vanity mirror</v>
      </c>
      <c r="BP463" t="str">
        <v>Sliding entrance door with lock</v>
      </c>
      <c r="BQ463" t="str">
        <v>Doors</v>
      </c>
      <c r="BR463" t="str">
        <v>Large mirror behind sliding entrance door</v>
      </c>
      <c r="BS463" t="str">
        <v xml:space="preserve">HEADS </v>
      </c>
      <c r="BT463" t="str">
        <v>Under-basin locker with toilet roll holder</v>
      </c>
      <c r="BU463" t="str">
        <v>Vanity locker with mirror</v>
      </c>
      <c r="BV463" t="str">
        <v>Double towel rail</v>
      </c>
      <c r="BW463" t="str">
        <v>Sliding or hinged heads door</v>
      </c>
      <c r="BX463" t="str">
        <v>Washing machine locker</v>
      </c>
      <c r="BY463" t="str">
        <v>Dedicated trashcan locker</v>
      </c>
      <c r="BZ463" t="str">
        <v>Coat hook</v>
      </c>
      <c r="CA463" t="str">
        <v>Waste tank</v>
      </c>
      <c r="CB463" t="str">
        <v>Forepeak panel</v>
      </c>
      <c r="CC463" t="str">
        <v>Portlight with roller blind</v>
      </c>
      <c r="CD463" t="str">
        <v>Overhead roller blinds for privacy</v>
      </c>
    </row>
    <row r="464" spans="1:82" ht="15" customHeight="1" x14ac:dyDescent="0.25">
      <c r="A464" s="76"/>
      <c r="B464" s="97"/>
      <c r="C464" s="76"/>
      <c r="D464" s="3"/>
      <c r="E464" s="3"/>
      <c r="F464" s="3"/>
      <c r="G464" s="75"/>
      <c r="H464" s="3"/>
      <c r="I464" s="3"/>
      <c r="J464" s="3"/>
      <c r="K464" s="3"/>
      <c r="L464" s="3"/>
      <c r="M464" t="str" cm="1">
        <f t="array" ref="M464:CD464">TRANSPOSE(_xlfn.UNIQUE(_xlfn._xlws.FILTER(Table4[Discipine Area],(Table4[Discipline No.]=C523)*(Table4[Discipline No.]=C523))))</f>
        <v>SALOON</v>
      </c>
      <c r="N464" t="str">
        <v>Companion door</v>
      </c>
      <c r="O464" t="str">
        <v>Fwd cockpit door</v>
      </c>
      <c r="P464" t="str">
        <v>Windows</v>
      </c>
      <c r="Q464" t="str">
        <v>U shape settee</v>
      </c>
      <c r="R464" t="str">
        <v>Saloon table</v>
      </c>
      <c r="S464" t="str">
        <v>Formica Bulkheads</v>
      </c>
      <c r="T464" t="str">
        <v>Magazine locker/shelf locker</v>
      </c>
      <c r="U464" t="str">
        <v>Vents</v>
      </c>
      <c r="V464" t="str">
        <v>Hullside vinyl panels</v>
      </c>
      <c r="W464" t="str">
        <v>Window blinds</v>
      </c>
      <c r="X464" t="str">
        <v>Nav desk</v>
      </c>
      <c r="Y464" t="str">
        <v>Chart table with storage locker under hinged lid</v>
      </c>
      <c r="Z464" t="str">
        <v>Storage locker under chart table</v>
      </c>
      <c r="AA464" t="str">
        <v xml:space="preserve">AC Outlets </v>
      </c>
      <c r="AB464" t="str">
        <v>Ottoman</v>
      </c>
      <c r="AC464" t="str">
        <v>Galley lockers</v>
      </c>
      <c r="AD464" t="str">
        <v>Stove locker</v>
      </c>
      <c r="AE464" t="str">
        <v>Draw locker</v>
      </c>
      <c r="AF464" t="str">
        <v>Fridge/Freezer locker</v>
      </c>
      <c r="AG464" t="str">
        <v>Microwave locker</v>
      </c>
      <c r="AH464" t="str">
        <v>Tv locker</v>
      </c>
      <c r="AI464" t="str">
        <v>AC/DC locker</v>
      </c>
      <c r="AJ464" t="str">
        <v>Vinyl ceiling</v>
      </c>
      <c r="AK464" t="str">
        <v>Floor</v>
      </c>
      <c r="AL464" t="str">
        <v>Large bowl s/s sink</v>
      </c>
      <c r="AM464" t="str">
        <v>Dish and cutlery drying recess with drainage</v>
      </c>
      <c r="AN464" t="str">
        <v>Cover for drying recess</v>
      </c>
      <c r="AO464" t="str">
        <v xml:space="preserve">Vitrifrigo 2 drawer front-opening fridge/freezer </v>
      </c>
      <c r="AP464" t="str">
        <v>Ice maker</v>
      </c>
      <c r="AQ464" t="str">
        <v>Wine cooler</v>
      </c>
      <c r="AR464" t="str">
        <v>Burner gas hob</v>
      </c>
      <c r="AS464" t="str">
        <v>Gas oven</v>
      </c>
      <c r="AT464" t="str">
        <v>Gas solenoid shut-off valve with control &amp; warning light at cooker</v>
      </c>
      <c r="AU464" t="str">
        <v xml:space="preserve">Formica steps </v>
      </c>
      <c r="AV464" t="str">
        <v>Gas detectors in each hull connected to alarm in saloon</v>
      </c>
      <c r="AW464" t="str">
        <v>Smoke detector/alarm</v>
      </c>
      <c r="AX464" t="str">
        <v>LED overhead lighting</v>
      </c>
      <c r="AY464" t="str">
        <v>CABIN/ STUDY/PASSAGE</v>
      </c>
      <c r="AZ464" t="str">
        <v>Inspection lids</v>
      </c>
      <c r="BA464" t="str">
        <v>Vinyl panels</v>
      </c>
      <c r="BB464" t="str">
        <v>Stairs</v>
      </c>
      <c r="BC464" t="str">
        <v>Bedside table outboard</v>
      </c>
      <c r="BD464" t="str">
        <v>Bedside cave locker inboard</v>
      </c>
      <c r="BE464" t="str">
        <v>Bunktop/Double berth</v>
      </c>
      <c r="BF464" t="str">
        <v>Hanging locker</v>
      </c>
      <c r="BG464" t="str">
        <v>Bunk Drawers</v>
      </c>
      <c r="BH464" t="str">
        <v>Cabin Door</v>
      </c>
      <c r="BI464" t="str">
        <v>Door frames</v>
      </c>
      <c r="BJ464" t="str">
        <v>Fiddles</v>
      </c>
      <c r="BK464" t="str">
        <v>Fan</v>
      </c>
      <c r="BL464" t="str">
        <v>Hatch</v>
      </c>
      <c r="BM464" t="str">
        <v>2 x LED reading lamps over bunk</v>
      </c>
      <c r="BN464" t="str">
        <v>Vanity table/desk with storage locker and mirror under lid</v>
      </c>
      <c r="BO464" t="str">
        <v>Fold up vanity mirror</v>
      </c>
      <c r="BP464" t="str">
        <v>Sliding entrance door with lock</v>
      </c>
      <c r="BQ464" t="str">
        <v>Doors</v>
      </c>
      <c r="BR464" t="str">
        <v>Large mirror behind sliding entrance door</v>
      </c>
      <c r="BS464" t="str">
        <v xml:space="preserve">HEADS </v>
      </c>
      <c r="BT464" t="str">
        <v>Under-basin locker with toilet roll holder</v>
      </c>
      <c r="BU464" t="str">
        <v>Vanity locker with mirror</v>
      </c>
      <c r="BV464" t="str">
        <v>Double towel rail</v>
      </c>
      <c r="BW464" t="str">
        <v>Sliding or hinged heads door</v>
      </c>
      <c r="BX464" t="str">
        <v>Washing machine locker</v>
      </c>
      <c r="BY464" t="str">
        <v>Dedicated trashcan locker</v>
      </c>
      <c r="BZ464" t="str">
        <v>Coat hook</v>
      </c>
      <c r="CA464" t="str">
        <v>Waste tank</v>
      </c>
      <c r="CB464" t="str">
        <v>Forepeak panel</v>
      </c>
      <c r="CC464" t="str">
        <v>Portlight with roller blind</v>
      </c>
      <c r="CD464" t="str">
        <v>Overhead roller blinds for privacy</v>
      </c>
    </row>
    <row r="465" spans="1:82" ht="15" customHeight="1" x14ac:dyDescent="0.25">
      <c r="A465" s="76"/>
      <c r="B465" s="97"/>
      <c r="C465" s="76"/>
      <c r="D465" s="3"/>
      <c r="E465" s="3"/>
      <c r="F465" s="3"/>
      <c r="G465" s="75"/>
      <c r="H465" s="3"/>
      <c r="I465" s="3"/>
      <c r="J465" s="3"/>
      <c r="K465" s="3"/>
      <c r="L465" s="3"/>
      <c r="M465" t="str" cm="1">
        <f t="array" ref="M465:AI465">TRANSPOSE(_xlfn.UNIQUE(_xlfn._xlws.FILTER(Table4[Discipine Area],(Table4[Discipline No.]=C524)*(Table4[Discipline No.]=C524))))</f>
        <v>PLUMBING</v>
      </c>
      <c r="N465" t="str">
        <v>Hot and cold pressurized fresh water system consisting of:</v>
      </c>
      <c r="O465" t="str">
        <v>Water tanks,total capacity with level reading and gauges</v>
      </c>
      <c r="P465" t="str">
        <v>Fresh water pressure pump with accumulator tank</v>
      </c>
      <c r="Q465" t="str">
        <v>Hot water cylinders/waterheaters</v>
      </c>
      <c r="R465" t="str">
        <v>Transom shower (cold only)</v>
      </c>
      <c r="S465" t="str">
        <v xml:space="preserve">Automatic shower drain pumps </v>
      </c>
      <c r="T465" t="str">
        <v>Holding tanks</v>
      </c>
      <c r="U465" t="str">
        <v>Electric bilge pumps (keel sump) with float switches and alarm at switch panel</v>
      </c>
      <c r="V465" t="str">
        <v>Manual bilge pumps with (keel sump)</v>
      </c>
      <c r="W465" t="str">
        <v>High water bilge float switches with alarm at switch panel</v>
      </c>
      <c r="X465" t="str">
        <v>Electric bilge pumps (engine room) with float switch and warning light at switch panel</v>
      </c>
      <c r="Y465" t="str">
        <v>Water purifying filter system (Purifying water tap located at galley)</v>
      </c>
      <c r="Z465" t="str">
        <v>LPG label</v>
      </c>
      <c r="AA465" t="str">
        <v>Aircon unit</v>
      </c>
      <c r="AB465" t="str">
        <v>Ducting</v>
      </c>
      <c r="AC465" t="str">
        <v>Engine Room</v>
      </c>
      <c r="AD465" t="str">
        <v>Electric sea water flush toilet</v>
      </c>
      <c r="AE465" t="str">
        <v>Single lever mixer faucet with pull-out sprayer</v>
      </c>
      <c r="AF465" t="str">
        <v>Gas cylinder regulator in dedicated LPG locker</v>
      </c>
      <c r="AG465" t="str">
        <v>Washbasins with basin mixer</v>
      </c>
      <c r="AH465" t="str">
        <v>Shower compartment c/w lever mixer and adjustable shower rose</v>
      </c>
      <c r="AI465" t="str">
        <v>Shower sump with automatic drainage system</v>
      </c>
    </row>
    <row r="466" spans="1:82" ht="15" customHeight="1" x14ac:dyDescent="0.25">
      <c r="A466" s="76"/>
      <c r="B466" s="97"/>
      <c r="C466" s="76"/>
      <c r="D466" s="3"/>
      <c r="E466" s="3"/>
      <c r="F466" s="3"/>
      <c r="G466" s="75"/>
      <c r="H466" s="3"/>
      <c r="I466" s="3"/>
      <c r="J466" s="3"/>
      <c r="K466" s="3"/>
      <c r="L466" s="3"/>
      <c r="M466" t="e" cm="1" vm="1">
        <f t="array" ref="M466">TRANSPOSE(_xlfn.UNIQUE(_xlfn._xlws.FILTER(Table4[Discipine Area],(Table4[Discipline No.]=C525)*(Table4[Discipline No.]=C525))))</f>
        <v>#VALUE!</v>
      </c>
    </row>
    <row r="467" spans="1:82" ht="15" customHeight="1" x14ac:dyDescent="0.25">
      <c r="A467" s="76"/>
      <c r="B467" s="97"/>
      <c r="C467" s="76"/>
      <c r="D467" s="3"/>
      <c r="E467" s="3"/>
      <c r="F467" s="3"/>
      <c r="G467" s="75"/>
      <c r="H467" s="3"/>
      <c r="I467" s="3"/>
      <c r="J467" s="3"/>
      <c r="K467" s="3"/>
      <c r="L467" s="3"/>
      <c r="M467" t="e" cm="1" vm="1">
        <f t="array" ref="M467">TRANSPOSE(_xlfn.UNIQUE(_xlfn._xlws.FILTER(Table4[Discipine Area],(Table4[Discipline No.]=C526)*(Table4[Discipline No.]=C526))))</f>
        <v>#VALUE!</v>
      </c>
    </row>
    <row r="468" spans="1:82" ht="15" customHeight="1" x14ac:dyDescent="0.25">
      <c r="A468" s="76"/>
      <c r="B468" s="97"/>
      <c r="C468" s="76"/>
      <c r="D468" s="3"/>
      <c r="E468" s="3"/>
      <c r="F468" s="3"/>
      <c r="G468" s="75"/>
      <c r="H468" s="3"/>
      <c r="I468" s="3"/>
      <c r="J468" s="3"/>
      <c r="K468" s="3"/>
      <c r="L468" s="3"/>
      <c r="M468" t="e" cm="1" vm="1">
        <f t="array" ref="M468">TRANSPOSE(_xlfn.UNIQUE(_xlfn._xlws.FILTER(Table4[Discipine Area],(Table4[Discipline No.]=C527)*(Table4[Discipline No.]=C527))))</f>
        <v>#VALUE!</v>
      </c>
    </row>
    <row r="469" spans="1:82" ht="15" customHeight="1" x14ac:dyDescent="0.25">
      <c r="A469" s="76"/>
      <c r="B469" s="97"/>
      <c r="C469" s="76"/>
      <c r="D469" s="3"/>
      <c r="E469" s="3"/>
      <c r="F469" s="3"/>
      <c r="G469" s="75"/>
      <c r="H469" s="3"/>
      <c r="I469" s="3"/>
      <c r="J469" s="3"/>
      <c r="K469" s="3"/>
      <c r="L469" s="3"/>
      <c r="M469" t="str" cm="1">
        <f t="array" ref="M469:CD469">TRANSPOSE(_xlfn.UNIQUE(_xlfn._xlws.FILTER(Table4[Discipine Area],(Table4[Discipline No.]=C528)*(Table4[Discipline No.]=C528))))</f>
        <v>SALOON</v>
      </c>
      <c r="N469" t="str">
        <v>Companion door</v>
      </c>
      <c r="O469" t="str">
        <v>Fwd cockpit door</v>
      </c>
      <c r="P469" t="str">
        <v>Windows</v>
      </c>
      <c r="Q469" t="str">
        <v>U shape settee</v>
      </c>
      <c r="R469" t="str">
        <v>Saloon table</v>
      </c>
      <c r="S469" t="str">
        <v>Formica Bulkheads</v>
      </c>
      <c r="T469" t="str">
        <v>Magazine locker/shelf locker</v>
      </c>
      <c r="U469" t="str">
        <v>Vents</v>
      </c>
      <c r="V469" t="str">
        <v>Hullside vinyl panels</v>
      </c>
      <c r="W469" t="str">
        <v>Window blinds</v>
      </c>
      <c r="X469" t="str">
        <v>Nav desk</v>
      </c>
      <c r="Y469" t="str">
        <v>Chart table with storage locker under hinged lid</v>
      </c>
      <c r="Z469" t="str">
        <v>Storage locker under chart table</v>
      </c>
      <c r="AA469" t="str">
        <v xml:space="preserve">AC Outlets </v>
      </c>
      <c r="AB469" t="str">
        <v>Ottoman</v>
      </c>
      <c r="AC469" t="str">
        <v>Galley lockers</v>
      </c>
      <c r="AD469" t="str">
        <v>Stove locker</v>
      </c>
      <c r="AE469" t="str">
        <v>Draw locker</v>
      </c>
      <c r="AF469" t="str">
        <v>Fridge/Freezer locker</v>
      </c>
      <c r="AG469" t="str">
        <v>Microwave locker</v>
      </c>
      <c r="AH469" t="str">
        <v>Tv locker</v>
      </c>
      <c r="AI469" t="str">
        <v>AC/DC locker</v>
      </c>
      <c r="AJ469" t="str">
        <v>Vinyl ceiling</v>
      </c>
      <c r="AK469" t="str">
        <v>Floor</v>
      </c>
      <c r="AL469" t="str">
        <v>Large bowl s/s sink</v>
      </c>
      <c r="AM469" t="str">
        <v>Dish and cutlery drying recess with drainage</v>
      </c>
      <c r="AN469" t="str">
        <v>Cover for drying recess</v>
      </c>
      <c r="AO469" t="str">
        <v xml:space="preserve">Vitrifrigo 2 drawer front-opening fridge/freezer </v>
      </c>
      <c r="AP469" t="str">
        <v>Ice maker</v>
      </c>
      <c r="AQ469" t="str">
        <v>Wine cooler</v>
      </c>
      <c r="AR469" t="str">
        <v>Burner gas hob</v>
      </c>
      <c r="AS469" t="str">
        <v>Gas oven</v>
      </c>
      <c r="AT469" t="str">
        <v>Gas solenoid shut-off valve with control &amp; warning light at cooker</v>
      </c>
      <c r="AU469" t="str">
        <v xml:space="preserve">Formica steps </v>
      </c>
      <c r="AV469" t="str">
        <v>Gas detectors in each hull connected to alarm in saloon</v>
      </c>
      <c r="AW469" t="str">
        <v>Smoke detector/alarm</v>
      </c>
      <c r="AX469" t="str">
        <v>LED overhead lighting</v>
      </c>
      <c r="AY469" t="str">
        <v>CABIN/ STUDY/PASSAGE</v>
      </c>
      <c r="AZ469" t="str">
        <v>Inspection lids</v>
      </c>
      <c r="BA469" t="str">
        <v>Vinyl panels</v>
      </c>
      <c r="BB469" t="str">
        <v>Stairs</v>
      </c>
      <c r="BC469" t="str">
        <v>Bedside table outboard</v>
      </c>
      <c r="BD469" t="str">
        <v>Bedside cave locker inboard</v>
      </c>
      <c r="BE469" t="str">
        <v>Bunktop/Double berth</v>
      </c>
      <c r="BF469" t="str">
        <v>Hanging locker</v>
      </c>
      <c r="BG469" t="str">
        <v>Bunk Drawers</v>
      </c>
      <c r="BH469" t="str">
        <v>Cabin Door</v>
      </c>
      <c r="BI469" t="str">
        <v>Door frames</v>
      </c>
      <c r="BJ469" t="str">
        <v>Fiddles</v>
      </c>
      <c r="BK469" t="str">
        <v>Fan</v>
      </c>
      <c r="BL469" t="str">
        <v>Hatch</v>
      </c>
      <c r="BM469" t="str">
        <v>2 x LED reading lamps over bunk</v>
      </c>
      <c r="BN469" t="str">
        <v>Vanity table/desk with storage locker and mirror under lid</v>
      </c>
      <c r="BO469" t="str">
        <v>Fold up vanity mirror</v>
      </c>
      <c r="BP469" t="str">
        <v>Sliding entrance door with lock</v>
      </c>
      <c r="BQ469" t="str">
        <v>Doors</v>
      </c>
      <c r="BR469" t="str">
        <v>Large mirror behind sliding entrance door</v>
      </c>
      <c r="BS469" t="str">
        <v xml:space="preserve">HEADS </v>
      </c>
      <c r="BT469" t="str">
        <v>Under-basin locker with toilet roll holder</v>
      </c>
      <c r="BU469" t="str">
        <v>Vanity locker with mirror</v>
      </c>
      <c r="BV469" t="str">
        <v>Double towel rail</v>
      </c>
      <c r="BW469" t="str">
        <v>Sliding or hinged heads door</v>
      </c>
      <c r="BX469" t="str">
        <v>Washing machine locker</v>
      </c>
      <c r="BY469" t="str">
        <v>Dedicated trashcan locker</v>
      </c>
      <c r="BZ469" t="str">
        <v>Coat hook</v>
      </c>
      <c r="CA469" t="str">
        <v>Waste tank</v>
      </c>
      <c r="CB469" t="str">
        <v>Forepeak panel</v>
      </c>
      <c r="CC469" t="str">
        <v>Portlight with roller blind</v>
      </c>
      <c r="CD469" t="str">
        <v>Overhead roller blinds for privacy</v>
      </c>
    </row>
    <row r="470" spans="1:82" ht="15" customHeight="1" x14ac:dyDescent="0.25">
      <c r="A470" s="76"/>
      <c r="B470" s="97"/>
      <c r="C470" s="76"/>
      <c r="D470" s="3"/>
      <c r="E470" s="3"/>
      <c r="F470" s="3"/>
      <c r="G470" s="75"/>
      <c r="H470" s="3"/>
      <c r="I470" s="3"/>
      <c r="J470" s="3"/>
      <c r="K470" s="3"/>
      <c r="L470" s="3"/>
      <c r="M470" t="str" cm="1">
        <f t="array" ref="M470:CD470">TRANSPOSE(_xlfn.UNIQUE(_xlfn._xlws.FILTER(Table4[Discipine Area],(Table4[Discipline No.]=C529)*(Table4[Discipline No.]=C529))))</f>
        <v>SALOON</v>
      </c>
      <c r="N470" t="str">
        <v>Companion door</v>
      </c>
      <c r="O470" t="str">
        <v>Fwd cockpit door</v>
      </c>
      <c r="P470" t="str">
        <v>Windows</v>
      </c>
      <c r="Q470" t="str">
        <v>U shape settee</v>
      </c>
      <c r="R470" t="str">
        <v>Saloon table</v>
      </c>
      <c r="S470" t="str">
        <v>Formica Bulkheads</v>
      </c>
      <c r="T470" t="str">
        <v>Magazine locker/shelf locker</v>
      </c>
      <c r="U470" t="str">
        <v>Vents</v>
      </c>
      <c r="V470" t="str">
        <v>Hullside vinyl panels</v>
      </c>
      <c r="W470" t="str">
        <v>Window blinds</v>
      </c>
      <c r="X470" t="str">
        <v>Nav desk</v>
      </c>
      <c r="Y470" t="str">
        <v>Chart table with storage locker under hinged lid</v>
      </c>
      <c r="Z470" t="str">
        <v>Storage locker under chart table</v>
      </c>
      <c r="AA470" t="str">
        <v xml:space="preserve">AC Outlets </v>
      </c>
      <c r="AB470" t="str">
        <v>Ottoman</v>
      </c>
      <c r="AC470" t="str">
        <v>Galley lockers</v>
      </c>
      <c r="AD470" t="str">
        <v>Stove locker</v>
      </c>
      <c r="AE470" t="str">
        <v>Draw locker</v>
      </c>
      <c r="AF470" t="str">
        <v>Fridge/Freezer locker</v>
      </c>
      <c r="AG470" t="str">
        <v>Microwave locker</v>
      </c>
      <c r="AH470" t="str">
        <v>Tv locker</v>
      </c>
      <c r="AI470" t="str">
        <v>AC/DC locker</v>
      </c>
      <c r="AJ470" t="str">
        <v>Vinyl ceiling</v>
      </c>
      <c r="AK470" t="str">
        <v>Floor</v>
      </c>
      <c r="AL470" t="str">
        <v>Large bowl s/s sink</v>
      </c>
      <c r="AM470" t="str">
        <v>Dish and cutlery drying recess with drainage</v>
      </c>
      <c r="AN470" t="str">
        <v>Cover for drying recess</v>
      </c>
      <c r="AO470" t="str">
        <v xml:space="preserve">Vitrifrigo 2 drawer front-opening fridge/freezer </v>
      </c>
      <c r="AP470" t="str">
        <v>Ice maker</v>
      </c>
      <c r="AQ470" t="str">
        <v>Wine cooler</v>
      </c>
      <c r="AR470" t="str">
        <v>Burner gas hob</v>
      </c>
      <c r="AS470" t="str">
        <v>Gas oven</v>
      </c>
      <c r="AT470" t="str">
        <v>Gas solenoid shut-off valve with control &amp; warning light at cooker</v>
      </c>
      <c r="AU470" t="str">
        <v xml:space="preserve">Formica steps </v>
      </c>
      <c r="AV470" t="str">
        <v>Gas detectors in each hull connected to alarm in saloon</v>
      </c>
      <c r="AW470" t="str">
        <v>Smoke detector/alarm</v>
      </c>
      <c r="AX470" t="str">
        <v>LED overhead lighting</v>
      </c>
      <c r="AY470" t="str">
        <v>CABIN/ STUDY/PASSAGE</v>
      </c>
      <c r="AZ470" t="str">
        <v>Inspection lids</v>
      </c>
      <c r="BA470" t="str">
        <v>Vinyl panels</v>
      </c>
      <c r="BB470" t="str">
        <v>Stairs</v>
      </c>
      <c r="BC470" t="str">
        <v>Bedside table outboard</v>
      </c>
      <c r="BD470" t="str">
        <v>Bedside cave locker inboard</v>
      </c>
      <c r="BE470" t="str">
        <v>Bunktop/Double berth</v>
      </c>
      <c r="BF470" t="str">
        <v>Hanging locker</v>
      </c>
      <c r="BG470" t="str">
        <v>Bunk Drawers</v>
      </c>
      <c r="BH470" t="str">
        <v>Cabin Door</v>
      </c>
      <c r="BI470" t="str">
        <v>Door frames</v>
      </c>
      <c r="BJ470" t="str">
        <v>Fiddles</v>
      </c>
      <c r="BK470" t="str">
        <v>Fan</v>
      </c>
      <c r="BL470" t="str">
        <v>Hatch</v>
      </c>
      <c r="BM470" t="str">
        <v>2 x LED reading lamps over bunk</v>
      </c>
      <c r="BN470" t="str">
        <v>Vanity table/desk with storage locker and mirror under lid</v>
      </c>
      <c r="BO470" t="str">
        <v>Fold up vanity mirror</v>
      </c>
      <c r="BP470" t="str">
        <v>Sliding entrance door with lock</v>
      </c>
      <c r="BQ470" t="str">
        <v>Doors</v>
      </c>
      <c r="BR470" t="str">
        <v>Large mirror behind sliding entrance door</v>
      </c>
      <c r="BS470" t="str">
        <v xml:space="preserve">HEADS </v>
      </c>
      <c r="BT470" t="str">
        <v>Under-basin locker with toilet roll holder</v>
      </c>
      <c r="BU470" t="str">
        <v>Vanity locker with mirror</v>
      </c>
      <c r="BV470" t="str">
        <v>Double towel rail</v>
      </c>
      <c r="BW470" t="str">
        <v>Sliding or hinged heads door</v>
      </c>
      <c r="BX470" t="str">
        <v>Washing machine locker</v>
      </c>
      <c r="BY470" t="str">
        <v>Dedicated trashcan locker</v>
      </c>
      <c r="BZ470" t="str">
        <v>Coat hook</v>
      </c>
      <c r="CA470" t="str">
        <v>Waste tank</v>
      </c>
      <c r="CB470" t="str">
        <v>Forepeak panel</v>
      </c>
      <c r="CC470" t="str">
        <v>Portlight with roller blind</v>
      </c>
      <c r="CD470" t="str">
        <v>Overhead roller blinds for privacy</v>
      </c>
    </row>
    <row r="471" spans="1:82" ht="15" customHeight="1" x14ac:dyDescent="0.25">
      <c r="A471" s="76"/>
      <c r="B471" s="97"/>
      <c r="C471" s="76"/>
      <c r="D471" s="3"/>
      <c r="E471" s="3"/>
      <c r="F471" s="3"/>
      <c r="G471" s="75"/>
      <c r="H471" s="3"/>
      <c r="I471" s="3"/>
      <c r="J471" s="3"/>
      <c r="K471" s="3"/>
      <c r="L471" s="3"/>
      <c r="M471" t="str" cm="1">
        <f t="array" ref="M471:CD471">TRANSPOSE(_xlfn.UNIQUE(_xlfn._xlws.FILTER(Table4[Discipine Area],(Table4[Discipline No.]=C530)*(Table4[Discipline No.]=C530))))</f>
        <v>SALOON</v>
      </c>
      <c r="N471" t="str">
        <v>Companion door</v>
      </c>
      <c r="O471" t="str">
        <v>Fwd cockpit door</v>
      </c>
      <c r="P471" t="str">
        <v>Windows</v>
      </c>
      <c r="Q471" t="str">
        <v>U shape settee</v>
      </c>
      <c r="R471" t="str">
        <v>Saloon table</v>
      </c>
      <c r="S471" t="str">
        <v>Formica Bulkheads</v>
      </c>
      <c r="T471" t="str">
        <v>Magazine locker/shelf locker</v>
      </c>
      <c r="U471" t="str">
        <v>Vents</v>
      </c>
      <c r="V471" t="str">
        <v>Hullside vinyl panels</v>
      </c>
      <c r="W471" t="str">
        <v>Window blinds</v>
      </c>
      <c r="X471" t="str">
        <v>Nav desk</v>
      </c>
      <c r="Y471" t="str">
        <v>Chart table with storage locker under hinged lid</v>
      </c>
      <c r="Z471" t="str">
        <v>Storage locker under chart table</v>
      </c>
      <c r="AA471" t="str">
        <v xml:space="preserve">AC Outlets </v>
      </c>
      <c r="AB471" t="str">
        <v>Ottoman</v>
      </c>
      <c r="AC471" t="str">
        <v>Galley lockers</v>
      </c>
      <c r="AD471" t="str">
        <v>Stove locker</v>
      </c>
      <c r="AE471" t="str">
        <v>Draw locker</v>
      </c>
      <c r="AF471" t="str">
        <v>Fridge/Freezer locker</v>
      </c>
      <c r="AG471" t="str">
        <v>Microwave locker</v>
      </c>
      <c r="AH471" t="str">
        <v>Tv locker</v>
      </c>
      <c r="AI471" t="str">
        <v>AC/DC locker</v>
      </c>
      <c r="AJ471" t="str">
        <v>Vinyl ceiling</v>
      </c>
      <c r="AK471" t="str">
        <v>Floor</v>
      </c>
      <c r="AL471" t="str">
        <v>Large bowl s/s sink</v>
      </c>
      <c r="AM471" t="str">
        <v>Dish and cutlery drying recess with drainage</v>
      </c>
      <c r="AN471" t="str">
        <v>Cover for drying recess</v>
      </c>
      <c r="AO471" t="str">
        <v xml:space="preserve">Vitrifrigo 2 drawer front-opening fridge/freezer </v>
      </c>
      <c r="AP471" t="str">
        <v>Ice maker</v>
      </c>
      <c r="AQ471" t="str">
        <v>Wine cooler</v>
      </c>
      <c r="AR471" t="str">
        <v>Burner gas hob</v>
      </c>
      <c r="AS471" t="str">
        <v>Gas oven</v>
      </c>
      <c r="AT471" t="str">
        <v>Gas solenoid shut-off valve with control &amp; warning light at cooker</v>
      </c>
      <c r="AU471" t="str">
        <v xml:space="preserve">Formica steps </v>
      </c>
      <c r="AV471" t="str">
        <v>Gas detectors in each hull connected to alarm in saloon</v>
      </c>
      <c r="AW471" t="str">
        <v>Smoke detector/alarm</v>
      </c>
      <c r="AX471" t="str">
        <v>LED overhead lighting</v>
      </c>
      <c r="AY471" t="str">
        <v>CABIN/ STUDY/PASSAGE</v>
      </c>
      <c r="AZ471" t="str">
        <v>Inspection lids</v>
      </c>
      <c r="BA471" t="str">
        <v>Vinyl panels</v>
      </c>
      <c r="BB471" t="str">
        <v>Stairs</v>
      </c>
      <c r="BC471" t="str">
        <v>Bedside table outboard</v>
      </c>
      <c r="BD471" t="str">
        <v>Bedside cave locker inboard</v>
      </c>
      <c r="BE471" t="str">
        <v>Bunktop/Double berth</v>
      </c>
      <c r="BF471" t="str">
        <v>Hanging locker</v>
      </c>
      <c r="BG471" t="str">
        <v>Bunk Drawers</v>
      </c>
      <c r="BH471" t="str">
        <v>Cabin Door</v>
      </c>
      <c r="BI471" t="str">
        <v>Door frames</v>
      </c>
      <c r="BJ471" t="str">
        <v>Fiddles</v>
      </c>
      <c r="BK471" t="str">
        <v>Fan</v>
      </c>
      <c r="BL471" t="str">
        <v>Hatch</v>
      </c>
      <c r="BM471" t="str">
        <v>2 x LED reading lamps over bunk</v>
      </c>
      <c r="BN471" t="str">
        <v>Vanity table/desk with storage locker and mirror under lid</v>
      </c>
      <c r="BO471" t="str">
        <v>Fold up vanity mirror</v>
      </c>
      <c r="BP471" t="str">
        <v>Sliding entrance door with lock</v>
      </c>
      <c r="BQ471" t="str">
        <v>Doors</v>
      </c>
      <c r="BR471" t="str">
        <v>Large mirror behind sliding entrance door</v>
      </c>
      <c r="BS471" t="str">
        <v xml:space="preserve">HEADS </v>
      </c>
      <c r="BT471" t="str">
        <v>Under-basin locker with toilet roll holder</v>
      </c>
      <c r="BU471" t="str">
        <v>Vanity locker with mirror</v>
      </c>
      <c r="BV471" t="str">
        <v>Double towel rail</v>
      </c>
      <c r="BW471" t="str">
        <v>Sliding or hinged heads door</v>
      </c>
      <c r="BX471" t="str">
        <v>Washing machine locker</v>
      </c>
      <c r="BY471" t="str">
        <v>Dedicated trashcan locker</v>
      </c>
      <c r="BZ471" t="str">
        <v>Coat hook</v>
      </c>
      <c r="CA471" t="str">
        <v>Waste tank</v>
      </c>
      <c r="CB471" t="str">
        <v>Forepeak panel</v>
      </c>
      <c r="CC471" t="str">
        <v>Portlight with roller blind</v>
      </c>
      <c r="CD471" t="str">
        <v>Overhead roller blinds for privacy</v>
      </c>
    </row>
    <row r="472" spans="1:82" ht="15" customHeight="1" x14ac:dyDescent="0.25">
      <c r="A472" s="76"/>
      <c r="B472" s="97"/>
      <c r="C472" s="76"/>
      <c r="D472" s="3"/>
      <c r="E472" s="3"/>
      <c r="F472" s="3"/>
      <c r="G472" s="75"/>
      <c r="H472" s="3"/>
      <c r="I472" s="3"/>
      <c r="J472" s="3"/>
      <c r="K472" s="3"/>
      <c r="L472" s="3"/>
      <c r="M472" t="str" cm="1">
        <f t="array" ref="M472:CD472">TRANSPOSE(_xlfn.UNIQUE(_xlfn._xlws.FILTER(Table4[Discipine Area],(Table4[Discipline No.]=C531)*(Table4[Discipline No.]=C531))))</f>
        <v>SALOON</v>
      </c>
      <c r="N472" t="str">
        <v>Companion door</v>
      </c>
      <c r="O472" t="str">
        <v>Fwd cockpit door</v>
      </c>
      <c r="P472" t="str">
        <v>Windows</v>
      </c>
      <c r="Q472" t="str">
        <v>U shape settee</v>
      </c>
      <c r="R472" t="str">
        <v>Saloon table</v>
      </c>
      <c r="S472" t="str">
        <v>Formica Bulkheads</v>
      </c>
      <c r="T472" t="str">
        <v>Magazine locker/shelf locker</v>
      </c>
      <c r="U472" t="str">
        <v>Vents</v>
      </c>
      <c r="V472" t="str">
        <v>Hullside vinyl panels</v>
      </c>
      <c r="W472" t="str">
        <v>Window blinds</v>
      </c>
      <c r="X472" t="str">
        <v>Nav desk</v>
      </c>
      <c r="Y472" t="str">
        <v>Chart table with storage locker under hinged lid</v>
      </c>
      <c r="Z472" t="str">
        <v>Storage locker under chart table</v>
      </c>
      <c r="AA472" t="str">
        <v xml:space="preserve">AC Outlets </v>
      </c>
      <c r="AB472" t="str">
        <v>Ottoman</v>
      </c>
      <c r="AC472" t="str">
        <v>Galley lockers</v>
      </c>
      <c r="AD472" t="str">
        <v>Stove locker</v>
      </c>
      <c r="AE472" t="str">
        <v>Draw locker</v>
      </c>
      <c r="AF472" t="str">
        <v>Fridge/Freezer locker</v>
      </c>
      <c r="AG472" t="str">
        <v>Microwave locker</v>
      </c>
      <c r="AH472" t="str">
        <v>Tv locker</v>
      </c>
      <c r="AI472" t="str">
        <v>AC/DC locker</v>
      </c>
      <c r="AJ472" t="str">
        <v>Vinyl ceiling</v>
      </c>
      <c r="AK472" t="str">
        <v>Floor</v>
      </c>
      <c r="AL472" t="str">
        <v>Large bowl s/s sink</v>
      </c>
      <c r="AM472" t="str">
        <v>Dish and cutlery drying recess with drainage</v>
      </c>
      <c r="AN472" t="str">
        <v>Cover for drying recess</v>
      </c>
      <c r="AO472" t="str">
        <v xml:space="preserve">Vitrifrigo 2 drawer front-opening fridge/freezer </v>
      </c>
      <c r="AP472" t="str">
        <v>Ice maker</v>
      </c>
      <c r="AQ472" t="str">
        <v>Wine cooler</v>
      </c>
      <c r="AR472" t="str">
        <v>Burner gas hob</v>
      </c>
      <c r="AS472" t="str">
        <v>Gas oven</v>
      </c>
      <c r="AT472" t="str">
        <v>Gas solenoid shut-off valve with control &amp; warning light at cooker</v>
      </c>
      <c r="AU472" t="str">
        <v xml:space="preserve">Formica steps </v>
      </c>
      <c r="AV472" t="str">
        <v>Gas detectors in each hull connected to alarm in saloon</v>
      </c>
      <c r="AW472" t="str">
        <v>Smoke detector/alarm</v>
      </c>
      <c r="AX472" t="str">
        <v>LED overhead lighting</v>
      </c>
      <c r="AY472" t="str">
        <v>CABIN/ STUDY/PASSAGE</v>
      </c>
      <c r="AZ472" t="str">
        <v>Inspection lids</v>
      </c>
      <c r="BA472" t="str">
        <v>Vinyl panels</v>
      </c>
      <c r="BB472" t="str">
        <v>Stairs</v>
      </c>
      <c r="BC472" t="str">
        <v>Bedside table outboard</v>
      </c>
      <c r="BD472" t="str">
        <v>Bedside cave locker inboard</v>
      </c>
      <c r="BE472" t="str">
        <v>Bunktop/Double berth</v>
      </c>
      <c r="BF472" t="str">
        <v>Hanging locker</v>
      </c>
      <c r="BG472" t="str">
        <v>Bunk Drawers</v>
      </c>
      <c r="BH472" t="str">
        <v>Cabin Door</v>
      </c>
      <c r="BI472" t="str">
        <v>Door frames</v>
      </c>
      <c r="BJ472" t="str">
        <v>Fiddles</v>
      </c>
      <c r="BK472" t="str">
        <v>Fan</v>
      </c>
      <c r="BL472" t="str">
        <v>Hatch</v>
      </c>
      <c r="BM472" t="str">
        <v>2 x LED reading lamps over bunk</v>
      </c>
      <c r="BN472" t="str">
        <v>Vanity table/desk with storage locker and mirror under lid</v>
      </c>
      <c r="BO472" t="str">
        <v>Fold up vanity mirror</v>
      </c>
      <c r="BP472" t="str">
        <v>Sliding entrance door with lock</v>
      </c>
      <c r="BQ472" t="str">
        <v>Doors</v>
      </c>
      <c r="BR472" t="str">
        <v>Large mirror behind sliding entrance door</v>
      </c>
      <c r="BS472" t="str">
        <v xml:space="preserve">HEADS </v>
      </c>
      <c r="BT472" t="str">
        <v>Under-basin locker with toilet roll holder</v>
      </c>
      <c r="BU472" t="str">
        <v>Vanity locker with mirror</v>
      </c>
      <c r="BV472" t="str">
        <v>Double towel rail</v>
      </c>
      <c r="BW472" t="str">
        <v>Sliding or hinged heads door</v>
      </c>
      <c r="BX472" t="str">
        <v>Washing machine locker</v>
      </c>
      <c r="BY472" t="str">
        <v>Dedicated trashcan locker</v>
      </c>
      <c r="BZ472" t="str">
        <v>Coat hook</v>
      </c>
      <c r="CA472" t="str">
        <v>Waste tank</v>
      </c>
      <c r="CB472" t="str">
        <v>Forepeak panel</v>
      </c>
      <c r="CC472" t="str">
        <v>Portlight with roller blind</v>
      </c>
      <c r="CD472" t="str">
        <v>Overhead roller blinds for privacy</v>
      </c>
    </row>
    <row r="473" spans="1:82" ht="15" customHeight="1" x14ac:dyDescent="0.25">
      <c r="A473" s="76"/>
      <c r="B473" s="97"/>
      <c r="C473" s="76"/>
      <c r="D473" s="3"/>
      <c r="E473" s="3"/>
      <c r="F473" s="3"/>
      <c r="G473" s="75"/>
      <c r="H473" s="3"/>
      <c r="I473" s="3"/>
      <c r="J473" s="3"/>
      <c r="K473" s="3"/>
      <c r="L473" s="3"/>
      <c r="M473" t="str" cm="1">
        <f t="array" ref="M473:CD473">TRANSPOSE(_xlfn.UNIQUE(_xlfn._xlws.FILTER(Table4[Discipine Area],(Table4[Discipline No.]=C532)*(Table4[Discipline No.]=C532))))</f>
        <v>SALOON</v>
      </c>
      <c r="N473" t="str">
        <v>Companion door</v>
      </c>
      <c r="O473" t="str">
        <v>Fwd cockpit door</v>
      </c>
      <c r="P473" t="str">
        <v>Windows</v>
      </c>
      <c r="Q473" t="str">
        <v>U shape settee</v>
      </c>
      <c r="R473" t="str">
        <v>Saloon table</v>
      </c>
      <c r="S473" t="str">
        <v>Formica Bulkheads</v>
      </c>
      <c r="T473" t="str">
        <v>Magazine locker/shelf locker</v>
      </c>
      <c r="U473" t="str">
        <v>Vents</v>
      </c>
      <c r="V473" t="str">
        <v>Hullside vinyl panels</v>
      </c>
      <c r="W473" t="str">
        <v>Window blinds</v>
      </c>
      <c r="X473" t="str">
        <v>Nav desk</v>
      </c>
      <c r="Y473" t="str">
        <v>Chart table with storage locker under hinged lid</v>
      </c>
      <c r="Z473" t="str">
        <v>Storage locker under chart table</v>
      </c>
      <c r="AA473" t="str">
        <v xml:space="preserve">AC Outlets </v>
      </c>
      <c r="AB473" t="str">
        <v>Ottoman</v>
      </c>
      <c r="AC473" t="str">
        <v>Galley lockers</v>
      </c>
      <c r="AD473" t="str">
        <v>Stove locker</v>
      </c>
      <c r="AE473" t="str">
        <v>Draw locker</v>
      </c>
      <c r="AF473" t="str">
        <v>Fridge/Freezer locker</v>
      </c>
      <c r="AG473" t="str">
        <v>Microwave locker</v>
      </c>
      <c r="AH473" t="str">
        <v>Tv locker</v>
      </c>
      <c r="AI473" t="str">
        <v>AC/DC locker</v>
      </c>
      <c r="AJ473" t="str">
        <v>Vinyl ceiling</v>
      </c>
      <c r="AK473" t="str">
        <v>Floor</v>
      </c>
      <c r="AL473" t="str">
        <v>Large bowl s/s sink</v>
      </c>
      <c r="AM473" t="str">
        <v>Dish and cutlery drying recess with drainage</v>
      </c>
      <c r="AN473" t="str">
        <v>Cover for drying recess</v>
      </c>
      <c r="AO473" t="str">
        <v xml:space="preserve">Vitrifrigo 2 drawer front-opening fridge/freezer </v>
      </c>
      <c r="AP473" t="str">
        <v>Ice maker</v>
      </c>
      <c r="AQ473" t="str">
        <v>Wine cooler</v>
      </c>
      <c r="AR473" t="str">
        <v>Burner gas hob</v>
      </c>
      <c r="AS473" t="str">
        <v>Gas oven</v>
      </c>
      <c r="AT473" t="str">
        <v>Gas solenoid shut-off valve with control &amp; warning light at cooker</v>
      </c>
      <c r="AU473" t="str">
        <v xml:space="preserve">Formica steps </v>
      </c>
      <c r="AV473" t="str">
        <v>Gas detectors in each hull connected to alarm in saloon</v>
      </c>
      <c r="AW473" t="str">
        <v>Smoke detector/alarm</v>
      </c>
      <c r="AX473" t="str">
        <v>LED overhead lighting</v>
      </c>
      <c r="AY473" t="str">
        <v>CABIN/ STUDY/PASSAGE</v>
      </c>
      <c r="AZ473" t="str">
        <v>Inspection lids</v>
      </c>
      <c r="BA473" t="str">
        <v>Vinyl panels</v>
      </c>
      <c r="BB473" t="str">
        <v>Stairs</v>
      </c>
      <c r="BC473" t="str">
        <v>Bedside table outboard</v>
      </c>
      <c r="BD473" t="str">
        <v>Bedside cave locker inboard</v>
      </c>
      <c r="BE473" t="str">
        <v>Bunktop/Double berth</v>
      </c>
      <c r="BF473" t="str">
        <v>Hanging locker</v>
      </c>
      <c r="BG473" t="str">
        <v>Bunk Drawers</v>
      </c>
      <c r="BH473" t="str">
        <v>Cabin Door</v>
      </c>
      <c r="BI473" t="str">
        <v>Door frames</v>
      </c>
      <c r="BJ473" t="str">
        <v>Fiddles</v>
      </c>
      <c r="BK473" t="str">
        <v>Fan</v>
      </c>
      <c r="BL473" t="str">
        <v>Hatch</v>
      </c>
      <c r="BM473" t="str">
        <v>2 x LED reading lamps over bunk</v>
      </c>
      <c r="BN473" t="str">
        <v>Vanity table/desk with storage locker and mirror under lid</v>
      </c>
      <c r="BO473" t="str">
        <v>Fold up vanity mirror</v>
      </c>
      <c r="BP473" t="str">
        <v>Sliding entrance door with lock</v>
      </c>
      <c r="BQ473" t="str">
        <v>Doors</v>
      </c>
      <c r="BR473" t="str">
        <v>Large mirror behind sliding entrance door</v>
      </c>
      <c r="BS473" t="str">
        <v xml:space="preserve">HEADS </v>
      </c>
      <c r="BT473" t="str">
        <v>Under-basin locker with toilet roll holder</v>
      </c>
      <c r="BU473" t="str">
        <v>Vanity locker with mirror</v>
      </c>
      <c r="BV473" t="str">
        <v>Double towel rail</v>
      </c>
      <c r="BW473" t="str">
        <v>Sliding or hinged heads door</v>
      </c>
      <c r="BX473" t="str">
        <v>Washing machine locker</v>
      </c>
      <c r="BY473" t="str">
        <v>Dedicated trashcan locker</v>
      </c>
      <c r="BZ473" t="str">
        <v>Coat hook</v>
      </c>
      <c r="CA473" t="str">
        <v>Waste tank</v>
      </c>
      <c r="CB473" t="str">
        <v>Forepeak panel</v>
      </c>
      <c r="CC473" t="str">
        <v>Portlight with roller blind</v>
      </c>
      <c r="CD473" t="str">
        <v>Overhead roller blinds for privacy</v>
      </c>
    </row>
    <row r="474" spans="1:82" ht="15" customHeight="1" x14ac:dyDescent="0.25">
      <c r="A474" s="131" t="s">
        <v>411</v>
      </c>
      <c r="B474" s="132"/>
      <c r="C474" s="132"/>
      <c r="D474" s="132"/>
      <c r="E474" s="132"/>
      <c r="F474" s="133"/>
      <c r="G474" s="3" t="s">
        <v>412</v>
      </c>
      <c r="H474" s="141"/>
      <c r="I474" s="142"/>
      <c r="J474" s="134" t="s">
        <v>409</v>
      </c>
      <c r="K474" s="135"/>
      <c r="L474" s="136"/>
      <c r="M474" t="e" cm="1" vm="1">
        <f t="array" ref="M474">TRANSPOSE(_xlfn.UNIQUE(_xlfn._xlws.FILTER(Table4[Discipine Area],(Table4[Discipline No.]=C538)*(Table4[Discipline No.]=C538))))</f>
        <v>#VALUE!</v>
      </c>
    </row>
    <row r="475" spans="1:82" ht="15" customHeight="1" x14ac:dyDescent="0.25">
      <c r="A475" s="127" t="s">
        <v>0</v>
      </c>
      <c r="B475" s="127" t="s">
        <v>1</v>
      </c>
      <c r="C475" s="129" t="s">
        <v>2</v>
      </c>
      <c r="D475" s="129" t="s">
        <v>3</v>
      </c>
      <c r="E475" s="129" t="s">
        <v>4</v>
      </c>
      <c r="F475" s="129" t="s">
        <v>410</v>
      </c>
      <c r="G475" s="139" t="s">
        <v>216</v>
      </c>
      <c r="H475" s="139" t="s">
        <v>6</v>
      </c>
      <c r="I475" s="139" t="s">
        <v>7</v>
      </c>
      <c r="J475" s="137" t="s">
        <v>8</v>
      </c>
      <c r="K475" s="138" t="s">
        <v>9</v>
      </c>
      <c r="L475" s="138"/>
      <c r="M475" t="e" cm="1" vm="1">
        <f t="array" ref="M475">TRANSPOSE(_xlfn.UNIQUE(_xlfn._xlws.FILTER(Table4[Discipine Area],(Table4[Discipline No.]=C539)*(Table4[Discipline No.]=C539))))</f>
        <v>#VALUE!</v>
      </c>
    </row>
    <row r="476" spans="1:82" ht="15" customHeight="1" x14ac:dyDescent="0.25">
      <c r="A476" s="128"/>
      <c r="B476" s="128"/>
      <c r="C476" s="130"/>
      <c r="D476" s="130"/>
      <c r="E476" s="130"/>
      <c r="F476" s="130"/>
      <c r="G476" s="140"/>
      <c r="H476" s="140"/>
      <c r="I476" s="140"/>
      <c r="J476" s="137"/>
      <c r="K476" s="78" t="s">
        <v>10</v>
      </c>
      <c r="L476" s="78" t="s">
        <v>11</v>
      </c>
      <c r="M476" t="e" cm="1" vm="1">
        <f t="array" ref="M476">TRANSPOSE(_xlfn.UNIQUE(_xlfn._xlws.FILTER(Table4[Discipine Area],(Table4[Discipline No.]=C540)*(Table4[Discipline No.]=C540))))</f>
        <v>#VALUE!</v>
      </c>
    </row>
    <row r="477" spans="1:82" ht="15" customHeight="1" x14ac:dyDescent="0.25">
      <c r="A477" s="76"/>
      <c r="B477" s="113" t="s">
        <v>609</v>
      </c>
      <c r="C477" s="9"/>
      <c r="D477" s="74"/>
      <c r="E477" s="73"/>
      <c r="F477" s="74"/>
      <c r="G477" s="75"/>
      <c r="H477" s="3"/>
      <c r="I477" s="3"/>
      <c r="J477" s="3"/>
      <c r="K477" s="3"/>
      <c r="L477" s="3"/>
      <c r="M477" t="e" cm="1" vm="1">
        <f t="array" ref="M477">TRANSPOSE(_xlfn.UNIQUE(_xlfn._xlws.FILTER(Table4[Discipine Area],(Table4[Discipline No.]=C541)*(Table4[Discipline No.]=C541))))</f>
        <v>#VALUE!</v>
      </c>
    </row>
    <row r="478" spans="1:82" x14ac:dyDescent="0.25">
      <c r="A478" s="76"/>
      <c r="B478" s="115"/>
      <c r="C478" s="9">
        <v>3</v>
      </c>
      <c r="D478" s="74" t="s">
        <v>365</v>
      </c>
      <c r="E478" s="73" t="s">
        <v>298</v>
      </c>
      <c r="F478" s="74"/>
      <c r="G478" s="74" t="s">
        <v>610</v>
      </c>
      <c r="H478" s="3"/>
      <c r="I478" s="3"/>
      <c r="J478" s="3"/>
      <c r="K478" s="3"/>
      <c r="L478" s="3"/>
      <c r="M478" t="e" cm="1" vm="1">
        <f t="array" ref="M478">TRANSPOSE(_xlfn.UNIQUE(_xlfn._xlws.FILTER(Table4[Discipine Area],(Table4[Discipline No.]=C542)*(Table4[Discipline No.]=C542))))</f>
        <v>#VALUE!</v>
      </c>
    </row>
    <row r="479" spans="1:82" x14ac:dyDescent="0.25">
      <c r="A479" s="76"/>
      <c r="B479" s="119"/>
      <c r="C479" s="9">
        <v>3</v>
      </c>
      <c r="D479" s="74" t="s">
        <v>377</v>
      </c>
      <c r="E479" s="74" t="s">
        <v>298</v>
      </c>
      <c r="F479" s="74"/>
      <c r="G479" s="74" t="s">
        <v>611</v>
      </c>
      <c r="H479" s="3"/>
      <c r="I479" s="3"/>
      <c r="J479" s="3"/>
      <c r="K479" s="3"/>
      <c r="L479" s="3"/>
      <c r="M479" t="e" cm="1" vm="1">
        <f t="array" ref="M479">TRANSPOSE(_xlfn.UNIQUE(_xlfn._xlws.FILTER(Table4[Discipine Area],(Table4[Discipline No.]=C543)*(Table4[Discipline No.]=C543))))</f>
        <v>#VALUE!</v>
      </c>
    </row>
    <row r="480" spans="1:82" x14ac:dyDescent="0.25">
      <c r="A480" s="126"/>
      <c r="B480" s="119"/>
      <c r="C480" s="9">
        <v>3</v>
      </c>
      <c r="D480" s="74" t="s">
        <v>326</v>
      </c>
      <c r="E480" s="74" t="s">
        <v>217</v>
      </c>
      <c r="F480" s="74"/>
      <c r="G480" s="74" t="s">
        <v>612</v>
      </c>
      <c r="H480" s="3"/>
      <c r="I480" s="3"/>
      <c r="J480" s="3"/>
      <c r="K480" s="3"/>
      <c r="L480" s="3"/>
      <c r="M480" t="e" cm="1" vm="1">
        <f t="array" ref="M480">TRANSPOSE(_xlfn.UNIQUE(_xlfn._xlws.FILTER(Table4[Discipine Area],(Table4[Discipline No.]=C544)*(Table4[Discipline No.]=C544))))</f>
        <v>#VALUE!</v>
      </c>
    </row>
    <row r="481" spans="1:82" ht="30" x14ac:dyDescent="0.25">
      <c r="A481" s="76"/>
      <c r="B481" s="116"/>
      <c r="C481" s="9">
        <v>1</v>
      </c>
      <c r="D481" s="74" t="s">
        <v>377</v>
      </c>
      <c r="E481" s="73" t="s">
        <v>222</v>
      </c>
      <c r="F481" s="74"/>
      <c r="G481" s="74" t="s">
        <v>613</v>
      </c>
      <c r="H481" s="3"/>
      <c r="I481" s="3"/>
      <c r="J481" s="3"/>
      <c r="K481" s="3"/>
      <c r="L481" s="3"/>
      <c r="M481" t="e" cm="1" vm="1">
        <f t="array" ref="M481">TRANSPOSE(_xlfn.UNIQUE(_xlfn._xlws.FILTER(Table4[Discipine Area],(Table4[Discipline No.]=C545)*(Table4[Discipline No.]=C545))))</f>
        <v>#VALUE!</v>
      </c>
    </row>
    <row r="482" spans="1:82" x14ac:dyDescent="0.25">
      <c r="A482" s="9"/>
      <c r="B482" s="117"/>
      <c r="C482" s="9">
        <v>3</v>
      </c>
      <c r="D482" s="74" t="s">
        <v>377</v>
      </c>
      <c r="E482" s="74" t="s">
        <v>299</v>
      </c>
      <c r="F482" s="74"/>
      <c r="G482" s="74" t="s">
        <v>614</v>
      </c>
      <c r="H482" s="3"/>
      <c r="I482" s="3"/>
      <c r="J482" s="3"/>
      <c r="K482" s="3"/>
      <c r="L482" s="3"/>
      <c r="M482" t="e" cm="1" vm="1">
        <f t="array" ref="M482">TRANSPOSE(_xlfn.UNIQUE(_xlfn._xlws.FILTER(Table4[Discipine Area],(Table4[Discipline No.]=C546)*(Table4[Discipline No.]=C546))))</f>
        <v>#VALUE!</v>
      </c>
    </row>
    <row r="483" spans="1:82" x14ac:dyDescent="0.25">
      <c r="A483" s="9"/>
      <c r="B483" s="118"/>
      <c r="C483" s="9">
        <v>3</v>
      </c>
      <c r="D483" s="149" t="s">
        <v>377</v>
      </c>
      <c r="E483" s="73" t="s">
        <v>299</v>
      </c>
      <c r="F483" s="74"/>
      <c r="G483" s="74" t="s">
        <v>615</v>
      </c>
      <c r="H483" s="3"/>
      <c r="I483" s="3"/>
      <c r="J483" s="3"/>
      <c r="K483" s="3"/>
      <c r="L483" s="3"/>
      <c r="M483" t="e" cm="1">
        <f t="array" ref="M483">TRANSPOSE(_xlfn.UNIQUE(_xlfn._xlws.FILTER(Table4[Discipine Area],(Table4[Discipline No.]=#REF!)*(Table4[Discipline No.]=#REF!))))</f>
        <v>#REF!</v>
      </c>
    </row>
    <row r="484" spans="1:82" x14ac:dyDescent="0.25">
      <c r="A484" s="9"/>
      <c r="B484" s="118"/>
      <c r="C484" s="9">
        <v>1</v>
      </c>
      <c r="D484" s="74" t="s">
        <v>20</v>
      </c>
      <c r="E484" s="74" t="s">
        <v>217</v>
      </c>
      <c r="F484" s="74"/>
      <c r="G484" s="74" t="s">
        <v>616</v>
      </c>
      <c r="H484" s="3"/>
      <c r="I484" s="3"/>
      <c r="J484" s="3"/>
      <c r="K484" s="3"/>
      <c r="L484" s="3"/>
      <c r="M484" t="e" cm="1">
        <f t="array" ref="M484">TRANSPOSE(_xlfn.UNIQUE(_xlfn._xlws.FILTER(Table4[Discipine Area],(Table4[Discipline No.]=#REF!)*(Table4[Discipline No.]=#REF!))))</f>
        <v>#REF!</v>
      </c>
    </row>
    <row r="485" spans="1:82" x14ac:dyDescent="0.25">
      <c r="A485" s="9"/>
      <c r="B485" s="115"/>
      <c r="C485" s="9">
        <v>3</v>
      </c>
      <c r="D485" s="74" t="s">
        <v>377</v>
      </c>
      <c r="E485" s="73" t="s">
        <v>217</v>
      </c>
      <c r="F485" s="74"/>
      <c r="G485" s="74" t="s">
        <v>617</v>
      </c>
      <c r="H485" s="3"/>
      <c r="I485" s="3"/>
      <c r="J485" s="3"/>
      <c r="K485" s="3"/>
      <c r="L485" s="3"/>
      <c r="M485" t="e" cm="1">
        <f t="array" ref="M485">TRANSPOSE(_xlfn.UNIQUE(_xlfn._xlws.FILTER(Table4[Discipine Area],(Table4[Discipline No.]=#REF!)*(Table4[Discipline No.]=#REF!))))</f>
        <v>#REF!</v>
      </c>
    </row>
    <row r="486" spans="1:82" x14ac:dyDescent="0.25">
      <c r="A486" s="76"/>
      <c r="B486" s="115"/>
      <c r="C486" s="9">
        <v>3</v>
      </c>
      <c r="D486" s="74" t="s">
        <v>335</v>
      </c>
      <c r="E486" s="74" t="s">
        <v>300</v>
      </c>
      <c r="F486" s="74"/>
      <c r="G486" s="74" t="s">
        <v>618</v>
      </c>
      <c r="H486" s="3"/>
      <c r="I486" s="3"/>
      <c r="J486" s="3"/>
      <c r="K486" s="3"/>
      <c r="L486" s="3"/>
      <c r="M486" t="e" cm="1">
        <f t="array" ref="M486">TRANSPOSE(_xlfn.UNIQUE(_xlfn._xlws.FILTER(Table4[Discipine Area],(Table4[Discipline No.]=#REF!)*(Table4[Discipline No.]=#REF!))))</f>
        <v>#REF!</v>
      </c>
    </row>
    <row r="487" spans="1:82" ht="30" x14ac:dyDescent="0.25">
      <c r="A487" s="76"/>
      <c r="B487" s="118"/>
      <c r="C487" s="9">
        <v>3</v>
      </c>
      <c r="D487" s="74" t="s">
        <v>262</v>
      </c>
      <c r="E487" s="74" t="s">
        <v>215</v>
      </c>
      <c r="F487" s="74"/>
      <c r="G487" s="74" t="s">
        <v>619</v>
      </c>
      <c r="H487" s="3"/>
      <c r="I487" s="3"/>
      <c r="J487" s="3"/>
      <c r="K487" s="3"/>
      <c r="L487" s="3"/>
      <c r="M487" t="e" cm="1">
        <f t="array" ref="M487">TRANSPOSE(_xlfn.UNIQUE(_xlfn._xlws.FILTER(Table4[Discipine Area],(Table4[Discipline No.]=#REF!)*(Table4[Discipline No.]=#REF!))))</f>
        <v>#REF!</v>
      </c>
    </row>
    <row r="488" spans="1:82" ht="30" x14ac:dyDescent="0.25">
      <c r="A488" s="76"/>
      <c r="B488" s="118"/>
      <c r="C488" s="9">
        <v>3</v>
      </c>
      <c r="D488" s="74" t="s">
        <v>316</v>
      </c>
      <c r="E488" s="73" t="s">
        <v>217</v>
      </c>
      <c r="F488" s="74"/>
      <c r="G488" s="74" t="s">
        <v>620</v>
      </c>
      <c r="H488" s="3"/>
      <c r="I488" s="3"/>
      <c r="J488" s="3"/>
      <c r="K488" s="3"/>
      <c r="L488" s="3"/>
      <c r="M488" t="e" cm="1">
        <f t="array" ref="M488">TRANSPOSE(_xlfn.UNIQUE(_xlfn._xlws.FILTER(Table4[Discipine Area],(Table4[Discipline No.]=#REF!)*(Table4[Discipline No.]=#REF!))))</f>
        <v>#REF!</v>
      </c>
    </row>
    <row r="489" spans="1:82" x14ac:dyDescent="0.25">
      <c r="A489" s="76"/>
      <c r="B489" s="118"/>
      <c r="C489" s="9">
        <v>3</v>
      </c>
      <c r="D489" s="74" t="s">
        <v>338</v>
      </c>
      <c r="E489" s="73" t="s">
        <v>301</v>
      </c>
      <c r="F489" s="74"/>
      <c r="G489" s="74" t="s">
        <v>621</v>
      </c>
      <c r="H489" s="3"/>
      <c r="I489" s="3"/>
      <c r="J489" s="3"/>
      <c r="K489" s="3"/>
      <c r="L489" s="3"/>
    </row>
    <row r="490" spans="1:82" ht="30" x14ac:dyDescent="0.25">
      <c r="A490" s="76"/>
      <c r="B490" s="118"/>
      <c r="C490" s="9">
        <v>3</v>
      </c>
      <c r="D490" s="74" t="s">
        <v>313</v>
      </c>
      <c r="E490" s="73" t="s">
        <v>298</v>
      </c>
      <c r="F490" s="74"/>
      <c r="G490" s="74" t="s">
        <v>622</v>
      </c>
      <c r="H490" s="3"/>
      <c r="I490" s="3"/>
      <c r="J490" s="3"/>
      <c r="K490" s="3"/>
      <c r="L490" s="3"/>
      <c r="M490" t="e" cm="1">
        <f t="array" ref="M490">TRANSPOSE(_xlfn.UNIQUE(_xlfn._xlws.FILTER(Table4[Discipine Area],(Table4[Discipline No.]=#REF!)*(Table4[Discipline No.]=#REF!))))</f>
        <v>#REF!</v>
      </c>
    </row>
    <row r="491" spans="1:82" x14ac:dyDescent="0.25">
      <c r="A491" s="76"/>
      <c r="B491" s="116"/>
      <c r="C491" s="9">
        <v>3</v>
      </c>
      <c r="D491" s="74" t="s">
        <v>366</v>
      </c>
      <c r="E491" s="74" t="s">
        <v>299</v>
      </c>
      <c r="F491" s="74"/>
      <c r="G491" s="74" t="s">
        <v>623</v>
      </c>
      <c r="H491" s="3"/>
      <c r="I491" s="3"/>
      <c r="J491" s="3"/>
      <c r="K491" s="3"/>
      <c r="L491" s="3"/>
      <c r="M491" t="e" cm="1" vm="1">
        <f t="array" ref="M491">TRANSPOSE(_xlfn.UNIQUE(_xlfn._xlws.FILTER(Table4[Discipine Area],(Table4[Discipline No.]=C547)*(Table4[Discipline No.]=C547))))</f>
        <v>#VALUE!</v>
      </c>
    </row>
    <row r="492" spans="1:82" x14ac:dyDescent="0.25">
      <c r="A492" s="76"/>
      <c r="B492" s="118"/>
      <c r="C492" s="9">
        <v>3</v>
      </c>
      <c r="D492" s="74" t="s">
        <v>374</v>
      </c>
      <c r="E492" s="73" t="s">
        <v>299</v>
      </c>
      <c r="F492" s="74"/>
      <c r="G492" s="74" t="s">
        <v>624</v>
      </c>
      <c r="H492" s="3"/>
      <c r="I492" s="3"/>
      <c r="J492" s="3"/>
      <c r="K492" s="3"/>
      <c r="L492" s="3"/>
      <c r="M492" t="e" cm="1" vm="1">
        <f t="array" ref="M492">TRANSPOSE(_xlfn.UNIQUE(_xlfn._xlws.FILTER(Table4[Discipine Area],(Table4[Discipline No.]=C548)*(Table4[Discipline No.]=C548))))</f>
        <v>#VALUE!</v>
      </c>
    </row>
    <row r="493" spans="1:82" ht="30" x14ac:dyDescent="0.25">
      <c r="A493" s="76"/>
      <c r="B493" s="118"/>
      <c r="C493" s="9">
        <v>3</v>
      </c>
      <c r="D493" s="74" t="s">
        <v>314</v>
      </c>
      <c r="E493" s="73" t="s">
        <v>299</v>
      </c>
      <c r="F493" s="74"/>
      <c r="G493" s="74" t="s">
        <v>625</v>
      </c>
      <c r="H493" s="3"/>
      <c r="I493" s="3"/>
      <c r="J493" s="3"/>
      <c r="K493" s="3"/>
      <c r="L493" s="3"/>
      <c r="M493" t="e" cm="1" vm="1">
        <f t="array" ref="M493">TRANSPOSE(_xlfn.UNIQUE(_xlfn._xlws.FILTER(Table4[Discipine Area],(Table4[Discipline No.]=C549)*(Table4[Discipline No.]=C549))))</f>
        <v>#VALUE!</v>
      </c>
    </row>
    <row r="494" spans="1:82" x14ac:dyDescent="0.25">
      <c r="A494" s="9"/>
      <c r="B494" s="115"/>
      <c r="C494" s="9">
        <v>3</v>
      </c>
      <c r="D494" s="74" t="s">
        <v>336</v>
      </c>
      <c r="E494" s="73" t="s">
        <v>299</v>
      </c>
      <c r="F494" s="74"/>
      <c r="G494" s="74" t="s">
        <v>626</v>
      </c>
      <c r="H494" s="3"/>
      <c r="I494" s="3"/>
      <c r="J494" s="3"/>
      <c r="K494" s="3"/>
      <c r="L494" s="3"/>
      <c r="M494" t="e" cm="1" vm="1">
        <f t="array" ref="M494">TRANSPOSE(_xlfn.UNIQUE(_xlfn._xlws.FILTER(Table4[Discipine Area],(Table4[Discipline No.]=C550)*(Table4[Discipline No.]=C550))))</f>
        <v>#VALUE!</v>
      </c>
    </row>
    <row r="495" spans="1:82" ht="30" x14ac:dyDescent="0.25">
      <c r="A495" s="76"/>
      <c r="B495" s="115"/>
      <c r="C495" s="9">
        <v>9</v>
      </c>
      <c r="D495" s="74" t="s">
        <v>382</v>
      </c>
      <c r="E495" s="73" t="s">
        <v>298</v>
      </c>
      <c r="F495" s="74"/>
      <c r="G495" s="74" t="s">
        <v>627</v>
      </c>
      <c r="H495" s="3"/>
      <c r="I495" s="3"/>
      <c r="J495" s="3"/>
      <c r="K495" s="3"/>
      <c r="L495" s="3"/>
      <c r="M495" t="str" cm="1">
        <f t="array" ref="M495:CD495">TRANSPOSE(_xlfn.UNIQUE(_xlfn._xlws.FILTER(Table4[Discipine Area],(Table4[Discipline No.]=C551)*(Table4[Discipline No.]=C551))))</f>
        <v>SALOON</v>
      </c>
      <c r="N495" t="str">
        <v>Companion door</v>
      </c>
      <c r="O495" t="str">
        <v>Fwd cockpit door</v>
      </c>
      <c r="P495" t="str">
        <v>Windows</v>
      </c>
      <c r="Q495" t="str">
        <v>U shape settee</v>
      </c>
      <c r="R495" t="str">
        <v>Saloon table</v>
      </c>
      <c r="S495" t="str">
        <v>Formica Bulkheads</v>
      </c>
      <c r="T495" t="str">
        <v>Magazine locker/shelf locker</v>
      </c>
      <c r="U495" t="str">
        <v>Vents</v>
      </c>
      <c r="V495" t="str">
        <v>Hullside vinyl panels</v>
      </c>
      <c r="W495" t="str">
        <v>Window blinds</v>
      </c>
      <c r="X495" t="str">
        <v>Nav desk</v>
      </c>
      <c r="Y495" t="str">
        <v>Chart table with storage locker under hinged lid</v>
      </c>
      <c r="Z495" t="str">
        <v>Storage locker under chart table</v>
      </c>
      <c r="AA495" t="str">
        <v xml:space="preserve">AC Outlets </v>
      </c>
      <c r="AB495" t="str">
        <v>Ottoman</v>
      </c>
      <c r="AC495" t="str">
        <v>Galley lockers</v>
      </c>
      <c r="AD495" t="str">
        <v>Stove locker</v>
      </c>
      <c r="AE495" t="str">
        <v>Draw locker</v>
      </c>
      <c r="AF495" t="str">
        <v>Fridge/Freezer locker</v>
      </c>
      <c r="AG495" t="str">
        <v>Microwave locker</v>
      </c>
      <c r="AH495" t="str">
        <v>Tv locker</v>
      </c>
      <c r="AI495" t="str">
        <v>AC/DC locker</v>
      </c>
      <c r="AJ495" t="str">
        <v>Vinyl ceiling</v>
      </c>
      <c r="AK495" t="str">
        <v>Floor</v>
      </c>
      <c r="AL495" t="str">
        <v>Large bowl s/s sink</v>
      </c>
      <c r="AM495" t="str">
        <v>Dish and cutlery drying recess with drainage</v>
      </c>
      <c r="AN495" t="str">
        <v>Cover for drying recess</v>
      </c>
      <c r="AO495" t="str">
        <v xml:space="preserve">Vitrifrigo 2 drawer front-opening fridge/freezer </v>
      </c>
      <c r="AP495" t="str">
        <v>Ice maker</v>
      </c>
      <c r="AQ495" t="str">
        <v>Wine cooler</v>
      </c>
      <c r="AR495" t="str">
        <v>Burner gas hob</v>
      </c>
      <c r="AS495" t="str">
        <v>Gas oven</v>
      </c>
      <c r="AT495" t="str">
        <v>Gas solenoid shut-off valve with control &amp; warning light at cooker</v>
      </c>
      <c r="AU495" t="str">
        <v xml:space="preserve">Formica steps </v>
      </c>
      <c r="AV495" t="str">
        <v>Gas detectors in each hull connected to alarm in saloon</v>
      </c>
      <c r="AW495" t="str">
        <v>Smoke detector/alarm</v>
      </c>
      <c r="AX495" t="str">
        <v>LED overhead lighting</v>
      </c>
      <c r="AY495" t="str">
        <v>CABIN/ STUDY/PASSAGE</v>
      </c>
      <c r="AZ495" t="str">
        <v>Inspection lids</v>
      </c>
      <c r="BA495" t="str">
        <v>Vinyl panels</v>
      </c>
      <c r="BB495" t="str">
        <v>Stairs</v>
      </c>
      <c r="BC495" t="str">
        <v>Bedside table outboard</v>
      </c>
      <c r="BD495" t="str">
        <v>Bedside cave locker inboard</v>
      </c>
      <c r="BE495" t="str">
        <v>Bunktop/Double berth</v>
      </c>
      <c r="BF495" t="str">
        <v>Hanging locker</v>
      </c>
      <c r="BG495" t="str">
        <v>Bunk Drawers</v>
      </c>
      <c r="BH495" t="str">
        <v>Cabin Door</v>
      </c>
      <c r="BI495" t="str">
        <v>Door frames</v>
      </c>
      <c r="BJ495" t="str">
        <v>Fiddles</v>
      </c>
      <c r="BK495" t="str">
        <v>Fan</v>
      </c>
      <c r="BL495" t="str">
        <v>Hatch</v>
      </c>
      <c r="BM495" t="str">
        <v>2 x LED reading lamps over bunk</v>
      </c>
      <c r="BN495" t="str">
        <v>Vanity table/desk with storage locker and mirror under lid</v>
      </c>
      <c r="BO495" t="str">
        <v>Fold up vanity mirror</v>
      </c>
      <c r="BP495" t="str">
        <v>Sliding entrance door with lock</v>
      </c>
      <c r="BQ495" t="str">
        <v>Doors</v>
      </c>
      <c r="BR495" t="str">
        <v>Large mirror behind sliding entrance door</v>
      </c>
      <c r="BS495" t="str">
        <v xml:space="preserve">HEADS </v>
      </c>
      <c r="BT495" t="str">
        <v>Under-basin locker with toilet roll holder</v>
      </c>
      <c r="BU495" t="str">
        <v>Vanity locker with mirror</v>
      </c>
      <c r="BV495" t="str">
        <v>Double towel rail</v>
      </c>
      <c r="BW495" t="str">
        <v>Sliding or hinged heads door</v>
      </c>
      <c r="BX495" t="str">
        <v>Washing machine locker</v>
      </c>
      <c r="BY495" t="str">
        <v>Dedicated trashcan locker</v>
      </c>
      <c r="BZ495" t="str">
        <v>Coat hook</v>
      </c>
      <c r="CA495" t="str">
        <v>Waste tank</v>
      </c>
      <c r="CB495" t="str">
        <v>Forepeak panel</v>
      </c>
      <c r="CC495" t="str">
        <v>Portlight with roller blind</v>
      </c>
      <c r="CD495" t="str">
        <v>Overhead roller blinds for privacy</v>
      </c>
    </row>
    <row r="496" spans="1:82" x14ac:dyDescent="0.25">
      <c r="A496" s="76"/>
      <c r="B496" s="115"/>
      <c r="C496" s="9">
        <v>3</v>
      </c>
      <c r="D496" s="74" t="s">
        <v>365</v>
      </c>
      <c r="E496" s="73" t="s">
        <v>301</v>
      </c>
      <c r="F496" s="74"/>
      <c r="G496" s="74" t="s">
        <v>628</v>
      </c>
      <c r="H496" s="3"/>
      <c r="I496" s="3"/>
      <c r="J496" s="3"/>
      <c r="K496" s="3"/>
      <c r="L496" s="3"/>
      <c r="M496" t="str" cm="1">
        <f t="array" ref="M496:CD496">TRANSPOSE(_xlfn.UNIQUE(_xlfn._xlws.FILTER(Table4[Discipine Area],(Table4[Discipline No.]=C552)*(Table4[Discipline No.]=C552))))</f>
        <v>SALOON</v>
      </c>
      <c r="N496" t="str">
        <v>Companion door</v>
      </c>
      <c r="O496" t="str">
        <v>Fwd cockpit door</v>
      </c>
      <c r="P496" t="str">
        <v>Windows</v>
      </c>
      <c r="Q496" t="str">
        <v>U shape settee</v>
      </c>
      <c r="R496" t="str">
        <v>Saloon table</v>
      </c>
      <c r="S496" t="str">
        <v>Formica Bulkheads</v>
      </c>
      <c r="T496" t="str">
        <v>Magazine locker/shelf locker</v>
      </c>
      <c r="U496" t="str">
        <v>Vents</v>
      </c>
      <c r="V496" t="str">
        <v>Hullside vinyl panels</v>
      </c>
      <c r="W496" t="str">
        <v>Window blinds</v>
      </c>
      <c r="X496" t="str">
        <v>Nav desk</v>
      </c>
      <c r="Y496" t="str">
        <v>Chart table with storage locker under hinged lid</v>
      </c>
      <c r="Z496" t="str">
        <v>Storage locker under chart table</v>
      </c>
      <c r="AA496" t="str">
        <v xml:space="preserve">AC Outlets </v>
      </c>
      <c r="AB496" t="str">
        <v>Ottoman</v>
      </c>
      <c r="AC496" t="str">
        <v>Galley lockers</v>
      </c>
      <c r="AD496" t="str">
        <v>Stove locker</v>
      </c>
      <c r="AE496" t="str">
        <v>Draw locker</v>
      </c>
      <c r="AF496" t="str">
        <v>Fridge/Freezer locker</v>
      </c>
      <c r="AG496" t="str">
        <v>Microwave locker</v>
      </c>
      <c r="AH496" t="str">
        <v>Tv locker</v>
      </c>
      <c r="AI496" t="str">
        <v>AC/DC locker</v>
      </c>
      <c r="AJ496" t="str">
        <v>Vinyl ceiling</v>
      </c>
      <c r="AK496" t="str">
        <v>Floor</v>
      </c>
      <c r="AL496" t="str">
        <v>Large bowl s/s sink</v>
      </c>
      <c r="AM496" t="str">
        <v>Dish and cutlery drying recess with drainage</v>
      </c>
      <c r="AN496" t="str">
        <v>Cover for drying recess</v>
      </c>
      <c r="AO496" t="str">
        <v xml:space="preserve">Vitrifrigo 2 drawer front-opening fridge/freezer </v>
      </c>
      <c r="AP496" t="str">
        <v>Ice maker</v>
      </c>
      <c r="AQ496" t="str">
        <v>Wine cooler</v>
      </c>
      <c r="AR496" t="str">
        <v>Burner gas hob</v>
      </c>
      <c r="AS496" t="str">
        <v>Gas oven</v>
      </c>
      <c r="AT496" t="str">
        <v>Gas solenoid shut-off valve with control &amp; warning light at cooker</v>
      </c>
      <c r="AU496" t="str">
        <v xml:space="preserve">Formica steps </v>
      </c>
      <c r="AV496" t="str">
        <v>Gas detectors in each hull connected to alarm in saloon</v>
      </c>
      <c r="AW496" t="str">
        <v>Smoke detector/alarm</v>
      </c>
      <c r="AX496" t="str">
        <v>LED overhead lighting</v>
      </c>
      <c r="AY496" t="str">
        <v>CABIN/ STUDY/PASSAGE</v>
      </c>
      <c r="AZ496" t="str">
        <v>Inspection lids</v>
      </c>
      <c r="BA496" t="str">
        <v>Vinyl panels</v>
      </c>
      <c r="BB496" t="str">
        <v>Stairs</v>
      </c>
      <c r="BC496" t="str">
        <v>Bedside table outboard</v>
      </c>
      <c r="BD496" t="str">
        <v>Bedside cave locker inboard</v>
      </c>
      <c r="BE496" t="str">
        <v>Bunktop/Double berth</v>
      </c>
      <c r="BF496" t="str">
        <v>Hanging locker</v>
      </c>
      <c r="BG496" t="str">
        <v>Bunk Drawers</v>
      </c>
      <c r="BH496" t="str">
        <v>Cabin Door</v>
      </c>
      <c r="BI496" t="str">
        <v>Door frames</v>
      </c>
      <c r="BJ496" t="str">
        <v>Fiddles</v>
      </c>
      <c r="BK496" t="str">
        <v>Fan</v>
      </c>
      <c r="BL496" t="str">
        <v>Hatch</v>
      </c>
      <c r="BM496" t="str">
        <v>2 x LED reading lamps over bunk</v>
      </c>
      <c r="BN496" t="str">
        <v>Vanity table/desk with storage locker and mirror under lid</v>
      </c>
      <c r="BO496" t="str">
        <v>Fold up vanity mirror</v>
      </c>
      <c r="BP496" t="str">
        <v>Sliding entrance door with lock</v>
      </c>
      <c r="BQ496" t="str">
        <v>Doors</v>
      </c>
      <c r="BR496" t="str">
        <v>Large mirror behind sliding entrance door</v>
      </c>
      <c r="BS496" t="str">
        <v xml:space="preserve">HEADS </v>
      </c>
      <c r="BT496" t="str">
        <v>Under-basin locker with toilet roll holder</v>
      </c>
      <c r="BU496" t="str">
        <v>Vanity locker with mirror</v>
      </c>
      <c r="BV496" t="str">
        <v>Double towel rail</v>
      </c>
      <c r="BW496" t="str">
        <v>Sliding or hinged heads door</v>
      </c>
      <c r="BX496" t="str">
        <v>Washing machine locker</v>
      </c>
      <c r="BY496" t="str">
        <v>Dedicated trashcan locker</v>
      </c>
      <c r="BZ496" t="str">
        <v>Coat hook</v>
      </c>
      <c r="CA496" t="str">
        <v>Waste tank</v>
      </c>
      <c r="CB496" t="str">
        <v>Forepeak panel</v>
      </c>
      <c r="CC496" t="str">
        <v>Portlight with roller blind</v>
      </c>
      <c r="CD496" t="str">
        <v>Overhead roller blinds for privacy</v>
      </c>
    </row>
    <row r="497" spans="1:82" x14ac:dyDescent="0.25">
      <c r="A497" s="76"/>
      <c r="B497" s="99"/>
      <c r="C497" s="76"/>
      <c r="D497" s="73"/>
      <c r="E497" s="3"/>
      <c r="F497" s="74"/>
      <c r="G497" s="75"/>
      <c r="H497" s="3"/>
      <c r="I497" s="3"/>
      <c r="J497" s="3"/>
      <c r="K497" s="3"/>
      <c r="L497" s="3"/>
      <c r="M497" t="str" cm="1">
        <f t="array" ref="M497:CD497">TRANSPOSE(_xlfn.UNIQUE(_xlfn._xlws.FILTER(Table4[Discipine Area],(Table4[Discipline No.]=C553)*(Table4[Discipline No.]=C553))))</f>
        <v>SALOON</v>
      </c>
      <c r="N497" t="str">
        <v>Companion door</v>
      </c>
      <c r="O497" t="str">
        <v>Fwd cockpit door</v>
      </c>
      <c r="P497" t="str">
        <v>Windows</v>
      </c>
      <c r="Q497" t="str">
        <v>U shape settee</v>
      </c>
      <c r="R497" t="str">
        <v>Saloon table</v>
      </c>
      <c r="S497" t="str">
        <v>Formica Bulkheads</v>
      </c>
      <c r="T497" t="str">
        <v>Magazine locker/shelf locker</v>
      </c>
      <c r="U497" t="str">
        <v>Vents</v>
      </c>
      <c r="V497" t="str">
        <v>Hullside vinyl panels</v>
      </c>
      <c r="W497" t="str">
        <v>Window blinds</v>
      </c>
      <c r="X497" t="str">
        <v>Nav desk</v>
      </c>
      <c r="Y497" t="str">
        <v>Chart table with storage locker under hinged lid</v>
      </c>
      <c r="Z497" t="str">
        <v>Storage locker under chart table</v>
      </c>
      <c r="AA497" t="str">
        <v xml:space="preserve">AC Outlets </v>
      </c>
      <c r="AB497" t="str">
        <v>Ottoman</v>
      </c>
      <c r="AC497" t="str">
        <v>Galley lockers</v>
      </c>
      <c r="AD497" t="str">
        <v>Stove locker</v>
      </c>
      <c r="AE497" t="str">
        <v>Draw locker</v>
      </c>
      <c r="AF497" t="str">
        <v>Fridge/Freezer locker</v>
      </c>
      <c r="AG497" t="str">
        <v>Microwave locker</v>
      </c>
      <c r="AH497" t="str">
        <v>Tv locker</v>
      </c>
      <c r="AI497" t="str">
        <v>AC/DC locker</v>
      </c>
      <c r="AJ497" t="str">
        <v>Vinyl ceiling</v>
      </c>
      <c r="AK497" t="str">
        <v>Floor</v>
      </c>
      <c r="AL497" t="str">
        <v>Large bowl s/s sink</v>
      </c>
      <c r="AM497" t="str">
        <v>Dish and cutlery drying recess with drainage</v>
      </c>
      <c r="AN497" t="str">
        <v>Cover for drying recess</v>
      </c>
      <c r="AO497" t="str">
        <v xml:space="preserve">Vitrifrigo 2 drawer front-opening fridge/freezer </v>
      </c>
      <c r="AP497" t="str">
        <v>Ice maker</v>
      </c>
      <c r="AQ497" t="str">
        <v>Wine cooler</v>
      </c>
      <c r="AR497" t="str">
        <v>Burner gas hob</v>
      </c>
      <c r="AS497" t="str">
        <v>Gas oven</v>
      </c>
      <c r="AT497" t="str">
        <v>Gas solenoid shut-off valve with control &amp; warning light at cooker</v>
      </c>
      <c r="AU497" t="str">
        <v xml:space="preserve">Formica steps </v>
      </c>
      <c r="AV497" t="str">
        <v>Gas detectors in each hull connected to alarm in saloon</v>
      </c>
      <c r="AW497" t="str">
        <v>Smoke detector/alarm</v>
      </c>
      <c r="AX497" t="str">
        <v>LED overhead lighting</v>
      </c>
      <c r="AY497" t="str">
        <v>CABIN/ STUDY/PASSAGE</v>
      </c>
      <c r="AZ497" t="str">
        <v>Inspection lids</v>
      </c>
      <c r="BA497" t="str">
        <v>Vinyl panels</v>
      </c>
      <c r="BB497" t="str">
        <v>Stairs</v>
      </c>
      <c r="BC497" t="str">
        <v>Bedside table outboard</v>
      </c>
      <c r="BD497" t="str">
        <v>Bedside cave locker inboard</v>
      </c>
      <c r="BE497" t="str">
        <v>Bunktop/Double berth</v>
      </c>
      <c r="BF497" t="str">
        <v>Hanging locker</v>
      </c>
      <c r="BG497" t="str">
        <v>Bunk Drawers</v>
      </c>
      <c r="BH497" t="str">
        <v>Cabin Door</v>
      </c>
      <c r="BI497" t="str">
        <v>Door frames</v>
      </c>
      <c r="BJ497" t="str">
        <v>Fiddles</v>
      </c>
      <c r="BK497" t="str">
        <v>Fan</v>
      </c>
      <c r="BL497" t="str">
        <v>Hatch</v>
      </c>
      <c r="BM497" t="str">
        <v>2 x LED reading lamps over bunk</v>
      </c>
      <c r="BN497" t="str">
        <v>Vanity table/desk with storage locker and mirror under lid</v>
      </c>
      <c r="BO497" t="str">
        <v>Fold up vanity mirror</v>
      </c>
      <c r="BP497" t="str">
        <v>Sliding entrance door with lock</v>
      </c>
      <c r="BQ497" t="str">
        <v>Doors</v>
      </c>
      <c r="BR497" t="str">
        <v>Large mirror behind sliding entrance door</v>
      </c>
      <c r="BS497" t="str">
        <v xml:space="preserve">HEADS </v>
      </c>
      <c r="BT497" t="str">
        <v>Under-basin locker with toilet roll holder</v>
      </c>
      <c r="BU497" t="str">
        <v>Vanity locker with mirror</v>
      </c>
      <c r="BV497" t="str">
        <v>Double towel rail</v>
      </c>
      <c r="BW497" t="str">
        <v>Sliding or hinged heads door</v>
      </c>
      <c r="BX497" t="str">
        <v>Washing machine locker</v>
      </c>
      <c r="BY497" t="str">
        <v>Dedicated trashcan locker</v>
      </c>
      <c r="BZ497" t="str">
        <v>Coat hook</v>
      </c>
      <c r="CA497" t="str">
        <v>Waste tank</v>
      </c>
      <c r="CB497" t="str">
        <v>Forepeak panel</v>
      </c>
      <c r="CC497" t="str">
        <v>Portlight with roller blind</v>
      </c>
      <c r="CD497" t="str">
        <v>Overhead roller blinds for privacy</v>
      </c>
    </row>
    <row r="498" spans="1:82" x14ac:dyDescent="0.25">
      <c r="A498" s="76"/>
      <c r="B498" s="99"/>
      <c r="C498" s="76"/>
      <c r="D498" s="73"/>
      <c r="E498" s="3"/>
      <c r="F498" s="74"/>
      <c r="G498" s="75"/>
      <c r="H498" s="3"/>
      <c r="I498" s="3"/>
      <c r="J498" s="3"/>
      <c r="K498" s="3"/>
      <c r="L498" s="3"/>
      <c r="M498" t="str" cm="1">
        <f t="array" ref="M498:CD498">TRANSPOSE(_xlfn.UNIQUE(_xlfn._xlws.FILTER(Table4[Discipine Area],(Table4[Discipline No.]=C554)*(Table4[Discipline No.]=C554))))</f>
        <v>SALOON</v>
      </c>
      <c r="N498" t="str">
        <v>Companion door</v>
      </c>
      <c r="O498" t="str">
        <v>Fwd cockpit door</v>
      </c>
      <c r="P498" t="str">
        <v>Windows</v>
      </c>
      <c r="Q498" t="str">
        <v>U shape settee</v>
      </c>
      <c r="R498" t="str">
        <v>Saloon table</v>
      </c>
      <c r="S498" t="str">
        <v>Formica Bulkheads</v>
      </c>
      <c r="T498" t="str">
        <v>Magazine locker/shelf locker</v>
      </c>
      <c r="U498" t="str">
        <v>Vents</v>
      </c>
      <c r="V498" t="str">
        <v>Hullside vinyl panels</v>
      </c>
      <c r="W498" t="str">
        <v>Window blinds</v>
      </c>
      <c r="X498" t="str">
        <v>Nav desk</v>
      </c>
      <c r="Y498" t="str">
        <v>Chart table with storage locker under hinged lid</v>
      </c>
      <c r="Z498" t="str">
        <v>Storage locker under chart table</v>
      </c>
      <c r="AA498" t="str">
        <v xml:space="preserve">AC Outlets </v>
      </c>
      <c r="AB498" t="str">
        <v>Ottoman</v>
      </c>
      <c r="AC498" t="str">
        <v>Galley lockers</v>
      </c>
      <c r="AD498" t="str">
        <v>Stove locker</v>
      </c>
      <c r="AE498" t="str">
        <v>Draw locker</v>
      </c>
      <c r="AF498" t="str">
        <v>Fridge/Freezer locker</v>
      </c>
      <c r="AG498" t="str">
        <v>Microwave locker</v>
      </c>
      <c r="AH498" t="str">
        <v>Tv locker</v>
      </c>
      <c r="AI498" t="str">
        <v>AC/DC locker</v>
      </c>
      <c r="AJ498" t="str">
        <v>Vinyl ceiling</v>
      </c>
      <c r="AK498" t="str">
        <v>Floor</v>
      </c>
      <c r="AL498" t="str">
        <v>Large bowl s/s sink</v>
      </c>
      <c r="AM498" t="str">
        <v>Dish and cutlery drying recess with drainage</v>
      </c>
      <c r="AN498" t="str">
        <v>Cover for drying recess</v>
      </c>
      <c r="AO498" t="str">
        <v xml:space="preserve">Vitrifrigo 2 drawer front-opening fridge/freezer </v>
      </c>
      <c r="AP498" t="str">
        <v>Ice maker</v>
      </c>
      <c r="AQ498" t="str">
        <v>Wine cooler</v>
      </c>
      <c r="AR498" t="str">
        <v>Burner gas hob</v>
      </c>
      <c r="AS498" t="str">
        <v>Gas oven</v>
      </c>
      <c r="AT498" t="str">
        <v>Gas solenoid shut-off valve with control &amp; warning light at cooker</v>
      </c>
      <c r="AU498" t="str">
        <v xml:space="preserve">Formica steps </v>
      </c>
      <c r="AV498" t="str">
        <v>Gas detectors in each hull connected to alarm in saloon</v>
      </c>
      <c r="AW498" t="str">
        <v>Smoke detector/alarm</v>
      </c>
      <c r="AX498" t="str">
        <v>LED overhead lighting</v>
      </c>
      <c r="AY498" t="str">
        <v>CABIN/ STUDY/PASSAGE</v>
      </c>
      <c r="AZ498" t="str">
        <v>Inspection lids</v>
      </c>
      <c r="BA498" t="str">
        <v>Vinyl panels</v>
      </c>
      <c r="BB498" t="str">
        <v>Stairs</v>
      </c>
      <c r="BC498" t="str">
        <v>Bedside table outboard</v>
      </c>
      <c r="BD498" t="str">
        <v>Bedside cave locker inboard</v>
      </c>
      <c r="BE498" t="str">
        <v>Bunktop/Double berth</v>
      </c>
      <c r="BF498" t="str">
        <v>Hanging locker</v>
      </c>
      <c r="BG498" t="str">
        <v>Bunk Drawers</v>
      </c>
      <c r="BH498" t="str">
        <v>Cabin Door</v>
      </c>
      <c r="BI498" t="str">
        <v>Door frames</v>
      </c>
      <c r="BJ498" t="str">
        <v>Fiddles</v>
      </c>
      <c r="BK498" t="str">
        <v>Fan</v>
      </c>
      <c r="BL498" t="str">
        <v>Hatch</v>
      </c>
      <c r="BM498" t="str">
        <v>2 x LED reading lamps over bunk</v>
      </c>
      <c r="BN498" t="str">
        <v>Vanity table/desk with storage locker and mirror under lid</v>
      </c>
      <c r="BO498" t="str">
        <v>Fold up vanity mirror</v>
      </c>
      <c r="BP498" t="str">
        <v>Sliding entrance door with lock</v>
      </c>
      <c r="BQ498" t="str">
        <v>Doors</v>
      </c>
      <c r="BR498" t="str">
        <v>Large mirror behind sliding entrance door</v>
      </c>
      <c r="BS498" t="str">
        <v xml:space="preserve">HEADS </v>
      </c>
      <c r="BT498" t="str">
        <v>Under-basin locker with toilet roll holder</v>
      </c>
      <c r="BU498" t="str">
        <v>Vanity locker with mirror</v>
      </c>
      <c r="BV498" t="str">
        <v>Double towel rail</v>
      </c>
      <c r="BW498" t="str">
        <v>Sliding or hinged heads door</v>
      </c>
      <c r="BX498" t="str">
        <v>Washing machine locker</v>
      </c>
      <c r="BY498" t="str">
        <v>Dedicated trashcan locker</v>
      </c>
      <c r="BZ498" t="str">
        <v>Coat hook</v>
      </c>
      <c r="CA498" t="str">
        <v>Waste tank</v>
      </c>
      <c r="CB498" t="str">
        <v>Forepeak panel</v>
      </c>
      <c r="CC498" t="str">
        <v>Portlight with roller blind</v>
      </c>
      <c r="CD498" t="str">
        <v>Overhead roller blinds for privacy</v>
      </c>
    </row>
    <row r="499" spans="1:82" x14ac:dyDescent="0.25">
      <c r="A499" s="76"/>
      <c r="B499" s="97"/>
      <c r="C499" s="76"/>
      <c r="D499" s="73"/>
      <c r="E499" s="3"/>
      <c r="F499" s="74"/>
      <c r="G499" s="75"/>
      <c r="H499" s="3"/>
      <c r="I499" s="3"/>
      <c r="J499" s="3"/>
      <c r="K499" s="3"/>
      <c r="L499" s="3"/>
      <c r="M499" t="str" cm="1">
        <f t="array" ref="M499:CD499">TRANSPOSE(_xlfn.UNIQUE(_xlfn._xlws.FILTER(Table4[Discipine Area],(Table4[Discipline No.]=C555)*(Table4[Discipline No.]=C555))))</f>
        <v>SALOON</v>
      </c>
      <c r="N499" t="str">
        <v>Companion door</v>
      </c>
      <c r="O499" t="str">
        <v>Fwd cockpit door</v>
      </c>
      <c r="P499" t="str">
        <v>Windows</v>
      </c>
      <c r="Q499" t="str">
        <v>U shape settee</v>
      </c>
      <c r="R499" t="str">
        <v>Saloon table</v>
      </c>
      <c r="S499" t="str">
        <v>Formica Bulkheads</v>
      </c>
      <c r="T499" t="str">
        <v>Magazine locker/shelf locker</v>
      </c>
      <c r="U499" t="str">
        <v>Vents</v>
      </c>
      <c r="V499" t="str">
        <v>Hullside vinyl panels</v>
      </c>
      <c r="W499" t="str">
        <v>Window blinds</v>
      </c>
      <c r="X499" t="str">
        <v>Nav desk</v>
      </c>
      <c r="Y499" t="str">
        <v>Chart table with storage locker under hinged lid</v>
      </c>
      <c r="Z499" t="str">
        <v>Storage locker under chart table</v>
      </c>
      <c r="AA499" t="str">
        <v xml:space="preserve">AC Outlets </v>
      </c>
      <c r="AB499" t="str">
        <v>Ottoman</v>
      </c>
      <c r="AC499" t="str">
        <v>Galley lockers</v>
      </c>
      <c r="AD499" t="str">
        <v>Stove locker</v>
      </c>
      <c r="AE499" t="str">
        <v>Draw locker</v>
      </c>
      <c r="AF499" t="str">
        <v>Fridge/Freezer locker</v>
      </c>
      <c r="AG499" t="str">
        <v>Microwave locker</v>
      </c>
      <c r="AH499" t="str">
        <v>Tv locker</v>
      </c>
      <c r="AI499" t="str">
        <v>AC/DC locker</v>
      </c>
      <c r="AJ499" t="str">
        <v>Vinyl ceiling</v>
      </c>
      <c r="AK499" t="str">
        <v>Floor</v>
      </c>
      <c r="AL499" t="str">
        <v>Large bowl s/s sink</v>
      </c>
      <c r="AM499" t="str">
        <v>Dish and cutlery drying recess with drainage</v>
      </c>
      <c r="AN499" t="str">
        <v>Cover for drying recess</v>
      </c>
      <c r="AO499" t="str">
        <v xml:space="preserve">Vitrifrigo 2 drawer front-opening fridge/freezer </v>
      </c>
      <c r="AP499" t="str">
        <v>Ice maker</v>
      </c>
      <c r="AQ499" t="str">
        <v>Wine cooler</v>
      </c>
      <c r="AR499" t="str">
        <v>Burner gas hob</v>
      </c>
      <c r="AS499" t="str">
        <v>Gas oven</v>
      </c>
      <c r="AT499" t="str">
        <v>Gas solenoid shut-off valve with control &amp; warning light at cooker</v>
      </c>
      <c r="AU499" t="str">
        <v xml:space="preserve">Formica steps </v>
      </c>
      <c r="AV499" t="str">
        <v>Gas detectors in each hull connected to alarm in saloon</v>
      </c>
      <c r="AW499" t="str">
        <v>Smoke detector/alarm</v>
      </c>
      <c r="AX499" t="str">
        <v>LED overhead lighting</v>
      </c>
      <c r="AY499" t="str">
        <v>CABIN/ STUDY/PASSAGE</v>
      </c>
      <c r="AZ499" t="str">
        <v>Inspection lids</v>
      </c>
      <c r="BA499" t="str">
        <v>Vinyl panels</v>
      </c>
      <c r="BB499" t="str">
        <v>Stairs</v>
      </c>
      <c r="BC499" t="str">
        <v>Bedside table outboard</v>
      </c>
      <c r="BD499" t="str">
        <v>Bedside cave locker inboard</v>
      </c>
      <c r="BE499" t="str">
        <v>Bunktop/Double berth</v>
      </c>
      <c r="BF499" t="str">
        <v>Hanging locker</v>
      </c>
      <c r="BG499" t="str">
        <v>Bunk Drawers</v>
      </c>
      <c r="BH499" t="str">
        <v>Cabin Door</v>
      </c>
      <c r="BI499" t="str">
        <v>Door frames</v>
      </c>
      <c r="BJ499" t="str">
        <v>Fiddles</v>
      </c>
      <c r="BK499" t="str">
        <v>Fan</v>
      </c>
      <c r="BL499" t="str">
        <v>Hatch</v>
      </c>
      <c r="BM499" t="str">
        <v>2 x LED reading lamps over bunk</v>
      </c>
      <c r="BN499" t="str">
        <v>Vanity table/desk with storage locker and mirror under lid</v>
      </c>
      <c r="BO499" t="str">
        <v>Fold up vanity mirror</v>
      </c>
      <c r="BP499" t="str">
        <v>Sliding entrance door with lock</v>
      </c>
      <c r="BQ499" t="str">
        <v>Doors</v>
      </c>
      <c r="BR499" t="str">
        <v>Large mirror behind sliding entrance door</v>
      </c>
      <c r="BS499" t="str">
        <v xml:space="preserve">HEADS </v>
      </c>
      <c r="BT499" t="str">
        <v>Under-basin locker with toilet roll holder</v>
      </c>
      <c r="BU499" t="str">
        <v>Vanity locker with mirror</v>
      </c>
      <c r="BV499" t="str">
        <v>Double towel rail</v>
      </c>
      <c r="BW499" t="str">
        <v>Sliding or hinged heads door</v>
      </c>
      <c r="BX499" t="str">
        <v>Washing machine locker</v>
      </c>
      <c r="BY499" t="str">
        <v>Dedicated trashcan locker</v>
      </c>
      <c r="BZ499" t="str">
        <v>Coat hook</v>
      </c>
      <c r="CA499" t="str">
        <v>Waste tank</v>
      </c>
      <c r="CB499" t="str">
        <v>Forepeak panel</v>
      </c>
      <c r="CC499" t="str">
        <v>Portlight with roller blind</v>
      </c>
      <c r="CD499" t="str">
        <v>Overhead roller blinds for privacy</v>
      </c>
    </row>
    <row r="500" spans="1:82" x14ac:dyDescent="0.25">
      <c r="A500" s="76"/>
      <c r="B500" s="97"/>
      <c r="C500" s="76"/>
      <c r="D500" s="73"/>
      <c r="E500" s="3"/>
      <c r="F500" s="74"/>
      <c r="G500" s="75"/>
      <c r="H500" s="3"/>
      <c r="I500" s="3"/>
      <c r="J500" s="3"/>
      <c r="K500" s="3"/>
      <c r="L500" s="3"/>
      <c r="M500" t="str" cm="1">
        <f t="array" ref="M500:CD500">TRANSPOSE(_xlfn.UNIQUE(_xlfn._xlws.FILTER(Table4[Discipine Area],(Table4[Discipline No.]=C556)*(Table4[Discipline No.]=C556))))</f>
        <v>SALOON</v>
      </c>
      <c r="N500" t="str">
        <v>Companion door</v>
      </c>
      <c r="O500" t="str">
        <v>Fwd cockpit door</v>
      </c>
      <c r="P500" t="str">
        <v>Windows</v>
      </c>
      <c r="Q500" t="str">
        <v>U shape settee</v>
      </c>
      <c r="R500" t="str">
        <v>Saloon table</v>
      </c>
      <c r="S500" t="str">
        <v>Formica Bulkheads</v>
      </c>
      <c r="T500" t="str">
        <v>Magazine locker/shelf locker</v>
      </c>
      <c r="U500" t="str">
        <v>Vents</v>
      </c>
      <c r="V500" t="str">
        <v>Hullside vinyl panels</v>
      </c>
      <c r="W500" t="str">
        <v>Window blinds</v>
      </c>
      <c r="X500" t="str">
        <v>Nav desk</v>
      </c>
      <c r="Y500" t="str">
        <v>Chart table with storage locker under hinged lid</v>
      </c>
      <c r="Z500" t="str">
        <v>Storage locker under chart table</v>
      </c>
      <c r="AA500" t="str">
        <v xml:space="preserve">AC Outlets </v>
      </c>
      <c r="AB500" t="str">
        <v>Ottoman</v>
      </c>
      <c r="AC500" t="str">
        <v>Galley lockers</v>
      </c>
      <c r="AD500" t="str">
        <v>Stove locker</v>
      </c>
      <c r="AE500" t="str">
        <v>Draw locker</v>
      </c>
      <c r="AF500" t="str">
        <v>Fridge/Freezer locker</v>
      </c>
      <c r="AG500" t="str">
        <v>Microwave locker</v>
      </c>
      <c r="AH500" t="str">
        <v>Tv locker</v>
      </c>
      <c r="AI500" t="str">
        <v>AC/DC locker</v>
      </c>
      <c r="AJ500" t="str">
        <v>Vinyl ceiling</v>
      </c>
      <c r="AK500" t="str">
        <v>Floor</v>
      </c>
      <c r="AL500" t="str">
        <v>Large bowl s/s sink</v>
      </c>
      <c r="AM500" t="str">
        <v>Dish and cutlery drying recess with drainage</v>
      </c>
      <c r="AN500" t="str">
        <v>Cover for drying recess</v>
      </c>
      <c r="AO500" t="str">
        <v xml:space="preserve">Vitrifrigo 2 drawer front-opening fridge/freezer </v>
      </c>
      <c r="AP500" t="str">
        <v>Ice maker</v>
      </c>
      <c r="AQ500" t="str">
        <v>Wine cooler</v>
      </c>
      <c r="AR500" t="str">
        <v>Burner gas hob</v>
      </c>
      <c r="AS500" t="str">
        <v>Gas oven</v>
      </c>
      <c r="AT500" t="str">
        <v>Gas solenoid shut-off valve with control &amp; warning light at cooker</v>
      </c>
      <c r="AU500" t="str">
        <v xml:space="preserve">Formica steps </v>
      </c>
      <c r="AV500" t="str">
        <v>Gas detectors in each hull connected to alarm in saloon</v>
      </c>
      <c r="AW500" t="str">
        <v>Smoke detector/alarm</v>
      </c>
      <c r="AX500" t="str">
        <v>LED overhead lighting</v>
      </c>
      <c r="AY500" t="str">
        <v>CABIN/ STUDY/PASSAGE</v>
      </c>
      <c r="AZ500" t="str">
        <v>Inspection lids</v>
      </c>
      <c r="BA500" t="str">
        <v>Vinyl panels</v>
      </c>
      <c r="BB500" t="str">
        <v>Stairs</v>
      </c>
      <c r="BC500" t="str">
        <v>Bedside table outboard</v>
      </c>
      <c r="BD500" t="str">
        <v>Bedside cave locker inboard</v>
      </c>
      <c r="BE500" t="str">
        <v>Bunktop/Double berth</v>
      </c>
      <c r="BF500" t="str">
        <v>Hanging locker</v>
      </c>
      <c r="BG500" t="str">
        <v>Bunk Drawers</v>
      </c>
      <c r="BH500" t="str">
        <v>Cabin Door</v>
      </c>
      <c r="BI500" t="str">
        <v>Door frames</v>
      </c>
      <c r="BJ500" t="str">
        <v>Fiddles</v>
      </c>
      <c r="BK500" t="str">
        <v>Fan</v>
      </c>
      <c r="BL500" t="str">
        <v>Hatch</v>
      </c>
      <c r="BM500" t="str">
        <v>2 x LED reading lamps over bunk</v>
      </c>
      <c r="BN500" t="str">
        <v>Vanity table/desk with storage locker and mirror under lid</v>
      </c>
      <c r="BO500" t="str">
        <v>Fold up vanity mirror</v>
      </c>
      <c r="BP500" t="str">
        <v>Sliding entrance door with lock</v>
      </c>
      <c r="BQ500" t="str">
        <v>Doors</v>
      </c>
      <c r="BR500" t="str">
        <v>Large mirror behind sliding entrance door</v>
      </c>
      <c r="BS500" t="str">
        <v xml:space="preserve">HEADS </v>
      </c>
      <c r="BT500" t="str">
        <v>Under-basin locker with toilet roll holder</v>
      </c>
      <c r="BU500" t="str">
        <v>Vanity locker with mirror</v>
      </c>
      <c r="BV500" t="str">
        <v>Double towel rail</v>
      </c>
      <c r="BW500" t="str">
        <v>Sliding or hinged heads door</v>
      </c>
      <c r="BX500" t="str">
        <v>Washing machine locker</v>
      </c>
      <c r="BY500" t="str">
        <v>Dedicated trashcan locker</v>
      </c>
      <c r="BZ500" t="str">
        <v>Coat hook</v>
      </c>
      <c r="CA500" t="str">
        <v>Waste tank</v>
      </c>
      <c r="CB500" t="str">
        <v>Forepeak panel</v>
      </c>
      <c r="CC500" t="str">
        <v>Portlight with roller blind</v>
      </c>
      <c r="CD500" t="str">
        <v>Overhead roller blinds for privacy</v>
      </c>
    </row>
    <row r="501" spans="1:82" x14ac:dyDescent="0.25">
      <c r="A501" s="76"/>
      <c r="B501" s="97"/>
      <c r="C501" s="76"/>
      <c r="D501" s="73"/>
      <c r="E501" s="3"/>
      <c r="F501" s="74"/>
      <c r="G501" s="75"/>
      <c r="H501" s="3"/>
      <c r="I501" s="3"/>
      <c r="J501" s="3"/>
      <c r="K501" s="3"/>
      <c r="L501" s="3"/>
      <c r="M501" t="str" cm="1">
        <f t="array" ref="M501:P501">TRANSPOSE(_xlfn.UNIQUE(_xlfn._xlws.FILTER(Table4[Discipine Area],(Table4[Discipline No.]=C557)*(Table4[Discipline No.]=C557))))</f>
        <v>SPRAY PAINTING</v>
      </c>
      <c r="N501" t="str">
        <v>Solids</v>
      </c>
      <c r="O501" t="str">
        <v>Frame</v>
      </c>
      <c r="P501" t="str">
        <v>Vents</v>
      </c>
    </row>
    <row r="502" spans="1:82" x14ac:dyDescent="0.25">
      <c r="A502" s="76"/>
      <c r="B502" s="97"/>
      <c r="C502" s="76"/>
      <c r="D502" s="73"/>
      <c r="E502" s="3"/>
      <c r="F502" s="74"/>
      <c r="G502" s="75"/>
      <c r="H502" s="3"/>
      <c r="I502" s="3"/>
      <c r="J502" s="3"/>
      <c r="K502" s="3"/>
      <c r="L502" s="3"/>
      <c r="M502" t="e" cm="1">
        <f t="array" ref="M502">TRANSPOSE(_xlfn.UNIQUE(_xlfn._xlws.FILTER(Table4[Discipine Area],(Table4[Discipline No.]=#REF!)*(Table4[Discipline No.]=#REF!))))</f>
        <v>#REF!</v>
      </c>
    </row>
    <row r="503" spans="1:82" x14ac:dyDescent="0.25">
      <c r="A503" s="76"/>
      <c r="B503" s="97"/>
      <c r="C503" s="76"/>
      <c r="D503" s="73"/>
      <c r="E503" s="3"/>
      <c r="F503" s="74"/>
      <c r="G503" s="75"/>
      <c r="H503" s="3"/>
      <c r="I503" s="3"/>
      <c r="J503" s="3"/>
      <c r="K503" s="3"/>
      <c r="L503" s="3"/>
      <c r="M503" t="str" cm="1">
        <f t="array" ref="M503:CD503">TRANSPOSE(_xlfn.UNIQUE(_xlfn._xlws.FILTER(Table4[Discipine Area],(Table4[Discipline No.]=C558)*(Table4[Discipline No.]=C558))))</f>
        <v>SALOON</v>
      </c>
      <c r="N503" t="str">
        <v>Companion door</v>
      </c>
      <c r="O503" t="str">
        <v>Fwd cockpit door</v>
      </c>
      <c r="P503" t="str">
        <v>Windows</v>
      </c>
      <c r="Q503" t="str">
        <v>U shape settee</v>
      </c>
      <c r="R503" t="str">
        <v>Saloon table</v>
      </c>
      <c r="S503" t="str">
        <v>Formica Bulkheads</v>
      </c>
      <c r="T503" t="str">
        <v>Magazine locker/shelf locker</v>
      </c>
      <c r="U503" t="str">
        <v>Vents</v>
      </c>
      <c r="V503" t="str">
        <v>Hullside vinyl panels</v>
      </c>
      <c r="W503" t="str">
        <v>Window blinds</v>
      </c>
      <c r="X503" t="str">
        <v>Nav desk</v>
      </c>
      <c r="Y503" t="str">
        <v>Chart table with storage locker under hinged lid</v>
      </c>
      <c r="Z503" t="str">
        <v>Storage locker under chart table</v>
      </c>
      <c r="AA503" t="str">
        <v xml:space="preserve">AC Outlets </v>
      </c>
      <c r="AB503" t="str">
        <v>Ottoman</v>
      </c>
      <c r="AC503" t="str">
        <v>Galley lockers</v>
      </c>
      <c r="AD503" t="str">
        <v>Stove locker</v>
      </c>
      <c r="AE503" t="str">
        <v>Draw locker</v>
      </c>
      <c r="AF503" t="str">
        <v>Fridge/Freezer locker</v>
      </c>
      <c r="AG503" t="str">
        <v>Microwave locker</v>
      </c>
      <c r="AH503" t="str">
        <v>Tv locker</v>
      </c>
      <c r="AI503" t="str">
        <v>AC/DC locker</v>
      </c>
      <c r="AJ503" t="str">
        <v>Vinyl ceiling</v>
      </c>
      <c r="AK503" t="str">
        <v>Floor</v>
      </c>
      <c r="AL503" t="str">
        <v>Large bowl s/s sink</v>
      </c>
      <c r="AM503" t="str">
        <v>Dish and cutlery drying recess with drainage</v>
      </c>
      <c r="AN503" t="str">
        <v>Cover for drying recess</v>
      </c>
      <c r="AO503" t="str">
        <v xml:space="preserve">Vitrifrigo 2 drawer front-opening fridge/freezer </v>
      </c>
      <c r="AP503" t="str">
        <v>Ice maker</v>
      </c>
      <c r="AQ503" t="str">
        <v>Wine cooler</v>
      </c>
      <c r="AR503" t="str">
        <v>Burner gas hob</v>
      </c>
      <c r="AS503" t="str">
        <v>Gas oven</v>
      </c>
      <c r="AT503" t="str">
        <v>Gas solenoid shut-off valve with control &amp; warning light at cooker</v>
      </c>
      <c r="AU503" t="str">
        <v xml:space="preserve">Formica steps </v>
      </c>
      <c r="AV503" t="str">
        <v>Gas detectors in each hull connected to alarm in saloon</v>
      </c>
      <c r="AW503" t="str">
        <v>Smoke detector/alarm</v>
      </c>
      <c r="AX503" t="str">
        <v>LED overhead lighting</v>
      </c>
      <c r="AY503" t="str">
        <v>CABIN/ STUDY/PASSAGE</v>
      </c>
      <c r="AZ503" t="str">
        <v>Inspection lids</v>
      </c>
      <c r="BA503" t="str">
        <v>Vinyl panels</v>
      </c>
      <c r="BB503" t="str">
        <v>Stairs</v>
      </c>
      <c r="BC503" t="str">
        <v>Bedside table outboard</v>
      </c>
      <c r="BD503" t="str">
        <v>Bedside cave locker inboard</v>
      </c>
      <c r="BE503" t="str">
        <v>Bunktop/Double berth</v>
      </c>
      <c r="BF503" t="str">
        <v>Hanging locker</v>
      </c>
      <c r="BG503" t="str">
        <v>Bunk Drawers</v>
      </c>
      <c r="BH503" t="str">
        <v>Cabin Door</v>
      </c>
      <c r="BI503" t="str">
        <v>Door frames</v>
      </c>
      <c r="BJ503" t="str">
        <v>Fiddles</v>
      </c>
      <c r="BK503" t="str">
        <v>Fan</v>
      </c>
      <c r="BL503" t="str">
        <v>Hatch</v>
      </c>
      <c r="BM503" t="str">
        <v>2 x LED reading lamps over bunk</v>
      </c>
      <c r="BN503" t="str">
        <v>Vanity table/desk with storage locker and mirror under lid</v>
      </c>
      <c r="BO503" t="str">
        <v>Fold up vanity mirror</v>
      </c>
      <c r="BP503" t="str">
        <v>Sliding entrance door with lock</v>
      </c>
      <c r="BQ503" t="str">
        <v>Doors</v>
      </c>
      <c r="BR503" t="str">
        <v>Large mirror behind sliding entrance door</v>
      </c>
      <c r="BS503" t="str">
        <v xml:space="preserve">HEADS </v>
      </c>
      <c r="BT503" t="str">
        <v>Under-basin locker with toilet roll holder</v>
      </c>
      <c r="BU503" t="str">
        <v>Vanity locker with mirror</v>
      </c>
      <c r="BV503" t="str">
        <v>Double towel rail</v>
      </c>
      <c r="BW503" t="str">
        <v>Sliding or hinged heads door</v>
      </c>
      <c r="BX503" t="str">
        <v>Washing machine locker</v>
      </c>
      <c r="BY503" t="str">
        <v>Dedicated trashcan locker</v>
      </c>
      <c r="BZ503" t="str">
        <v>Coat hook</v>
      </c>
      <c r="CA503" t="str">
        <v>Waste tank</v>
      </c>
      <c r="CB503" t="str">
        <v>Forepeak panel</v>
      </c>
      <c r="CC503" t="str">
        <v>Portlight with roller blind</v>
      </c>
      <c r="CD503" t="str">
        <v>Overhead roller blinds for privacy</v>
      </c>
    </row>
    <row r="504" spans="1:82" x14ac:dyDescent="0.25">
      <c r="A504" s="76"/>
      <c r="B504" s="97"/>
      <c r="C504" s="76"/>
      <c r="D504" s="73"/>
      <c r="E504" s="3"/>
      <c r="F504" s="74"/>
      <c r="G504" s="75"/>
      <c r="H504" s="3"/>
      <c r="I504" s="3"/>
      <c r="J504" s="3"/>
      <c r="K504" s="3"/>
      <c r="L504" s="3"/>
      <c r="M504" t="str" cm="1">
        <f t="array" ref="M504:CD504">TRANSPOSE(_xlfn.UNIQUE(_xlfn._xlws.FILTER(Table4[Discipine Area],(Table4[Discipline No.]=C559)*(Table4[Discipline No.]=C559))))</f>
        <v>SALOON</v>
      </c>
      <c r="N504" t="str">
        <v>Companion door</v>
      </c>
      <c r="O504" t="str">
        <v>Fwd cockpit door</v>
      </c>
      <c r="P504" t="str">
        <v>Windows</v>
      </c>
      <c r="Q504" t="str">
        <v>U shape settee</v>
      </c>
      <c r="R504" t="str">
        <v>Saloon table</v>
      </c>
      <c r="S504" t="str">
        <v>Formica Bulkheads</v>
      </c>
      <c r="T504" t="str">
        <v>Magazine locker/shelf locker</v>
      </c>
      <c r="U504" t="str">
        <v>Vents</v>
      </c>
      <c r="V504" t="str">
        <v>Hullside vinyl panels</v>
      </c>
      <c r="W504" t="str">
        <v>Window blinds</v>
      </c>
      <c r="X504" t="str">
        <v>Nav desk</v>
      </c>
      <c r="Y504" t="str">
        <v>Chart table with storage locker under hinged lid</v>
      </c>
      <c r="Z504" t="str">
        <v>Storage locker under chart table</v>
      </c>
      <c r="AA504" t="str">
        <v xml:space="preserve">AC Outlets </v>
      </c>
      <c r="AB504" t="str">
        <v>Ottoman</v>
      </c>
      <c r="AC504" t="str">
        <v>Galley lockers</v>
      </c>
      <c r="AD504" t="str">
        <v>Stove locker</v>
      </c>
      <c r="AE504" t="str">
        <v>Draw locker</v>
      </c>
      <c r="AF504" t="str">
        <v>Fridge/Freezer locker</v>
      </c>
      <c r="AG504" t="str">
        <v>Microwave locker</v>
      </c>
      <c r="AH504" t="str">
        <v>Tv locker</v>
      </c>
      <c r="AI504" t="str">
        <v>AC/DC locker</v>
      </c>
      <c r="AJ504" t="str">
        <v>Vinyl ceiling</v>
      </c>
      <c r="AK504" t="str">
        <v>Floor</v>
      </c>
      <c r="AL504" t="str">
        <v>Large bowl s/s sink</v>
      </c>
      <c r="AM504" t="str">
        <v>Dish and cutlery drying recess with drainage</v>
      </c>
      <c r="AN504" t="str">
        <v>Cover for drying recess</v>
      </c>
      <c r="AO504" t="str">
        <v xml:space="preserve">Vitrifrigo 2 drawer front-opening fridge/freezer </v>
      </c>
      <c r="AP504" t="str">
        <v>Ice maker</v>
      </c>
      <c r="AQ504" t="str">
        <v>Wine cooler</v>
      </c>
      <c r="AR504" t="str">
        <v>Burner gas hob</v>
      </c>
      <c r="AS504" t="str">
        <v>Gas oven</v>
      </c>
      <c r="AT504" t="str">
        <v>Gas solenoid shut-off valve with control &amp; warning light at cooker</v>
      </c>
      <c r="AU504" t="str">
        <v xml:space="preserve">Formica steps </v>
      </c>
      <c r="AV504" t="str">
        <v>Gas detectors in each hull connected to alarm in saloon</v>
      </c>
      <c r="AW504" t="str">
        <v>Smoke detector/alarm</v>
      </c>
      <c r="AX504" t="str">
        <v>LED overhead lighting</v>
      </c>
      <c r="AY504" t="str">
        <v>CABIN/ STUDY/PASSAGE</v>
      </c>
      <c r="AZ504" t="str">
        <v>Inspection lids</v>
      </c>
      <c r="BA504" t="str">
        <v>Vinyl panels</v>
      </c>
      <c r="BB504" t="str">
        <v>Stairs</v>
      </c>
      <c r="BC504" t="str">
        <v>Bedside table outboard</v>
      </c>
      <c r="BD504" t="str">
        <v>Bedside cave locker inboard</v>
      </c>
      <c r="BE504" t="str">
        <v>Bunktop/Double berth</v>
      </c>
      <c r="BF504" t="str">
        <v>Hanging locker</v>
      </c>
      <c r="BG504" t="str">
        <v>Bunk Drawers</v>
      </c>
      <c r="BH504" t="str">
        <v>Cabin Door</v>
      </c>
      <c r="BI504" t="str">
        <v>Door frames</v>
      </c>
      <c r="BJ504" t="str">
        <v>Fiddles</v>
      </c>
      <c r="BK504" t="str">
        <v>Fan</v>
      </c>
      <c r="BL504" t="str">
        <v>Hatch</v>
      </c>
      <c r="BM504" t="str">
        <v>2 x LED reading lamps over bunk</v>
      </c>
      <c r="BN504" t="str">
        <v>Vanity table/desk with storage locker and mirror under lid</v>
      </c>
      <c r="BO504" t="str">
        <v>Fold up vanity mirror</v>
      </c>
      <c r="BP504" t="str">
        <v>Sliding entrance door with lock</v>
      </c>
      <c r="BQ504" t="str">
        <v>Doors</v>
      </c>
      <c r="BR504" t="str">
        <v>Large mirror behind sliding entrance door</v>
      </c>
      <c r="BS504" t="str">
        <v xml:space="preserve">HEADS </v>
      </c>
      <c r="BT504" t="str">
        <v>Under-basin locker with toilet roll holder</v>
      </c>
      <c r="BU504" t="str">
        <v>Vanity locker with mirror</v>
      </c>
      <c r="BV504" t="str">
        <v>Double towel rail</v>
      </c>
      <c r="BW504" t="str">
        <v>Sliding or hinged heads door</v>
      </c>
      <c r="BX504" t="str">
        <v>Washing machine locker</v>
      </c>
      <c r="BY504" t="str">
        <v>Dedicated trashcan locker</v>
      </c>
      <c r="BZ504" t="str">
        <v>Coat hook</v>
      </c>
      <c r="CA504" t="str">
        <v>Waste tank</v>
      </c>
      <c r="CB504" t="str">
        <v>Forepeak panel</v>
      </c>
      <c r="CC504" t="str">
        <v>Portlight with roller blind</v>
      </c>
      <c r="CD504" t="str">
        <v>Overhead roller blinds for privacy</v>
      </c>
    </row>
    <row r="505" spans="1:82" x14ac:dyDescent="0.25">
      <c r="A505" s="76"/>
      <c r="B505" s="97"/>
      <c r="C505" s="76"/>
      <c r="D505" s="73"/>
      <c r="E505" s="3"/>
      <c r="F505" s="74"/>
      <c r="G505" s="75"/>
      <c r="H505" s="22"/>
      <c r="I505" s="22"/>
      <c r="J505" s="22"/>
      <c r="K505" s="22"/>
      <c r="L505" s="22"/>
      <c r="M505" t="e" cm="1" vm="1">
        <f t="array" ref="M505">TRANSPOSE(_xlfn.UNIQUE(_xlfn._xlws.FILTER(Table4[Discipine Area],(Table4[Discipline No.]=C560)*(Table4[Discipline No.]=C560))))</f>
        <v>#VALUE!</v>
      </c>
    </row>
    <row r="506" spans="1:82" ht="15" customHeight="1" x14ac:dyDescent="0.25">
      <c r="A506" s="76"/>
      <c r="B506" s="97"/>
      <c r="C506" s="76"/>
      <c r="D506" s="3"/>
      <c r="E506" s="3"/>
      <c r="F506" s="74"/>
      <c r="G506" s="95"/>
      <c r="H506" s="76"/>
      <c r="I506" s="3"/>
      <c r="J506" s="76"/>
      <c r="K506" s="76"/>
      <c r="L506" s="76"/>
      <c r="M506" t="str" cm="1">
        <f t="array" ref="M506:CD506">TRANSPOSE(_xlfn.UNIQUE(_xlfn._xlws.FILTER(Table4[Discipine Area],(Table4[Discipline No.]=C566)*(Table4[Discipline No.]=C566))))</f>
        <v>SALOON</v>
      </c>
      <c r="N506" t="str">
        <v>Companion door</v>
      </c>
      <c r="O506" t="str">
        <v>Fwd cockpit door</v>
      </c>
      <c r="P506" t="str">
        <v>Windows</v>
      </c>
      <c r="Q506" t="str">
        <v>U shape settee</v>
      </c>
      <c r="R506" t="str">
        <v>Saloon table</v>
      </c>
      <c r="S506" t="str">
        <v>Formica Bulkheads</v>
      </c>
      <c r="T506" t="str">
        <v>Magazine locker/shelf locker</v>
      </c>
      <c r="U506" t="str">
        <v>Vents</v>
      </c>
      <c r="V506" t="str">
        <v>Hullside vinyl panels</v>
      </c>
      <c r="W506" t="str">
        <v>Window blinds</v>
      </c>
      <c r="X506" t="str">
        <v>Nav desk</v>
      </c>
      <c r="Y506" t="str">
        <v>Chart table with storage locker under hinged lid</v>
      </c>
      <c r="Z506" t="str">
        <v>Storage locker under chart table</v>
      </c>
      <c r="AA506" t="str">
        <v xml:space="preserve">AC Outlets </v>
      </c>
      <c r="AB506" t="str">
        <v>Ottoman</v>
      </c>
      <c r="AC506" t="str">
        <v>Galley lockers</v>
      </c>
      <c r="AD506" t="str">
        <v>Stove locker</v>
      </c>
      <c r="AE506" t="str">
        <v>Draw locker</v>
      </c>
      <c r="AF506" t="str">
        <v>Fridge/Freezer locker</v>
      </c>
      <c r="AG506" t="str">
        <v>Microwave locker</v>
      </c>
      <c r="AH506" t="str">
        <v>Tv locker</v>
      </c>
      <c r="AI506" t="str">
        <v>AC/DC locker</v>
      </c>
      <c r="AJ506" t="str">
        <v>Vinyl ceiling</v>
      </c>
      <c r="AK506" t="str">
        <v>Floor</v>
      </c>
      <c r="AL506" t="str">
        <v>Large bowl s/s sink</v>
      </c>
      <c r="AM506" t="str">
        <v>Dish and cutlery drying recess with drainage</v>
      </c>
      <c r="AN506" t="str">
        <v>Cover for drying recess</v>
      </c>
      <c r="AO506" t="str">
        <v xml:space="preserve">Vitrifrigo 2 drawer front-opening fridge/freezer </v>
      </c>
      <c r="AP506" t="str">
        <v>Ice maker</v>
      </c>
      <c r="AQ506" t="str">
        <v>Wine cooler</v>
      </c>
      <c r="AR506" t="str">
        <v>Burner gas hob</v>
      </c>
      <c r="AS506" t="str">
        <v>Gas oven</v>
      </c>
      <c r="AT506" t="str">
        <v>Gas solenoid shut-off valve with control &amp; warning light at cooker</v>
      </c>
      <c r="AU506" t="str">
        <v xml:space="preserve">Formica steps </v>
      </c>
      <c r="AV506" t="str">
        <v>Gas detectors in each hull connected to alarm in saloon</v>
      </c>
      <c r="AW506" t="str">
        <v>Smoke detector/alarm</v>
      </c>
      <c r="AX506" t="str">
        <v>LED overhead lighting</v>
      </c>
      <c r="AY506" t="str">
        <v>CABIN/ STUDY/PASSAGE</v>
      </c>
      <c r="AZ506" t="str">
        <v>Inspection lids</v>
      </c>
      <c r="BA506" t="str">
        <v>Vinyl panels</v>
      </c>
      <c r="BB506" t="str">
        <v>Stairs</v>
      </c>
      <c r="BC506" t="str">
        <v>Bedside table outboard</v>
      </c>
      <c r="BD506" t="str">
        <v>Bedside cave locker inboard</v>
      </c>
      <c r="BE506" t="str">
        <v>Bunktop/Double berth</v>
      </c>
      <c r="BF506" t="str">
        <v>Hanging locker</v>
      </c>
      <c r="BG506" t="str">
        <v>Bunk Drawers</v>
      </c>
      <c r="BH506" t="str">
        <v>Cabin Door</v>
      </c>
      <c r="BI506" t="str">
        <v>Door frames</v>
      </c>
      <c r="BJ506" t="str">
        <v>Fiddles</v>
      </c>
      <c r="BK506" t="str">
        <v>Fan</v>
      </c>
      <c r="BL506" t="str">
        <v>Hatch</v>
      </c>
      <c r="BM506" t="str">
        <v>2 x LED reading lamps over bunk</v>
      </c>
      <c r="BN506" t="str">
        <v>Vanity table/desk with storage locker and mirror under lid</v>
      </c>
      <c r="BO506" t="str">
        <v>Fold up vanity mirror</v>
      </c>
      <c r="BP506" t="str">
        <v>Sliding entrance door with lock</v>
      </c>
      <c r="BQ506" t="str">
        <v>Doors</v>
      </c>
      <c r="BR506" t="str">
        <v>Large mirror behind sliding entrance door</v>
      </c>
      <c r="BS506" t="str">
        <v xml:space="preserve">HEADS </v>
      </c>
      <c r="BT506" t="str">
        <v>Under-basin locker with toilet roll holder</v>
      </c>
      <c r="BU506" t="str">
        <v>Vanity locker with mirror</v>
      </c>
      <c r="BV506" t="str">
        <v>Double towel rail</v>
      </c>
      <c r="BW506" t="str">
        <v>Sliding or hinged heads door</v>
      </c>
      <c r="BX506" t="str">
        <v>Washing machine locker</v>
      </c>
      <c r="BY506" t="str">
        <v>Dedicated trashcan locker</v>
      </c>
      <c r="BZ506" t="str">
        <v>Coat hook</v>
      </c>
      <c r="CA506" t="str">
        <v>Waste tank</v>
      </c>
      <c r="CB506" t="str">
        <v>Forepeak panel</v>
      </c>
      <c r="CC506" t="str">
        <v>Portlight with roller blind</v>
      </c>
      <c r="CD506" t="str">
        <v>Overhead roller blinds for privacy</v>
      </c>
    </row>
    <row r="507" spans="1:82" ht="15" customHeight="1" x14ac:dyDescent="0.25">
      <c r="A507" s="76"/>
      <c r="B507" s="97"/>
      <c r="C507" s="76"/>
      <c r="D507" s="3"/>
      <c r="E507" s="3"/>
      <c r="F507" s="74"/>
      <c r="G507" s="95"/>
      <c r="H507" s="76"/>
      <c r="I507" s="3"/>
      <c r="J507" s="76"/>
      <c r="K507" s="76"/>
      <c r="L507" s="76"/>
      <c r="M507" t="str" cm="1">
        <f t="array" ref="M507:P507">TRANSPOSE(_xlfn.UNIQUE(_xlfn._xlws.FILTER(Table4[Discipine Area],(Table4[Discipline No.]=C568)*(Table4[Discipline No.]=C568))))</f>
        <v>SPRAY PAINTING</v>
      </c>
      <c r="N507" t="str">
        <v>Solids</v>
      </c>
      <c r="O507" t="str">
        <v>Frame</v>
      </c>
      <c r="P507" t="str">
        <v>Vents</v>
      </c>
    </row>
    <row r="508" spans="1:82" ht="15" customHeight="1" x14ac:dyDescent="0.25">
      <c r="A508" s="76"/>
      <c r="B508" s="97"/>
      <c r="C508" s="76"/>
      <c r="D508" s="3"/>
      <c r="E508" s="3"/>
      <c r="F508" s="74"/>
      <c r="G508" s="95"/>
      <c r="H508" s="3"/>
      <c r="I508" s="3"/>
      <c r="J508" s="3"/>
      <c r="K508" s="3"/>
      <c r="L508" s="3"/>
      <c r="M508" t="str" cm="1">
        <f t="array" ref="M508:CD508">TRANSPOSE(_xlfn.UNIQUE(_xlfn._xlws.FILTER(Table4[Discipine Area],(Table4[Discipline No.]=C569)*(Table4[Discipline No.]=C569))))</f>
        <v>SALOON</v>
      </c>
      <c r="N508" t="str">
        <v>Companion door</v>
      </c>
      <c r="O508" t="str">
        <v>Fwd cockpit door</v>
      </c>
      <c r="P508" t="str">
        <v>Windows</v>
      </c>
      <c r="Q508" t="str">
        <v>U shape settee</v>
      </c>
      <c r="R508" t="str">
        <v>Saloon table</v>
      </c>
      <c r="S508" t="str">
        <v>Formica Bulkheads</v>
      </c>
      <c r="T508" t="str">
        <v>Magazine locker/shelf locker</v>
      </c>
      <c r="U508" t="str">
        <v>Vents</v>
      </c>
      <c r="V508" t="str">
        <v>Hullside vinyl panels</v>
      </c>
      <c r="W508" t="str">
        <v>Window blinds</v>
      </c>
      <c r="X508" t="str">
        <v>Nav desk</v>
      </c>
      <c r="Y508" t="str">
        <v>Chart table with storage locker under hinged lid</v>
      </c>
      <c r="Z508" t="str">
        <v>Storage locker under chart table</v>
      </c>
      <c r="AA508" t="str">
        <v xml:space="preserve">AC Outlets </v>
      </c>
      <c r="AB508" t="str">
        <v>Ottoman</v>
      </c>
      <c r="AC508" t="str">
        <v>Galley lockers</v>
      </c>
      <c r="AD508" t="str">
        <v>Stove locker</v>
      </c>
      <c r="AE508" t="str">
        <v>Draw locker</v>
      </c>
      <c r="AF508" t="str">
        <v>Fridge/Freezer locker</v>
      </c>
      <c r="AG508" t="str">
        <v>Microwave locker</v>
      </c>
      <c r="AH508" t="str">
        <v>Tv locker</v>
      </c>
      <c r="AI508" t="str">
        <v>AC/DC locker</v>
      </c>
      <c r="AJ508" t="str">
        <v>Vinyl ceiling</v>
      </c>
      <c r="AK508" t="str">
        <v>Floor</v>
      </c>
      <c r="AL508" t="str">
        <v>Large bowl s/s sink</v>
      </c>
      <c r="AM508" t="str">
        <v>Dish and cutlery drying recess with drainage</v>
      </c>
      <c r="AN508" t="str">
        <v>Cover for drying recess</v>
      </c>
      <c r="AO508" t="str">
        <v xml:space="preserve">Vitrifrigo 2 drawer front-opening fridge/freezer </v>
      </c>
      <c r="AP508" t="str">
        <v>Ice maker</v>
      </c>
      <c r="AQ508" t="str">
        <v>Wine cooler</v>
      </c>
      <c r="AR508" t="str">
        <v>Burner gas hob</v>
      </c>
      <c r="AS508" t="str">
        <v>Gas oven</v>
      </c>
      <c r="AT508" t="str">
        <v>Gas solenoid shut-off valve with control &amp; warning light at cooker</v>
      </c>
      <c r="AU508" t="str">
        <v xml:space="preserve">Formica steps </v>
      </c>
      <c r="AV508" t="str">
        <v>Gas detectors in each hull connected to alarm in saloon</v>
      </c>
      <c r="AW508" t="str">
        <v>Smoke detector/alarm</v>
      </c>
      <c r="AX508" t="str">
        <v>LED overhead lighting</v>
      </c>
      <c r="AY508" t="str">
        <v>CABIN/ STUDY/PASSAGE</v>
      </c>
      <c r="AZ508" t="str">
        <v>Inspection lids</v>
      </c>
      <c r="BA508" t="str">
        <v>Vinyl panels</v>
      </c>
      <c r="BB508" t="str">
        <v>Stairs</v>
      </c>
      <c r="BC508" t="str">
        <v>Bedside table outboard</v>
      </c>
      <c r="BD508" t="str">
        <v>Bedside cave locker inboard</v>
      </c>
      <c r="BE508" t="str">
        <v>Bunktop/Double berth</v>
      </c>
      <c r="BF508" t="str">
        <v>Hanging locker</v>
      </c>
      <c r="BG508" t="str">
        <v>Bunk Drawers</v>
      </c>
      <c r="BH508" t="str">
        <v>Cabin Door</v>
      </c>
      <c r="BI508" t="str">
        <v>Door frames</v>
      </c>
      <c r="BJ508" t="str">
        <v>Fiddles</v>
      </c>
      <c r="BK508" t="str">
        <v>Fan</v>
      </c>
      <c r="BL508" t="str">
        <v>Hatch</v>
      </c>
      <c r="BM508" t="str">
        <v>2 x LED reading lamps over bunk</v>
      </c>
      <c r="BN508" t="str">
        <v>Vanity table/desk with storage locker and mirror under lid</v>
      </c>
      <c r="BO508" t="str">
        <v>Fold up vanity mirror</v>
      </c>
      <c r="BP508" t="str">
        <v>Sliding entrance door with lock</v>
      </c>
      <c r="BQ508" t="str">
        <v>Doors</v>
      </c>
      <c r="BR508" t="str">
        <v>Large mirror behind sliding entrance door</v>
      </c>
      <c r="BS508" t="str">
        <v xml:space="preserve">HEADS </v>
      </c>
      <c r="BT508" t="str">
        <v>Under-basin locker with toilet roll holder</v>
      </c>
      <c r="BU508" t="str">
        <v>Vanity locker with mirror</v>
      </c>
      <c r="BV508" t="str">
        <v>Double towel rail</v>
      </c>
      <c r="BW508" t="str">
        <v>Sliding or hinged heads door</v>
      </c>
      <c r="BX508" t="str">
        <v>Washing machine locker</v>
      </c>
      <c r="BY508" t="str">
        <v>Dedicated trashcan locker</v>
      </c>
      <c r="BZ508" t="str">
        <v>Coat hook</v>
      </c>
      <c r="CA508" t="str">
        <v>Waste tank</v>
      </c>
      <c r="CB508" t="str">
        <v>Forepeak panel</v>
      </c>
      <c r="CC508" t="str">
        <v>Portlight with roller blind</v>
      </c>
      <c r="CD508" t="str">
        <v>Overhead roller blinds for privacy</v>
      </c>
    </row>
    <row r="509" spans="1:82" ht="15" customHeight="1" x14ac:dyDescent="0.25">
      <c r="A509" s="131" t="s">
        <v>411</v>
      </c>
      <c r="B509" s="132"/>
      <c r="C509" s="132"/>
      <c r="D509" s="132"/>
      <c r="E509" s="132"/>
      <c r="F509" s="133"/>
      <c r="G509" s="3" t="s">
        <v>412</v>
      </c>
      <c r="H509" s="141"/>
      <c r="I509" s="142"/>
      <c r="J509" s="134" t="s">
        <v>409</v>
      </c>
      <c r="K509" s="135"/>
      <c r="L509" s="136"/>
      <c r="M509" t="e" cm="1" vm="1">
        <f t="array" ref="M509">TRANSPOSE(_xlfn.UNIQUE(_xlfn._xlws.FILTER(Table4[Discipine Area],(Table4[Discipline No.]=C570)*(Table4[Discipline No.]=C570))))</f>
        <v>#VALUE!</v>
      </c>
    </row>
    <row r="510" spans="1:82" ht="15" customHeight="1" x14ac:dyDescent="0.25">
      <c r="A510" s="127" t="s">
        <v>0</v>
      </c>
      <c r="B510" s="127" t="s">
        <v>1</v>
      </c>
      <c r="C510" s="129" t="s">
        <v>2</v>
      </c>
      <c r="D510" s="129" t="s">
        <v>3</v>
      </c>
      <c r="E510" s="129" t="s">
        <v>4</v>
      </c>
      <c r="F510" s="129" t="s">
        <v>410</v>
      </c>
      <c r="G510" s="139" t="s">
        <v>216</v>
      </c>
      <c r="H510" s="139" t="s">
        <v>6</v>
      </c>
      <c r="I510" s="139" t="s">
        <v>7</v>
      </c>
      <c r="J510" s="137" t="s">
        <v>8</v>
      </c>
      <c r="K510" s="138" t="s">
        <v>9</v>
      </c>
      <c r="L510" s="138"/>
      <c r="M510" t="e" cm="1" vm="1">
        <f t="array" ref="M510">TRANSPOSE(_xlfn.UNIQUE(_xlfn._xlws.FILTER(Table4[Discipine Area],(Table4[Discipline No.]=C571)*(Table4[Discipline No.]=C571))))</f>
        <v>#VALUE!</v>
      </c>
    </row>
    <row r="511" spans="1:82" ht="15" customHeight="1" x14ac:dyDescent="0.25">
      <c r="A511" s="128"/>
      <c r="B511" s="128"/>
      <c r="C511" s="130"/>
      <c r="D511" s="130"/>
      <c r="E511" s="130"/>
      <c r="F511" s="130"/>
      <c r="G511" s="140"/>
      <c r="H511" s="140"/>
      <c r="I511" s="140"/>
      <c r="J511" s="137"/>
      <c r="K511" s="78" t="s">
        <v>10</v>
      </c>
      <c r="L511" s="78" t="s">
        <v>11</v>
      </c>
      <c r="M511" t="e" cm="1" vm="1">
        <f t="array" ref="M511">TRANSPOSE(_xlfn.UNIQUE(_xlfn._xlws.FILTER(Table4[Discipine Area],(Table4[Discipline No.]=C572)*(Table4[Discipline No.]=C572))))</f>
        <v>#VALUE!</v>
      </c>
    </row>
    <row r="512" spans="1:82" ht="15" customHeight="1" x14ac:dyDescent="0.25">
      <c r="A512" s="76"/>
      <c r="B512" s="150" t="s">
        <v>629</v>
      </c>
      <c r="C512" s="9"/>
      <c r="D512" s="74"/>
      <c r="E512" s="73"/>
      <c r="F512" s="74"/>
      <c r="G512" s="75"/>
      <c r="H512" s="3"/>
      <c r="I512" s="3"/>
      <c r="J512" s="3"/>
      <c r="K512" s="3"/>
      <c r="L512" s="3"/>
      <c r="M512" t="e" cm="1" vm="1">
        <f t="array" ref="M512">TRANSPOSE(_xlfn.UNIQUE(_xlfn._xlws.FILTER(Table4[Discipine Area],(Table4[Discipline No.]=C573)*(Table4[Discipline No.]=C573))))</f>
        <v>#VALUE!</v>
      </c>
    </row>
    <row r="513" spans="1:82" ht="30" x14ac:dyDescent="0.25">
      <c r="A513" s="76"/>
      <c r="B513" s="115"/>
      <c r="C513" s="9">
        <v>3</v>
      </c>
      <c r="D513" s="74" t="s">
        <v>313</v>
      </c>
      <c r="E513" s="73" t="s">
        <v>215</v>
      </c>
      <c r="F513" s="74"/>
      <c r="G513" s="74" t="s">
        <v>632</v>
      </c>
      <c r="H513" s="3"/>
      <c r="I513" s="3"/>
      <c r="J513" s="3"/>
      <c r="K513" s="3"/>
      <c r="L513" s="3"/>
      <c r="M513" t="e" cm="1" vm="1">
        <f t="array" ref="M513">TRANSPOSE(_xlfn.UNIQUE(_xlfn._xlws.FILTER(Table4[Discipine Area],(Table4[Discipline No.]=C561)*(Table4[Discipline No.]=C561))))</f>
        <v>#VALUE!</v>
      </c>
    </row>
    <row r="514" spans="1:82" ht="30" x14ac:dyDescent="0.25">
      <c r="A514" s="76"/>
      <c r="B514" s="118"/>
      <c r="C514" s="9">
        <v>3</v>
      </c>
      <c r="D514" s="74" t="s">
        <v>100</v>
      </c>
      <c r="E514" s="73" t="s">
        <v>215</v>
      </c>
      <c r="F514" s="74"/>
      <c r="G514" s="75" t="s">
        <v>633</v>
      </c>
      <c r="H514" s="3"/>
      <c r="I514" s="3"/>
      <c r="J514" s="3"/>
      <c r="K514" s="3"/>
      <c r="L514" s="3"/>
      <c r="M514" t="e" cm="1" vm="1">
        <f t="array" ref="M514">TRANSPOSE(_xlfn.UNIQUE(_xlfn._xlws.FILTER(Table4[Discipine Area],(Table4[Discipline No.]=C562)*(Table4[Discipline No.]=C562))))</f>
        <v>#VALUE!</v>
      </c>
    </row>
    <row r="515" spans="1:82" ht="30" x14ac:dyDescent="0.25">
      <c r="A515" s="76"/>
      <c r="B515" s="118"/>
      <c r="C515" s="9">
        <v>3</v>
      </c>
      <c r="D515" s="74" t="s">
        <v>100</v>
      </c>
      <c r="E515" s="73" t="s">
        <v>630</v>
      </c>
      <c r="F515" s="74"/>
      <c r="G515" s="75" t="s">
        <v>634</v>
      </c>
      <c r="H515" s="3"/>
      <c r="I515" s="3"/>
      <c r="J515" s="3"/>
      <c r="K515" s="3"/>
      <c r="L515" s="3"/>
      <c r="M515" t="e" cm="1" vm="1">
        <f t="array" ref="M515">TRANSPOSE(_xlfn.UNIQUE(_xlfn._xlws.FILTER(Table4[Discipine Area],(Table4[Discipline No.]=C563)*(Table4[Discipline No.]=C563))))</f>
        <v>#VALUE!</v>
      </c>
    </row>
    <row r="516" spans="1:82" x14ac:dyDescent="0.25">
      <c r="A516" s="76"/>
      <c r="B516" s="74"/>
      <c r="C516" s="9">
        <v>3</v>
      </c>
      <c r="D516" s="74" t="s">
        <v>339</v>
      </c>
      <c r="E516" s="73" t="s">
        <v>631</v>
      </c>
      <c r="F516" s="74"/>
      <c r="G516" s="74" t="s">
        <v>635</v>
      </c>
      <c r="H516" s="3"/>
      <c r="I516" s="3"/>
      <c r="J516" s="3"/>
      <c r="K516" s="3"/>
      <c r="L516" s="3"/>
      <c r="M516" t="str" cm="1">
        <f t="array" ref="M516:AZ516">TRANSPOSE(_xlfn.UNIQUE(_xlfn._xlws.FILTER(Table4[Discipine Area],(Table4[Discipline No.]=C564)*(Table4[Discipline No.]=C564))))</f>
        <v>Exterior</v>
      </c>
      <c r="N516" t="str">
        <v>Fwd area</v>
      </c>
      <c r="O516" t="str">
        <v>Midship area</v>
      </c>
      <c r="P516" t="str">
        <v>Aft area</v>
      </c>
      <c r="Q516" t="str">
        <v>window surround</v>
      </c>
      <c r="R516" t="str">
        <v>Bows</v>
      </c>
      <c r="S516" t="str">
        <v>fwd deck steps</v>
      </c>
      <c r="T516" t="str">
        <v>Deck flange</v>
      </c>
      <c r="U516" t="str">
        <v>Waterchannel</v>
      </c>
      <c r="V516" t="str">
        <v>Helmstation</v>
      </c>
      <c r="W516" t="str">
        <v>window module</v>
      </c>
      <c r="X516" t="str">
        <v>deck Join</v>
      </c>
      <c r="Y516" t="str">
        <v>side deck step</v>
      </c>
      <c r="Z516" t="str">
        <v>Bimini</v>
      </c>
      <c r="AA516" t="str">
        <v>Helmstation steps</v>
      </c>
      <c r="AB516" t="str">
        <v>toe rail</v>
      </c>
      <c r="AC516" t="str">
        <v>Inboard liner</v>
      </c>
      <c r="AD516" t="str">
        <v>Settee</v>
      </c>
      <c r="AE516" t="str">
        <v>Transom</v>
      </c>
      <c r="AF516" t="str">
        <v>Floating step</v>
      </c>
      <c r="AG516" t="str">
        <v>Locker lids</v>
      </c>
      <c r="AH516" t="str">
        <v>Table</v>
      </c>
      <c r="AI516" t="str">
        <v>Ceiling</v>
      </c>
      <c r="AJ516" t="str">
        <v>Targawing</v>
      </c>
      <c r="AK516" t="str">
        <v>Eyebrow</v>
      </c>
      <c r="AL516" t="str">
        <v>Decklid</v>
      </c>
      <c r="AM516" t="str">
        <v>Skylight</v>
      </c>
      <c r="AN516" t="str">
        <v>Floor</v>
      </c>
      <c r="AO516" t="str">
        <v>Flybridge steps</v>
      </c>
      <c r="AP516" t="str">
        <v>INTERIOR</v>
      </c>
      <c r="AQ516" t="str">
        <v>Stowage space under floorboards</v>
      </c>
      <c r="AR516" t="str">
        <v>Door surround</v>
      </c>
      <c r="AS516" t="str">
        <v>Staircase</v>
      </c>
      <c r="AT516" t="str">
        <v>Plinth/Skirting</v>
      </c>
      <c r="AU516" t="str">
        <v>Ceiling Liner</v>
      </c>
      <c r="AV516" t="str">
        <v>BBQ Locker</v>
      </c>
      <c r="AW516" t="str">
        <v>Bunk Liners</v>
      </c>
      <c r="AX516" t="str">
        <v>Basin module</v>
      </c>
      <c r="AY516" t="str">
        <v>Shower bulkhead module</v>
      </c>
      <c r="AZ516" t="str">
        <v>Heads bulkhead module</v>
      </c>
    </row>
    <row r="517" spans="1:82" x14ac:dyDescent="0.25">
      <c r="A517" s="76"/>
      <c r="B517" s="116"/>
      <c r="C517" s="9">
        <v>3</v>
      </c>
      <c r="D517" s="74" t="s">
        <v>98</v>
      </c>
      <c r="E517" s="73" t="s">
        <v>50</v>
      </c>
      <c r="F517" s="74"/>
      <c r="G517" s="74" t="s">
        <v>636</v>
      </c>
      <c r="H517" s="3"/>
      <c r="I517" s="3"/>
      <c r="J517" s="3"/>
      <c r="K517" s="3"/>
      <c r="L517" s="3"/>
      <c r="M517" t="str" cm="1">
        <f t="array" ref="M517:CD517">TRANSPOSE(_xlfn.UNIQUE(_xlfn._xlws.FILTER(Table4[Discipine Area],(Table4[Discipline No.]=C565)*(Table4[Discipline No.]=C565))))</f>
        <v>SALOON</v>
      </c>
      <c r="N517" t="str">
        <v>Companion door</v>
      </c>
      <c r="O517" t="str">
        <v>Fwd cockpit door</v>
      </c>
      <c r="P517" t="str">
        <v>Windows</v>
      </c>
      <c r="Q517" t="str">
        <v>U shape settee</v>
      </c>
      <c r="R517" t="str">
        <v>Saloon table</v>
      </c>
      <c r="S517" t="str">
        <v>Formica Bulkheads</v>
      </c>
      <c r="T517" t="str">
        <v>Magazine locker/shelf locker</v>
      </c>
      <c r="U517" t="str">
        <v>Vents</v>
      </c>
      <c r="V517" t="str">
        <v>Hullside vinyl panels</v>
      </c>
      <c r="W517" t="str">
        <v>Window blinds</v>
      </c>
      <c r="X517" t="str">
        <v>Nav desk</v>
      </c>
      <c r="Y517" t="str">
        <v>Chart table with storage locker under hinged lid</v>
      </c>
      <c r="Z517" t="str">
        <v>Storage locker under chart table</v>
      </c>
      <c r="AA517" t="str">
        <v xml:space="preserve">AC Outlets </v>
      </c>
      <c r="AB517" t="str">
        <v>Ottoman</v>
      </c>
      <c r="AC517" t="str">
        <v>Galley lockers</v>
      </c>
      <c r="AD517" t="str">
        <v>Stove locker</v>
      </c>
      <c r="AE517" t="str">
        <v>Draw locker</v>
      </c>
      <c r="AF517" t="str">
        <v>Fridge/Freezer locker</v>
      </c>
      <c r="AG517" t="str">
        <v>Microwave locker</v>
      </c>
      <c r="AH517" t="str">
        <v>Tv locker</v>
      </c>
      <c r="AI517" t="str">
        <v>AC/DC locker</v>
      </c>
      <c r="AJ517" t="str">
        <v>Vinyl ceiling</v>
      </c>
      <c r="AK517" t="str">
        <v>Floor</v>
      </c>
      <c r="AL517" t="str">
        <v>Large bowl s/s sink</v>
      </c>
      <c r="AM517" t="str">
        <v>Dish and cutlery drying recess with drainage</v>
      </c>
      <c r="AN517" t="str">
        <v>Cover for drying recess</v>
      </c>
      <c r="AO517" t="str">
        <v xml:space="preserve">Vitrifrigo 2 drawer front-opening fridge/freezer </v>
      </c>
      <c r="AP517" t="str">
        <v>Ice maker</v>
      </c>
      <c r="AQ517" t="str">
        <v>Wine cooler</v>
      </c>
      <c r="AR517" t="str">
        <v>Burner gas hob</v>
      </c>
      <c r="AS517" t="str">
        <v>Gas oven</v>
      </c>
      <c r="AT517" t="str">
        <v>Gas solenoid shut-off valve with control &amp; warning light at cooker</v>
      </c>
      <c r="AU517" t="str">
        <v xml:space="preserve">Formica steps </v>
      </c>
      <c r="AV517" t="str">
        <v>Gas detectors in each hull connected to alarm in saloon</v>
      </c>
      <c r="AW517" t="str">
        <v>Smoke detector/alarm</v>
      </c>
      <c r="AX517" t="str">
        <v>LED overhead lighting</v>
      </c>
      <c r="AY517" t="str">
        <v>CABIN/ STUDY/PASSAGE</v>
      </c>
      <c r="AZ517" t="str">
        <v>Inspection lids</v>
      </c>
      <c r="BA517" t="str">
        <v>Vinyl panels</v>
      </c>
      <c r="BB517" t="str">
        <v>Stairs</v>
      </c>
      <c r="BC517" t="str">
        <v>Bedside table outboard</v>
      </c>
      <c r="BD517" t="str">
        <v>Bedside cave locker inboard</v>
      </c>
      <c r="BE517" t="str">
        <v>Bunktop/Double berth</v>
      </c>
      <c r="BF517" t="str">
        <v>Hanging locker</v>
      </c>
      <c r="BG517" t="str">
        <v>Bunk Drawers</v>
      </c>
      <c r="BH517" t="str">
        <v>Cabin Door</v>
      </c>
      <c r="BI517" t="str">
        <v>Door frames</v>
      </c>
      <c r="BJ517" t="str">
        <v>Fiddles</v>
      </c>
      <c r="BK517" t="str">
        <v>Fan</v>
      </c>
      <c r="BL517" t="str">
        <v>Hatch</v>
      </c>
      <c r="BM517" t="str">
        <v>2 x LED reading lamps over bunk</v>
      </c>
      <c r="BN517" t="str">
        <v>Vanity table/desk with storage locker and mirror under lid</v>
      </c>
      <c r="BO517" t="str">
        <v>Fold up vanity mirror</v>
      </c>
      <c r="BP517" t="str">
        <v>Sliding entrance door with lock</v>
      </c>
      <c r="BQ517" t="str">
        <v>Doors</v>
      </c>
      <c r="BR517" t="str">
        <v>Large mirror behind sliding entrance door</v>
      </c>
      <c r="BS517" t="str">
        <v xml:space="preserve">HEADS </v>
      </c>
      <c r="BT517" t="str">
        <v>Under-basin locker with toilet roll holder</v>
      </c>
      <c r="BU517" t="str">
        <v>Vanity locker with mirror</v>
      </c>
      <c r="BV517" t="str">
        <v>Double towel rail</v>
      </c>
      <c r="BW517" t="str">
        <v>Sliding or hinged heads door</v>
      </c>
      <c r="BX517" t="str">
        <v>Washing machine locker</v>
      </c>
      <c r="BY517" t="str">
        <v>Dedicated trashcan locker</v>
      </c>
      <c r="BZ517" t="str">
        <v>Coat hook</v>
      </c>
      <c r="CA517" t="str">
        <v>Waste tank</v>
      </c>
      <c r="CB517" t="str">
        <v>Forepeak panel</v>
      </c>
      <c r="CC517" t="str">
        <v>Portlight with roller blind</v>
      </c>
      <c r="CD517" t="str">
        <v>Overhead roller blinds for privacy</v>
      </c>
    </row>
    <row r="518" spans="1:82" x14ac:dyDescent="0.25">
      <c r="A518" s="76"/>
      <c r="B518" s="118"/>
      <c r="C518" s="9">
        <v>3</v>
      </c>
      <c r="D518" s="74" t="s">
        <v>316</v>
      </c>
      <c r="E518" s="73" t="s">
        <v>50</v>
      </c>
      <c r="F518" s="74"/>
      <c r="G518" s="74" t="s">
        <v>637</v>
      </c>
      <c r="H518" s="3"/>
      <c r="I518" s="3"/>
      <c r="J518" s="3"/>
      <c r="K518" s="3"/>
      <c r="L518" s="3"/>
      <c r="M518" t="e" cm="1" vm="1">
        <f t="array" ref="M518">TRANSPOSE(_xlfn.UNIQUE(_xlfn._xlws.FILTER(Table4[Discipine Area],(Table4[Discipline No.]=C574)*(Table4[Discipline No.]=C574))))</f>
        <v>#VALUE!</v>
      </c>
    </row>
    <row r="519" spans="1:82" x14ac:dyDescent="0.25">
      <c r="A519" s="76"/>
      <c r="B519" s="116"/>
      <c r="C519" s="9">
        <v>8</v>
      </c>
      <c r="D519" s="74" t="s">
        <v>309</v>
      </c>
      <c r="E519" s="74" t="s">
        <v>28</v>
      </c>
      <c r="F519" s="74"/>
      <c r="G519" s="151" t="s">
        <v>638</v>
      </c>
      <c r="H519" s="3"/>
      <c r="I519" s="3"/>
      <c r="J519" s="3"/>
      <c r="K519" s="3"/>
      <c r="L519" s="3"/>
      <c r="M519" t="e" cm="1" vm="1">
        <f t="array" ref="M519">TRANSPOSE(_xlfn.UNIQUE(_xlfn._xlws.FILTER(Table4[Discipine Area],(Table4[Discipline No.]=C575)*(Table4[Discipline No.]=C575))))</f>
        <v>#VALUE!</v>
      </c>
    </row>
    <row r="520" spans="1:82" ht="30" x14ac:dyDescent="0.25">
      <c r="A520" s="76"/>
      <c r="B520" s="74"/>
      <c r="C520" s="9">
        <v>3</v>
      </c>
      <c r="D520" s="74" t="s">
        <v>109</v>
      </c>
      <c r="E520" s="73" t="s">
        <v>630</v>
      </c>
      <c r="F520" s="74"/>
      <c r="G520" s="74" t="s">
        <v>639</v>
      </c>
      <c r="H520" s="3"/>
      <c r="I520" s="3"/>
      <c r="J520" s="3"/>
      <c r="K520" s="3"/>
      <c r="L520" s="3"/>
      <c r="M520" t="e" cm="1" vm="1">
        <f t="array" ref="M520">TRANSPOSE(_xlfn.UNIQUE(_xlfn._xlws.FILTER(Table4[Discipine Area],(Table4[Discipline No.]=C576)*(Table4[Discipline No.]=C576))))</f>
        <v>#VALUE!</v>
      </c>
    </row>
    <row r="521" spans="1:82" ht="30" x14ac:dyDescent="0.25">
      <c r="A521" s="76"/>
      <c r="B521" s="116"/>
      <c r="C521" s="9">
        <v>3</v>
      </c>
      <c r="D521" s="74" t="s">
        <v>109</v>
      </c>
      <c r="E521" s="73" t="s">
        <v>50</v>
      </c>
      <c r="F521" s="74"/>
      <c r="G521" s="74" t="s">
        <v>640</v>
      </c>
      <c r="H521" s="3"/>
      <c r="I521" s="3"/>
      <c r="J521" s="3"/>
      <c r="K521" s="3"/>
      <c r="L521" s="3"/>
      <c r="M521" t="e" cm="1" vm="1">
        <f t="array" ref="M521">TRANSPOSE(_xlfn.UNIQUE(_xlfn._xlws.FILTER(Table4[Discipine Area],(Table4[Discipline No.]=C577)*(Table4[Discipline No.]=C577))))</f>
        <v>#VALUE!</v>
      </c>
    </row>
    <row r="522" spans="1:82" x14ac:dyDescent="0.25">
      <c r="A522" s="76"/>
      <c r="B522" s="116"/>
      <c r="C522" s="9">
        <v>3</v>
      </c>
      <c r="D522" s="74" t="s">
        <v>369</v>
      </c>
      <c r="E522" s="73" t="s">
        <v>50</v>
      </c>
      <c r="F522" s="74"/>
      <c r="G522" s="151" t="s">
        <v>641</v>
      </c>
      <c r="H522" s="3"/>
      <c r="I522" s="3"/>
      <c r="J522" s="3"/>
      <c r="K522" s="3"/>
      <c r="L522" s="3"/>
      <c r="M522" t="e" cm="1" vm="1">
        <f t="array" ref="M522">TRANSPOSE(_xlfn.UNIQUE(_xlfn._xlws.FILTER(Table4[Discipine Area],(Table4[Discipline No.]=C578)*(Table4[Discipline No.]=C578))))</f>
        <v>#VALUE!</v>
      </c>
    </row>
    <row r="523" spans="1:82" x14ac:dyDescent="0.25">
      <c r="A523" s="76"/>
      <c r="B523" s="119"/>
      <c r="C523" s="9">
        <v>3</v>
      </c>
      <c r="D523" s="74" t="s">
        <v>110</v>
      </c>
      <c r="E523" s="73" t="s">
        <v>50</v>
      </c>
      <c r="F523" s="74"/>
      <c r="G523" s="74" t="s">
        <v>642</v>
      </c>
      <c r="H523" s="3"/>
      <c r="I523" s="3"/>
      <c r="J523" s="3"/>
      <c r="K523" s="3"/>
      <c r="L523" s="3"/>
      <c r="M523" t="e" cm="1" vm="1">
        <f t="array" ref="M523">TRANSPOSE(_xlfn.UNIQUE(_xlfn._xlws.FILTER(Table4[Discipine Area],(Table4[Discipline No.]=C579)*(Table4[Discipline No.]=C579))))</f>
        <v>#VALUE!</v>
      </c>
    </row>
    <row r="524" spans="1:82" x14ac:dyDescent="0.25">
      <c r="A524" s="76"/>
      <c r="B524" s="115"/>
      <c r="C524" s="9">
        <v>5</v>
      </c>
      <c r="D524" s="74" t="s">
        <v>306</v>
      </c>
      <c r="E524" s="73" t="s">
        <v>299</v>
      </c>
      <c r="F524" s="74"/>
      <c r="G524" s="74" t="s">
        <v>643</v>
      </c>
      <c r="H524" s="3"/>
      <c r="I524" s="3"/>
      <c r="J524" s="3"/>
      <c r="K524" s="3"/>
      <c r="L524" s="3"/>
      <c r="M524" t="e" cm="1" vm="1">
        <f t="array" ref="M524">TRANSPOSE(_xlfn.UNIQUE(_xlfn._xlws.FILTER(Table4[Discipine Area],(Table4[Discipline No.]=C580)*(Table4[Discipline No.]=C580))))</f>
        <v>#VALUE!</v>
      </c>
    </row>
    <row r="525" spans="1:82" x14ac:dyDescent="0.25">
      <c r="A525" s="76"/>
      <c r="B525" s="97"/>
      <c r="C525" s="76"/>
      <c r="D525" s="73"/>
      <c r="E525" s="3"/>
      <c r="F525" s="74"/>
      <c r="G525" s="75"/>
      <c r="H525" s="3"/>
      <c r="I525" s="3"/>
      <c r="J525" s="3"/>
      <c r="K525" s="3"/>
      <c r="L525" s="3"/>
      <c r="M525" t="e" cm="1" vm="1">
        <f t="array" ref="M525">TRANSPOSE(_xlfn.UNIQUE(_xlfn._xlws.FILTER(Table4[Discipine Area],(Table4[Discipline No.]=C581)*(Table4[Discipline No.]=C581))))</f>
        <v>#VALUE!</v>
      </c>
    </row>
    <row r="526" spans="1:82" x14ac:dyDescent="0.25">
      <c r="A526" s="76"/>
      <c r="B526" s="97"/>
      <c r="C526" s="76"/>
      <c r="D526" s="73"/>
      <c r="E526" s="3"/>
      <c r="F526" s="74"/>
      <c r="G526" s="75"/>
      <c r="H526" s="3"/>
      <c r="I526" s="3"/>
      <c r="J526" s="3"/>
      <c r="K526" s="3"/>
      <c r="L526" s="3"/>
      <c r="M526" t="e" cm="1">
        <f t="array" ref="M526">TRANSPOSE(_xlfn.UNIQUE(_xlfn._xlws.FILTER(Table4[Discipine Area],(Table4[Discipline No.]=#REF!)*(Table4[Discipline No.]=#REF!))))</f>
        <v>#REF!</v>
      </c>
    </row>
    <row r="527" spans="1:82" ht="15" customHeight="1" x14ac:dyDescent="0.25">
      <c r="A527" s="76"/>
      <c r="B527" s="113" t="s">
        <v>644</v>
      </c>
      <c r="C527" s="9"/>
      <c r="D527" s="74"/>
      <c r="E527" s="73"/>
      <c r="F527" s="74"/>
      <c r="G527" s="75"/>
      <c r="H527" s="3"/>
      <c r="I527" s="3"/>
      <c r="J527" s="3"/>
      <c r="K527" s="3"/>
      <c r="L527" s="3"/>
      <c r="M527" t="e" cm="1">
        <f t="array" ref="M527">TRANSPOSE(_xlfn.UNIQUE(_xlfn._xlws.FILTER(Table4[Discipine Area],(Table4[Discipline No.]=#REF!)*(Table4[Discipline No.]=#REF!))))</f>
        <v>#REF!</v>
      </c>
    </row>
    <row r="528" spans="1:82" ht="15" customHeight="1" x14ac:dyDescent="0.25">
      <c r="A528" s="76"/>
      <c r="B528" s="116"/>
      <c r="C528" s="9">
        <v>3</v>
      </c>
      <c r="D528" s="74" t="s">
        <v>262</v>
      </c>
      <c r="E528" s="73" t="s">
        <v>49</v>
      </c>
      <c r="F528" s="74"/>
      <c r="G528" s="75" t="s">
        <v>646</v>
      </c>
      <c r="H528" s="3"/>
      <c r="I528" s="3"/>
      <c r="J528" s="3"/>
      <c r="K528" s="3"/>
      <c r="L528" s="3"/>
      <c r="M528" t="e" cm="1">
        <f t="array" ref="M528">TRANSPOSE(_xlfn.UNIQUE(_xlfn._xlws.FILTER(Table4[Discipine Area],(Table4[Discipline No.]=#REF!)*(Table4[Discipline No.]=#REF!))))</f>
        <v>#REF!</v>
      </c>
    </row>
    <row r="529" spans="1:86" ht="15" customHeight="1" x14ac:dyDescent="0.25">
      <c r="A529" s="76"/>
      <c r="B529" s="115"/>
      <c r="C529" s="9">
        <v>3</v>
      </c>
      <c r="D529" s="74" t="s">
        <v>317</v>
      </c>
      <c r="E529" s="73" t="s">
        <v>631</v>
      </c>
      <c r="F529" s="74"/>
      <c r="G529" s="74" t="s">
        <v>647</v>
      </c>
      <c r="H529" s="3"/>
      <c r="I529" s="3"/>
      <c r="J529" s="3"/>
      <c r="K529" s="3"/>
      <c r="L529" s="3"/>
      <c r="M529" t="e" cm="1">
        <f t="array" ref="M529">TRANSPOSE(_xlfn.UNIQUE(_xlfn._xlws.FILTER(Table4[Discipine Area],(Table4[Discipline No.]=#REF!)*(Table4[Discipline No.]=#REF!))))</f>
        <v>#REF!</v>
      </c>
    </row>
    <row r="530" spans="1:86" ht="15" customHeight="1" x14ac:dyDescent="0.25">
      <c r="A530" s="76"/>
      <c r="B530" s="115"/>
      <c r="C530" s="9">
        <v>3</v>
      </c>
      <c r="D530" s="74" t="s">
        <v>82</v>
      </c>
      <c r="E530" s="73" t="s">
        <v>645</v>
      </c>
      <c r="F530" s="74"/>
      <c r="G530" s="75" t="s">
        <v>648</v>
      </c>
      <c r="H530" s="3"/>
      <c r="I530" s="3"/>
      <c r="J530" s="3"/>
      <c r="K530" s="3"/>
      <c r="L530" s="3"/>
      <c r="M530" t="e" cm="1">
        <f t="array" ref="M530">TRANSPOSE(_xlfn.UNIQUE(_xlfn._xlws.FILTER(Table4[Discipine Area],(Table4[Discipline No.]=#REF!)*(Table4[Discipline No.]=#REF!))))</f>
        <v>#REF!</v>
      </c>
    </row>
    <row r="531" spans="1:86" ht="15" customHeight="1" x14ac:dyDescent="0.25">
      <c r="A531" s="76"/>
      <c r="B531" s="115"/>
      <c r="C531" s="9">
        <v>3</v>
      </c>
      <c r="D531" s="74" t="s">
        <v>303</v>
      </c>
      <c r="E531" s="73" t="s">
        <v>50</v>
      </c>
      <c r="F531" s="74"/>
      <c r="G531" s="75" t="s">
        <v>649</v>
      </c>
      <c r="H531" s="3"/>
      <c r="I531" s="3"/>
      <c r="J531" s="3"/>
      <c r="K531" s="3"/>
      <c r="L531" s="3"/>
      <c r="M531" t="e" cm="1" vm="1">
        <f t="array" ref="M531">TRANSPOSE(_xlfn.UNIQUE(_xlfn._xlws.FILTER(Table4[Discipine Area],(Table4[Discipline No.]=C582)*(Table4[Discipline No.]=C582))))</f>
        <v>#VALUE!</v>
      </c>
    </row>
    <row r="532" spans="1:86" ht="15" customHeight="1" x14ac:dyDescent="0.25">
      <c r="A532" s="76"/>
      <c r="B532" s="115"/>
      <c r="C532" s="9">
        <v>3</v>
      </c>
      <c r="D532" s="74" t="s">
        <v>365</v>
      </c>
      <c r="E532" s="73" t="s">
        <v>49</v>
      </c>
      <c r="F532" s="74"/>
      <c r="G532" s="74" t="s">
        <v>650</v>
      </c>
      <c r="H532" s="3"/>
      <c r="I532" s="3"/>
      <c r="J532" s="3"/>
      <c r="K532" s="3"/>
      <c r="L532" s="3"/>
      <c r="M532" t="e" cm="1" vm="1">
        <f t="array" ref="M532">TRANSPOSE(_xlfn.UNIQUE(_xlfn._xlws.FILTER(Table4[Discipine Area],(Table4[Discipline No.]=C583)*(Table4[Discipline No.]=C583))))</f>
        <v>#VALUE!</v>
      </c>
    </row>
    <row r="533" spans="1:86" ht="15" customHeight="1" x14ac:dyDescent="0.25">
      <c r="A533" s="76"/>
      <c r="B533" s="97"/>
      <c r="C533" s="76"/>
      <c r="D533" s="3"/>
      <c r="E533" s="3"/>
      <c r="F533" s="74"/>
      <c r="G533" s="75"/>
      <c r="H533" s="3"/>
      <c r="I533" s="3"/>
      <c r="J533" s="3"/>
      <c r="K533" s="3"/>
      <c r="L533" s="3"/>
      <c r="M533" t="e" cm="1" vm="1">
        <f t="array" ref="M533">TRANSPOSE(_xlfn.UNIQUE(_xlfn._xlws.FILTER(Table4[Discipine Area],(Table4[Discipline No.]=C584)*(Table4[Discipline No.]=C584))))</f>
        <v>#VALUE!</v>
      </c>
    </row>
    <row r="534" spans="1:86" ht="15" customHeight="1" x14ac:dyDescent="0.25">
      <c r="A534" s="76"/>
      <c r="B534" s="97"/>
      <c r="C534" s="76"/>
      <c r="D534" s="3"/>
      <c r="E534" s="3"/>
      <c r="F534" s="74"/>
      <c r="G534" s="75"/>
      <c r="H534" s="3"/>
      <c r="I534" s="3"/>
      <c r="J534" s="3"/>
      <c r="K534" s="3"/>
      <c r="L534" s="3"/>
      <c r="M534" t="e" cm="1" vm="1">
        <f t="array" ref="M534">TRANSPOSE(_xlfn.UNIQUE(_xlfn._xlws.FILTER(Table4[Discipine Area],(Table4[Discipline No.]=C585)*(Table4[Discipline No.]=C585))))</f>
        <v>#VALUE!</v>
      </c>
    </row>
    <row r="535" spans="1:86" ht="15" customHeight="1" x14ac:dyDescent="0.25">
      <c r="A535" s="76"/>
      <c r="B535" s="97"/>
      <c r="C535" s="76"/>
      <c r="D535" s="3"/>
      <c r="E535" s="3"/>
      <c r="F535" s="74"/>
      <c r="G535" s="75"/>
      <c r="H535" s="3"/>
      <c r="I535" s="3"/>
      <c r="J535" s="3"/>
      <c r="K535" s="3"/>
      <c r="L535" s="3"/>
      <c r="M535" t="e" cm="1" vm="1">
        <f t="array" ref="M535">TRANSPOSE(_xlfn.UNIQUE(_xlfn._xlws.FILTER(Table4[Discipine Area],(Table4[Discipline No.]=C586)*(Table4[Discipline No.]=C586))))</f>
        <v>#VALUE!</v>
      </c>
    </row>
    <row r="536" spans="1:86" ht="15" customHeight="1" x14ac:dyDescent="0.25">
      <c r="A536" s="76"/>
      <c r="B536" s="97"/>
      <c r="C536" s="76"/>
      <c r="D536" s="3"/>
      <c r="E536" s="3"/>
      <c r="F536" s="74"/>
      <c r="G536" s="75"/>
      <c r="H536" s="3"/>
      <c r="I536" s="3"/>
      <c r="J536" s="3"/>
      <c r="K536" s="3"/>
      <c r="L536" s="3"/>
      <c r="M536" t="str" cm="1">
        <f t="array" ref="M536:AZ536">TRANSPOSE(_xlfn.UNIQUE(_xlfn._xlws.FILTER(Table4[Discipine Area],(Table4[Discipline No.]=C587)*(Table4[Discipline No.]=C587))))</f>
        <v>Exterior</v>
      </c>
      <c r="N536" t="str">
        <v>Fwd area</v>
      </c>
      <c r="O536" t="str">
        <v>Midship area</v>
      </c>
      <c r="P536" t="str">
        <v>Aft area</v>
      </c>
      <c r="Q536" t="str">
        <v>window surround</v>
      </c>
      <c r="R536" t="str">
        <v>Bows</v>
      </c>
      <c r="S536" t="str">
        <v>fwd deck steps</v>
      </c>
      <c r="T536" t="str">
        <v>Deck flange</v>
      </c>
      <c r="U536" t="str">
        <v>Waterchannel</v>
      </c>
      <c r="V536" t="str">
        <v>Helmstation</v>
      </c>
      <c r="W536" t="str">
        <v>window module</v>
      </c>
      <c r="X536" t="str">
        <v>deck Join</v>
      </c>
      <c r="Y536" t="str">
        <v>side deck step</v>
      </c>
      <c r="Z536" t="str">
        <v>Bimini</v>
      </c>
      <c r="AA536" t="str">
        <v>Helmstation steps</v>
      </c>
      <c r="AB536" t="str">
        <v>toe rail</v>
      </c>
      <c r="AC536" t="str">
        <v>Inboard liner</v>
      </c>
      <c r="AD536" t="str">
        <v>Settee</v>
      </c>
      <c r="AE536" t="str">
        <v>Transom</v>
      </c>
      <c r="AF536" t="str">
        <v>Floating step</v>
      </c>
      <c r="AG536" t="str">
        <v>Locker lids</v>
      </c>
      <c r="AH536" t="str">
        <v>Table</v>
      </c>
      <c r="AI536" t="str">
        <v>Ceiling</v>
      </c>
      <c r="AJ536" t="str">
        <v>Targawing</v>
      </c>
      <c r="AK536" t="str">
        <v>Eyebrow</v>
      </c>
      <c r="AL536" t="str">
        <v>Decklid</v>
      </c>
      <c r="AM536" t="str">
        <v>Skylight</v>
      </c>
      <c r="AN536" t="str">
        <v>Floor</v>
      </c>
      <c r="AO536" t="str">
        <v>Flybridge steps</v>
      </c>
      <c r="AP536" t="str">
        <v>INTERIOR</v>
      </c>
      <c r="AQ536" t="str">
        <v>Stowage space under floorboards</v>
      </c>
      <c r="AR536" t="str">
        <v>Door surround</v>
      </c>
      <c r="AS536" t="str">
        <v>Staircase</v>
      </c>
      <c r="AT536" t="str">
        <v>Plinth/Skirting</v>
      </c>
      <c r="AU536" t="str">
        <v>Ceiling Liner</v>
      </c>
      <c r="AV536" t="str">
        <v>BBQ Locker</v>
      </c>
      <c r="AW536" t="str">
        <v>Bunk Liners</v>
      </c>
      <c r="AX536" t="str">
        <v>Basin module</v>
      </c>
      <c r="AY536" t="str">
        <v>Shower bulkhead module</v>
      </c>
      <c r="AZ536" t="str">
        <v>Heads bulkhead module</v>
      </c>
    </row>
    <row r="537" spans="1:86" ht="15" customHeight="1" x14ac:dyDescent="0.25">
      <c r="A537" s="76"/>
      <c r="B537" s="97"/>
      <c r="C537" s="76"/>
      <c r="D537" s="3"/>
      <c r="E537" s="3"/>
      <c r="F537" s="74"/>
      <c r="G537" s="75"/>
      <c r="H537" s="3"/>
      <c r="I537" s="3"/>
      <c r="J537" s="3"/>
      <c r="K537" s="3"/>
      <c r="L537" s="3"/>
      <c r="M537" t="str" cm="1">
        <f t="array" ref="M537:AZ537">TRANSPOSE(_xlfn.UNIQUE(_xlfn._xlws.FILTER(Table4[Discipine Area],(Table4[Discipline No.]=C588)*(Table4[Discipline No.]=C588))))</f>
        <v>Exterior</v>
      </c>
      <c r="N537" t="str">
        <v>Fwd area</v>
      </c>
      <c r="O537" t="str">
        <v>Midship area</v>
      </c>
      <c r="P537" t="str">
        <v>Aft area</v>
      </c>
      <c r="Q537" t="str">
        <v>window surround</v>
      </c>
      <c r="R537" t="str">
        <v>Bows</v>
      </c>
      <c r="S537" t="str">
        <v>fwd deck steps</v>
      </c>
      <c r="T537" t="str">
        <v>Deck flange</v>
      </c>
      <c r="U537" t="str">
        <v>Waterchannel</v>
      </c>
      <c r="V537" t="str">
        <v>Helmstation</v>
      </c>
      <c r="W537" t="str">
        <v>window module</v>
      </c>
      <c r="X537" t="str">
        <v>deck Join</v>
      </c>
      <c r="Y537" t="str">
        <v>side deck step</v>
      </c>
      <c r="Z537" t="str">
        <v>Bimini</v>
      </c>
      <c r="AA537" t="str">
        <v>Helmstation steps</v>
      </c>
      <c r="AB537" t="str">
        <v>toe rail</v>
      </c>
      <c r="AC537" t="str">
        <v>Inboard liner</v>
      </c>
      <c r="AD537" t="str">
        <v>Settee</v>
      </c>
      <c r="AE537" t="str">
        <v>Transom</v>
      </c>
      <c r="AF537" t="str">
        <v>Floating step</v>
      </c>
      <c r="AG537" t="str">
        <v>Locker lids</v>
      </c>
      <c r="AH537" t="str">
        <v>Table</v>
      </c>
      <c r="AI537" t="str">
        <v>Ceiling</v>
      </c>
      <c r="AJ537" t="str">
        <v>Targawing</v>
      </c>
      <c r="AK537" t="str">
        <v>Eyebrow</v>
      </c>
      <c r="AL537" t="str">
        <v>Decklid</v>
      </c>
      <c r="AM537" t="str">
        <v>Skylight</v>
      </c>
      <c r="AN537" t="str">
        <v>Floor</v>
      </c>
      <c r="AO537" t="str">
        <v>Flybridge steps</v>
      </c>
      <c r="AP537" t="str">
        <v>INTERIOR</v>
      </c>
      <c r="AQ537" t="str">
        <v>Stowage space under floorboards</v>
      </c>
      <c r="AR537" t="str">
        <v>Door surround</v>
      </c>
      <c r="AS537" t="str">
        <v>Staircase</v>
      </c>
      <c r="AT537" t="str">
        <v>Plinth/Skirting</v>
      </c>
      <c r="AU537" t="str">
        <v>Ceiling Liner</v>
      </c>
      <c r="AV537" t="str">
        <v>BBQ Locker</v>
      </c>
      <c r="AW537" t="str">
        <v>Bunk Liners</v>
      </c>
      <c r="AX537" t="str">
        <v>Basin module</v>
      </c>
      <c r="AY537" t="str">
        <v>Shower bulkhead module</v>
      </c>
      <c r="AZ537" t="str">
        <v>Heads bulkhead module</v>
      </c>
    </row>
    <row r="538" spans="1:86" ht="15" customHeight="1" x14ac:dyDescent="0.25">
      <c r="A538" s="76"/>
      <c r="B538" s="97"/>
      <c r="C538" s="76"/>
      <c r="D538" s="3"/>
      <c r="E538" s="3"/>
      <c r="F538" s="74"/>
      <c r="G538" s="75"/>
      <c r="H538" s="3"/>
      <c r="I538" s="3"/>
      <c r="J538" s="3"/>
      <c r="K538" s="3"/>
      <c r="L538" s="3"/>
      <c r="M538" t="str" cm="1">
        <f t="array" ref="M538:R538">TRANSPOSE(_xlfn.UNIQUE(_xlfn._xlws.FILTER(Table4[Discipine Area],(Table4[Discipline No.]=C589)*(Table4[Discipline No.]=C589))))</f>
        <v>PERSPEX</v>
      </c>
      <c r="N538" t="str">
        <v>Doors</v>
      </c>
      <c r="O538" t="str">
        <v>corian</v>
      </c>
      <c r="P538" t="str">
        <v>Dividers</v>
      </c>
      <c r="Q538" t="str">
        <v>Portlight</v>
      </c>
      <c r="R538" t="str">
        <v>Windows</v>
      </c>
    </row>
    <row r="539" spans="1:86" ht="15" customHeight="1" x14ac:dyDescent="0.25">
      <c r="A539" s="76"/>
      <c r="B539" s="97"/>
      <c r="C539" s="76"/>
      <c r="D539" s="3"/>
      <c r="E539" s="3"/>
      <c r="F539" s="74"/>
      <c r="G539" s="75"/>
      <c r="H539" s="3"/>
      <c r="I539" s="3"/>
      <c r="J539" s="3"/>
      <c r="K539" s="3"/>
      <c r="L539" s="3"/>
      <c r="M539" t="str" cm="1">
        <f t="array" ref="M539:AZ539">TRANSPOSE(_xlfn.UNIQUE(_xlfn._xlws.FILTER(Table4[Discipine Area],(Table4[Discipline No.]=C590)*(Table4[Discipline No.]=C590))))</f>
        <v>Exterior</v>
      </c>
      <c r="N539" t="str">
        <v>Fwd area</v>
      </c>
      <c r="O539" t="str">
        <v>Midship area</v>
      </c>
      <c r="P539" t="str">
        <v>Aft area</v>
      </c>
      <c r="Q539" t="str">
        <v>window surround</v>
      </c>
      <c r="R539" t="str">
        <v>Bows</v>
      </c>
      <c r="S539" t="str">
        <v>fwd deck steps</v>
      </c>
      <c r="T539" t="str">
        <v>Deck flange</v>
      </c>
      <c r="U539" t="str">
        <v>Waterchannel</v>
      </c>
      <c r="V539" t="str">
        <v>Helmstation</v>
      </c>
      <c r="W539" t="str">
        <v>window module</v>
      </c>
      <c r="X539" t="str">
        <v>deck Join</v>
      </c>
      <c r="Y539" t="str">
        <v>side deck step</v>
      </c>
      <c r="Z539" t="str">
        <v>Bimini</v>
      </c>
      <c r="AA539" t="str">
        <v>Helmstation steps</v>
      </c>
      <c r="AB539" t="str">
        <v>toe rail</v>
      </c>
      <c r="AC539" t="str">
        <v>Inboard liner</v>
      </c>
      <c r="AD539" t="str">
        <v>Settee</v>
      </c>
      <c r="AE539" t="str">
        <v>Transom</v>
      </c>
      <c r="AF539" t="str">
        <v>Floating step</v>
      </c>
      <c r="AG539" t="str">
        <v>Locker lids</v>
      </c>
      <c r="AH539" t="str">
        <v>Table</v>
      </c>
      <c r="AI539" t="str">
        <v>Ceiling</v>
      </c>
      <c r="AJ539" t="str">
        <v>Targawing</v>
      </c>
      <c r="AK539" t="str">
        <v>Eyebrow</v>
      </c>
      <c r="AL539" t="str">
        <v>Decklid</v>
      </c>
      <c r="AM539" t="str">
        <v>Skylight</v>
      </c>
      <c r="AN539" t="str">
        <v>Floor</v>
      </c>
      <c r="AO539" t="str">
        <v>Flybridge steps</v>
      </c>
      <c r="AP539" t="str">
        <v>INTERIOR</v>
      </c>
      <c r="AQ539" t="str">
        <v>Stowage space under floorboards</v>
      </c>
      <c r="AR539" t="str">
        <v>Door surround</v>
      </c>
      <c r="AS539" t="str">
        <v>Staircase</v>
      </c>
      <c r="AT539" t="str">
        <v>Plinth/Skirting</v>
      </c>
      <c r="AU539" t="str">
        <v>Ceiling Liner</v>
      </c>
      <c r="AV539" t="str">
        <v>BBQ Locker</v>
      </c>
      <c r="AW539" t="str">
        <v>Bunk Liners</v>
      </c>
      <c r="AX539" t="str">
        <v>Basin module</v>
      </c>
      <c r="AY539" t="str">
        <v>Shower bulkhead module</v>
      </c>
      <c r="AZ539" t="str">
        <v>Heads bulkhead module</v>
      </c>
    </row>
    <row r="540" spans="1:86" ht="15" customHeight="1" x14ac:dyDescent="0.25">
      <c r="A540" s="76"/>
      <c r="B540" s="97"/>
      <c r="C540" s="76"/>
      <c r="D540" s="3"/>
      <c r="E540" s="3"/>
      <c r="F540" s="74"/>
      <c r="G540" s="75"/>
      <c r="H540" s="3"/>
      <c r="I540" s="3"/>
      <c r="J540" s="3"/>
      <c r="K540" s="3"/>
      <c r="L540" s="3"/>
      <c r="M540" t="str" cm="1">
        <f t="array" ref="M540:CH540">TRANSPOSE(_xlfn.UNIQUE(_xlfn._xlws.FILTER(Table4[Discipine Area],(Table4[Discipline No.]=C591)*(Table4[Discipline No.]=C591))))</f>
        <v>DECKFITTING</v>
      </c>
      <c r="N540" t="str">
        <v>Guard wires with stanchions, bases, port &amp; starboard side gates</v>
      </c>
      <c r="O540" t="str">
        <v>Guard wires across bow and stern</v>
      </c>
      <c r="P540" t="str">
        <v>Windlass, 10mm gypsy &amp; hand-held remote</v>
      </c>
      <c r="Q540" t="str">
        <v>Anchor bow roller fitting</v>
      </c>
      <c r="R540" t="str">
        <v>Anchor chain stopper</v>
      </c>
      <c r="S540" t="str">
        <v>Life raft locker with convertible fore/aft seat bolster</v>
      </c>
      <c r="T540" t="str">
        <v>Backrest s/s railing</v>
      </c>
      <c r="U540" t="str">
        <v>Sliding companionway door/window</v>
      </c>
      <c r="V540" t="str">
        <v>Sliding hatch over forward cockpit steps</v>
      </c>
      <c r="W540" t="str">
        <v>Hardtop over forward and aft cockpit complete with LED lighting</v>
      </c>
      <c r="X540" t="str">
        <v>Hardtop bimini over helm with supports and LED light</v>
      </c>
      <c r="Y540" t="str">
        <v>Hull windows</v>
      </c>
      <c r="Z540" t="str">
        <v>Folding swimming ladder c/w teak steps</v>
      </c>
      <c r="AA540" t="str">
        <v>Emergency ladder on port transom</v>
      </c>
      <c r="AB540" t="str">
        <v>Aft Cockpit table</v>
      </c>
      <c r="AC540" t="str">
        <v>Wetbar</v>
      </c>
      <c r="AD540" t="str">
        <v>Fold down Forward Cockpit table</v>
      </c>
      <c r="AE540" t="str">
        <v>Mainsheet system</v>
      </c>
      <c r="AF540" t="str">
        <v xml:space="preserve">Trampoline </v>
      </c>
      <c r="AG540" t="str">
        <v>Helm seat with upholstered backrest</v>
      </c>
      <c r="AH540" t="str">
        <v>Acrylic smoke grey tinted windows</v>
      </c>
      <c r="AI540" t="str">
        <v>Hardtop supports</v>
      </c>
      <c r="AJ540" t="str">
        <v>Flush Hatch over heads</v>
      </c>
      <c r="AK540" t="str">
        <v>Flush Hatch over cabins</v>
      </c>
      <c r="AL540" t="str">
        <v>Flush Hatch over port forepeak (includes mushroom cowl)</v>
      </c>
      <c r="AM540" t="str">
        <v>Portlight windscreen</v>
      </c>
      <c r="AN540" t="str">
        <v>chain plate</v>
      </c>
      <c r="AO540" t="str">
        <v>chafe plate</v>
      </c>
      <c r="AP540" t="str">
        <v>Portlight hull side</v>
      </c>
      <c r="AQ540" t="str">
        <v>Stbd hull side</v>
      </c>
      <c r="AR540" t="str">
        <v>Portlight  in transom</v>
      </c>
      <c r="AS540" t="str">
        <v>Anchor chain bin</v>
      </c>
      <c r="AT540" t="str">
        <v>Anchor/windlass locker</v>
      </c>
      <c r="AU540" t="str">
        <v>Foredeck/forward cockpit lockers</v>
      </c>
      <c r="AV540" t="str">
        <v>Forward access to foredeck c/w watertight Lewmar door</v>
      </c>
      <c r="AW540" t="str">
        <v>S/S cupholder</v>
      </c>
      <c r="AX540" t="str">
        <v>Pulpits with seats</v>
      </c>
      <c r="AY540" t="str">
        <v>Pushpits</v>
      </c>
      <c r="AZ540" t="str">
        <v>Coachroof handrails</v>
      </c>
      <c r="BA540" t="str">
        <v>Hardtop grab handles</v>
      </c>
      <c r="BB540" t="str">
        <v>Transom grab handles</v>
      </c>
      <c r="BC540" t="str">
        <v>Mooring cleats</v>
      </c>
      <c r="BD540" t="str">
        <v>Lewmar winch handles</v>
      </c>
      <c r="BE540" t="str">
        <v xml:space="preserve">Primary electric winches </v>
      </c>
      <c r="BF540" t="str">
        <v xml:space="preserve">Mainsheet winch </v>
      </c>
      <c r="BG540" t="str">
        <v>Lewmar genoa cars with pin stop</v>
      </c>
      <c r="BH540" t="str">
        <v>Lewmar genoa tracks</v>
      </c>
      <c r="BI540" t="str">
        <v>Halyard clutch at helm (mainsail)</v>
      </c>
      <c r="BJ540" t="str">
        <v>Halyard clutch at helm (gennaker)</v>
      </c>
      <c r="BK540" t="str">
        <v>Genoa sheet clutch at helm</v>
      </c>
      <c r="BL540" t="str">
        <v>Main sheet clutch at helm</v>
      </c>
      <c r="BM540" t="str">
        <v>Reef clutch at helm</v>
      </c>
      <c r="BN540" t="str">
        <v>Clutch and cleat on mast for genoa halyard</v>
      </c>
      <c r="BO540" t="str">
        <v>Furler clutch</v>
      </c>
      <c r="BP540" t="str">
        <v>Drinks holders - 2 in fwd cockpit and 1 at helm</v>
      </c>
      <c r="BQ540" t="str">
        <v>Rope bag at helm with integral winch handle pocket</v>
      </c>
      <c r="BR540" t="str">
        <v>Natural anodized mast</v>
      </c>
      <c r="BS540" t="str">
        <v>Natural anodized crossbeam c/w mooring cleats</v>
      </c>
      <c r="BT540" t="str">
        <v>Wind indicator</v>
      </c>
      <c r="BU540" t="str">
        <v>Genoa furler</v>
      </c>
      <c r="BV540" t="str">
        <v>Mainsail full battened c/w 2 rows reefs</v>
      </c>
      <c r="BW540" t="str">
        <v>Furling genoa</v>
      </c>
      <c r="BX540" t="str">
        <v>2 x Additional spare 12v wires in mast</v>
      </c>
      <c r="BY540" t="str">
        <v>Additional spare conduit with messenger in mast</v>
      </c>
      <c r="BZ540" t="str">
        <v xml:space="preserve">Main sheets </v>
      </c>
      <c r="CA540" t="str">
        <v>Genoa sheets</v>
      </c>
      <c r="CB540" t="str">
        <v>Halyards (main, genoa &amp; spare)</v>
      </c>
      <c r="CC540" t="str">
        <v>Engine Room</v>
      </c>
      <c r="CD540" t="str">
        <v>Single line reefs lead aft</v>
      </c>
      <c r="CE540" t="str">
        <v xml:space="preserve">BBQ </v>
      </c>
      <c r="CF540" t="str">
        <v>Step ladder</v>
      </c>
      <c r="CG540" t="str">
        <v>Pop up lights</v>
      </c>
      <c r="CH540" t="str">
        <v>Main boom topping lift</v>
      </c>
    </row>
    <row r="541" spans="1:86" ht="15" customHeight="1" x14ac:dyDescent="0.25">
      <c r="A541" s="76"/>
      <c r="B541" s="97"/>
      <c r="C541" s="76"/>
      <c r="D541" s="3"/>
      <c r="E541" s="3"/>
      <c r="F541" s="74"/>
      <c r="G541" s="75"/>
      <c r="H541" s="3"/>
      <c r="I541" s="3"/>
      <c r="J541" s="3"/>
      <c r="K541" s="3"/>
      <c r="L541" s="3"/>
      <c r="M541" t="str" cm="1">
        <f t="array" ref="M541:AZ541">TRANSPOSE(_xlfn.UNIQUE(_xlfn._xlws.FILTER(Table4[Discipine Area],(Table4[Discipline No.]=C592)*(Table4[Discipline No.]=C592))))</f>
        <v>Exterior</v>
      </c>
      <c r="N541" t="str">
        <v>Fwd area</v>
      </c>
      <c r="O541" t="str">
        <v>Midship area</v>
      </c>
      <c r="P541" t="str">
        <v>Aft area</v>
      </c>
      <c r="Q541" t="str">
        <v>window surround</v>
      </c>
      <c r="R541" t="str">
        <v>Bows</v>
      </c>
      <c r="S541" t="str">
        <v>fwd deck steps</v>
      </c>
      <c r="T541" t="str">
        <v>Deck flange</v>
      </c>
      <c r="U541" t="str">
        <v>Waterchannel</v>
      </c>
      <c r="V541" t="str">
        <v>Helmstation</v>
      </c>
      <c r="W541" t="str">
        <v>window module</v>
      </c>
      <c r="X541" t="str">
        <v>deck Join</v>
      </c>
      <c r="Y541" t="str">
        <v>side deck step</v>
      </c>
      <c r="Z541" t="str">
        <v>Bimini</v>
      </c>
      <c r="AA541" t="str">
        <v>Helmstation steps</v>
      </c>
      <c r="AB541" t="str">
        <v>toe rail</v>
      </c>
      <c r="AC541" t="str">
        <v>Inboard liner</v>
      </c>
      <c r="AD541" t="str">
        <v>Settee</v>
      </c>
      <c r="AE541" t="str">
        <v>Transom</v>
      </c>
      <c r="AF541" t="str">
        <v>Floating step</v>
      </c>
      <c r="AG541" t="str">
        <v>Locker lids</v>
      </c>
      <c r="AH541" t="str">
        <v>Table</v>
      </c>
      <c r="AI541" t="str">
        <v>Ceiling</v>
      </c>
      <c r="AJ541" t="str">
        <v>Targawing</v>
      </c>
      <c r="AK541" t="str">
        <v>Eyebrow</v>
      </c>
      <c r="AL541" t="str">
        <v>Decklid</v>
      </c>
      <c r="AM541" t="str">
        <v>Skylight</v>
      </c>
      <c r="AN541" t="str">
        <v>Floor</v>
      </c>
      <c r="AO541" t="str">
        <v>Flybridge steps</v>
      </c>
      <c r="AP541" t="str">
        <v>INTERIOR</v>
      </c>
      <c r="AQ541" t="str">
        <v>Stowage space under floorboards</v>
      </c>
      <c r="AR541" t="str">
        <v>Door surround</v>
      </c>
      <c r="AS541" t="str">
        <v>Staircase</v>
      </c>
      <c r="AT541" t="str">
        <v>Plinth/Skirting</v>
      </c>
      <c r="AU541" t="str">
        <v>Ceiling Liner</v>
      </c>
      <c r="AV541" t="str">
        <v>BBQ Locker</v>
      </c>
      <c r="AW541" t="str">
        <v>Bunk Liners</v>
      </c>
      <c r="AX541" t="str">
        <v>Basin module</v>
      </c>
      <c r="AY541" t="str">
        <v>Shower bulkhead module</v>
      </c>
      <c r="AZ541" t="str">
        <v>Heads bulkhead module</v>
      </c>
    </row>
    <row r="542" spans="1:86" ht="15" customHeight="1" x14ac:dyDescent="0.25">
      <c r="A542" s="76"/>
      <c r="B542" s="97"/>
      <c r="C542" s="76"/>
      <c r="D542" s="3"/>
      <c r="E542" s="3"/>
      <c r="F542" s="74"/>
      <c r="G542" s="75"/>
      <c r="H542" s="3"/>
      <c r="I542" s="3"/>
      <c r="J542" s="3"/>
      <c r="K542" s="3"/>
      <c r="L542" s="3"/>
      <c r="M542" t="e" cm="1" vm="1">
        <f t="array" ref="M542">TRANSPOSE(_xlfn.UNIQUE(_xlfn._xlws.FILTER(Table4[Discipine Area],(Table4[Discipline No.]=C593)*(Table4[Discipline No.]=C593))))</f>
        <v>#VALUE!</v>
      </c>
    </row>
    <row r="543" spans="1:86" ht="15" customHeight="1" x14ac:dyDescent="0.25">
      <c r="A543" s="76"/>
      <c r="B543" s="97"/>
      <c r="C543" s="76"/>
      <c r="D543" s="3"/>
      <c r="E543" s="3"/>
      <c r="F543" s="74"/>
      <c r="G543" s="75"/>
      <c r="H543" s="3"/>
      <c r="I543" s="3"/>
      <c r="J543" s="3"/>
      <c r="K543" s="3"/>
      <c r="L543" s="3"/>
      <c r="M543" t="e" cm="1" vm="1">
        <f t="array" ref="M543">TRANSPOSE(_xlfn.UNIQUE(_xlfn._xlws.FILTER(Table4[Discipine Area],(Table4[Discipline No.]=C594)*(Table4[Discipline No.]=C594))))</f>
        <v>#VALUE!</v>
      </c>
    </row>
    <row r="544" spans="1:86" ht="15" customHeight="1" x14ac:dyDescent="0.25">
      <c r="A544" s="76"/>
      <c r="B544" s="97"/>
      <c r="C544" s="76"/>
      <c r="D544" s="3"/>
      <c r="E544" s="3"/>
      <c r="F544" s="74"/>
      <c r="G544" s="75"/>
      <c r="H544" s="3"/>
      <c r="I544" s="3"/>
      <c r="J544" s="3"/>
      <c r="K544" s="3"/>
      <c r="L544" s="3"/>
      <c r="M544" t="e" cm="1" vm="1">
        <f t="array" ref="M544">TRANSPOSE(_xlfn.UNIQUE(_xlfn._xlws.FILTER(Table4[Discipine Area],(Table4[Discipline No.]=C595)*(Table4[Discipline No.]=C595))))</f>
        <v>#VALUE!</v>
      </c>
    </row>
    <row r="545" spans="1:86" ht="15" customHeight="1" x14ac:dyDescent="0.25">
      <c r="A545" s="76"/>
      <c r="B545" s="97"/>
      <c r="C545" s="76"/>
      <c r="D545" s="3"/>
      <c r="E545" s="3"/>
      <c r="F545" s="74"/>
      <c r="G545" s="75"/>
      <c r="H545" s="3"/>
      <c r="I545" s="3"/>
      <c r="J545" s="3"/>
      <c r="K545" s="3"/>
      <c r="L545" s="3"/>
      <c r="M545" t="e" cm="1" vm="1">
        <f t="array" ref="M545">TRANSPOSE(_xlfn.UNIQUE(_xlfn._xlws.FILTER(Table4[Discipine Area],(Table4[Discipline No.]=C596)*(Table4[Discipline No.]=C596))))</f>
        <v>#VALUE!</v>
      </c>
    </row>
    <row r="546" spans="1:86" ht="15" customHeight="1" x14ac:dyDescent="0.25">
      <c r="A546" s="76"/>
      <c r="B546" s="97"/>
      <c r="C546" s="76"/>
      <c r="D546" s="3"/>
      <c r="E546" s="3"/>
      <c r="F546" s="74"/>
      <c r="G546" s="75"/>
      <c r="H546" s="3"/>
      <c r="I546" s="3"/>
      <c r="J546" s="3"/>
      <c r="K546" s="3"/>
      <c r="L546" s="3"/>
      <c r="M546" t="str" cm="1">
        <f t="array" ref="M546:CH546">TRANSPOSE(_xlfn.UNIQUE(_xlfn._xlws.FILTER(Table4[Discipine Area],(Table4[Discipline No.]=C597)*(Table4[Discipline No.]=C597))))</f>
        <v>DECKFITTING</v>
      </c>
      <c r="N546" t="str">
        <v>Guard wires with stanchions, bases, port &amp; starboard side gates</v>
      </c>
      <c r="O546" t="str">
        <v>Guard wires across bow and stern</v>
      </c>
      <c r="P546" t="str">
        <v>Windlass, 10mm gypsy &amp; hand-held remote</v>
      </c>
      <c r="Q546" t="str">
        <v>Anchor bow roller fitting</v>
      </c>
      <c r="R546" t="str">
        <v>Anchor chain stopper</v>
      </c>
      <c r="S546" t="str">
        <v>Life raft locker with convertible fore/aft seat bolster</v>
      </c>
      <c r="T546" t="str">
        <v>Backrest s/s railing</v>
      </c>
      <c r="U546" t="str">
        <v>Sliding companionway door/window</v>
      </c>
      <c r="V546" t="str">
        <v>Sliding hatch over forward cockpit steps</v>
      </c>
      <c r="W546" t="str">
        <v>Hardtop over forward and aft cockpit complete with LED lighting</v>
      </c>
      <c r="X546" t="str">
        <v>Hardtop bimini over helm with supports and LED light</v>
      </c>
      <c r="Y546" t="str">
        <v>Hull windows</v>
      </c>
      <c r="Z546" t="str">
        <v>Folding swimming ladder c/w teak steps</v>
      </c>
      <c r="AA546" t="str">
        <v>Emergency ladder on port transom</v>
      </c>
      <c r="AB546" t="str">
        <v>Aft Cockpit table</v>
      </c>
      <c r="AC546" t="str">
        <v>Wetbar</v>
      </c>
      <c r="AD546" t="str">
        <v>Fold down Forward Cockpit table</v>
      </c>
      <c r="AE546" t="str">
        <v>Mainsheet system</v>
      </c>
      <c r="AF546" t="str">
        <v xml:space="preserve">Trampoline </v>
      </c>
      <c r="AG546" t="str">
        <v>Helm seat with upholstered backrest</v>
      </c>
      <c r="AH546" t="str">
        <v>Acrylic smoke grey tinted windows</v>
      </c>
      <c r="AI546" t="str">
        <v>Hardtop supports</v>
      </c>
      <c r="AJ546" t="str">
        <v>Flush Hatch over heads</v>
      </c>
      <c r="AK546" t="str">
        <v>Flush Hatch over cabins</v>
      </c>
      <c r="AL546" t="str">
        <v>Flush Hatch over port forepeak (includes mushroom cowl)</v>
      </c>
      <c r="AM546" t="str">
        <v>Portlight windscreen</v>
      </c>
      <c r="AN546" t="str">
        <v>chain plate</v>
      </c>
      <c r="AO546" t="str">
        <v>chafe plate</v>
      </c>
      <c r="AP546" t="str">
        <v>Portlight hull side</v>
      </c>
      <c r="AQ546" t="str">
        <v>Stbd hull side</v>
      </c>
      <c r="AR546" t="str">
        <v>Portlight  in transom</v>
      </c>
      <c r="AS546" t="str">
        <v>Anchor chain bin</v>
      </c>
      <c r="AT546" t="str">
        <v>Anchor/windlass locker</v>
      </c>
      <c r="AU546" t="str">
        <v>Foredeck/forward cockpit lockers</v>
      </c>
      <c r="AV546" t="str">
        <v>Forward access to foredeck c/w watertight Lewmar door</v>
      </c>
      <c r="AW546" t="str">
        <v>S/S cupholder</v>
      </c>
      <c r="AX546" t="str">
        <v>Pulpits with seats</v>
      </c>
      <c r="AY546" t="str">
        <v>Pushpits</v>
      </c>
      <c r="AZ546" t="str">
        <v>Coachroof handrails</v>
      </c>
      <c r="BA546" t="str">
        <v>Hardtop grab handles</v>
      </c>
      <c r="BB546" t="str">
        <v>Transom grab handles</v>
      </c>
      <c r="BC546" t="str">
        <v>Mooring cleats</v>
      </c>
      <c r="BD546" t="str">
        <v>Lewmar winch handles</v>
      </c>
      <c r="BE546" t="str">
        <v xml:space="preserve">Primary electric winches </v>
      </c>
      <c r="BF546" t="str">
        <v xml:space="preserve">Mainsheet winch </v>
      </c>
      <c r="BG546" t="str">
        <v>Lewmar genoa cars with pin stop</v>
      </c>
      <c r="BH546" t="str">
        <v>Lewmar genoa tracks</v>
      </c>
      <c r="BI546" t="str">
        <v>Halyard clutch at helm (mainsail)</v>
      </c>
      <c r="BJ546" t="str">
        <v>Halyard clutch at helm (gennaker)</v>
      </c>
      <c r="BK546" t="str">
        <v>Genoa sheet clutch at helm</v>
      </c>
      <c r="BL546" t="str">
        <v>Main sheet clutch at helm</v>
      </c>
      <c r="BM546" t="str">
        <v>Reef clutch at helm</v>
      </c>
      <c r="BN546" t="str">
        <v>Clutch and cleat on mast for genoa halyard</v>
      </c>
      <c r="BO546" t="str">
        <v>Furler clutch</v>
      </c>
      <c r="BP546" t="str">
        <v>Drinks holders - 2 in fwd cockpit and 1 at helm</v>
      </c>
      <c r="BQ546" t="str">
        <v>Rope bag at helm with integral winch handle pocket</v>
      </c>
      <c r="BR546" t="str">
        <v>Natural anodized mast</v>
      </c>
      <c r="BS546" t="str">
        <v>Natural anodized crossbeam c/w mooring cleats</v>
      </c>
      <c r="BT546" t="str">
        <v>Wind indicator</v>
      </c>
      <c r="BU546" t="str">
        <v>Genoa furler</v>
      </c>
      <c r="BV546" t="str">
        <v>Mainsail full battened c/w 2 rows reefs</v>
      </c>
      <c r="BW546" t="str">
        <v>Furling genoa</v>
      </c>
      <c r="BX546" t="str">
        <v>2 x Additional spare 12v wires in mast</v>
      </c>
      <c r="BY546" t="str">
        <v>Additional spare conduit with messenger in mast</v>
      </c>
      <c r="BZ546" t="str">
        <v xml:space="preserve">Main sheets </v>
      </c>
      <c r="CA546" t="str">
        <v>Genoa sheets</v>
      </c>
      <c r="CB546" t="str">
        <v>Halyards (main, genoa &amp; spare)</v>
      </c>
      <c r="CC546" t="str">
        <v>Engine Room</v>
      </c>
      <c r="CD546" t="str">
        <v>Single line reefs lead aft</v>
      </c>
      <c r="CE546" t="str">
        <v xml:space="preserve">BBQ </v>
      </c>
      <c r="CF546" t="str">
        <v>Step ladder</v>
      </c>
      <c r="CG546" t="str">
        <v>Pop up lights</v>
      </c>
      <c r="CH546" t="str">
        <v>Main boom topping lift</v>
      </c>
    </row>
    <row r="547" spans="1:86" ht="15" customHeight="1" x14ac:dyDescent="0.25">
      <c r="A547" s="131" t="s">
        <v>411</v>
      </c>
      <c r="B547" s="132"/>
      <c r="C547" s="132"/>
      <c r="D547" s="132"/>
      <c r="E547" s="132"/>
      <c r="F547" s="133"/>
      <c r="G547" s="3" t="s">
        <v>412</v>
      </c>
      <c r="H547" s="141"/>
      <c r="I547" s="142"/>
      <c r="J547" s="134" t="s">
        <v>409</v>
      </c>
      <c r="K547" s="135"/>
      <c r="L547" s="136"/>
      <c r="M547" t="str" cm="1">
        <f t="array" ref="M547:CH547">TRANSPOSE(_xlfn.UNIQUE(_xlfn._xlws.FILTER(Table4[Discipine Area],(Table4[Discipline No.]=C606)*(Table4[Discipline No.]=C606))))</f>
        <v>DECKFITTING</v>
      </c>
      <c r="N547" t="str">
        <v>Guard wires with stanchions, bases, port &amp; starboard side gates</v>
      </c>
      <c r="O547" t="str">
        <v>Guard wires across bow and stern</v>
      </c>
      <c r="P547" t="str">
        <v>Windlass, 10mm gypsy &amp; hand-held remote</v>
      </c>
      <c r="Q547" t="str">
        <v>Anchor bow roller fitting</v>
      </c>
      <c r="R547" t="str">
        <v>Anchor chain stopper</v>
      </c>
      <c r="S547" t="str">
        <v>Life raft locker with convertible fore/aft seat bolster</v>
      </c>
      <c r="T547" t="str">
        <v>Backrest s/s railing</v>
      </c>
      <c r="U547" t="str">
        <v>Sliding companionway door/window</v>
      </c>
      <c r="V547" t="str">
        <v>Sliding hatch over forward cockpit steps</v>
      </c>
      <c r="W547" t="str">
        <v>Hardtop over forward and aft cockpit complete with LED lighting</v>
      </c>
      <c r="X547" t="str">
        <v>Hardtop bimini over helm with supports and LED light</v>
      </c>
      <c r="Y547" t="str">
        <v>Hull windows</v>
      </c>
      <c r="Z547" t="str">
        <v>Folding swimming ladder c/w teak steps</v>
      </c>
      <c r="AA547" t="str">
        <v>Emergency ladder on port transom</v>
      </c>
      <c r="AB547" t="str">
        <v>Aft Cockpit table</v>
      </c>
      <c r="AC547" t="str">
        <v>Wetbar</v>
      </c>
      <c r="AD547" t="str">
        <v>Fold down Forward Cockpit table</v>
      </c>
      <c r="AE547" t="str">
        <v>Mainsheet system</v>
      </c>
      <c r="AF547" t="str">
        <v xml:space="preserve">Trampoline </v>
      </c>
      <c r="AG547" t="str">
        <v>Helm seat with upholstered backrest</v>
      </c>
      <c r="AH547" t="str">
        <v>Acrylic smoke grey tinted windows</v>
      </c>
      <c r="AI547" t="str">
        <v>Hardtop supports</v>
      </c>
      <c r="AJ547" t="str">
        <v>Flush Hatch over heads</v>
      </c>
      <c r="AK547" t="str">
        <v>Flush Hatch over cabins</v>
      </c>
      <c r="AL547" t="str">
        <v>Flush Hatch over port forepeak (includes mushroom cowl)</v>
      </c>
      <c r="AM547" t="str">
        <v>Portlight windscreen</v>
      </c>
      <c r="AN547" t="str">
        <v>chain plate</v>
      </c>
      <c r="AO547" t="str">
        <v>chafe plate</v>
      </c>
      <c r="AP547" t="str">
        <v>Portlight hull side</v>
      </c>
      <c r="AQ547" t="str">
        <v>Stbd hull side</v>
      </c>
      <c r="AR547" t="str">
        <v>Portlight  in transom</v>
      </c>
      <c r="AS547" t="str">
        <v>Anchor chain bin</v>
      </c>
      <c r="AT547" t="str">
        <v>Anchor/windlass locker</v>
      </c>
      <c r="AU547" t="str">
        <v>Foredeck/forward cockpit lockers</v>
      </c>
      <c r="AV547" t="str">
        <v>Forward access to foredeck c/w watertight Lewmar door</v>
      </c>
      <c r="AW547" t="str">
        <v>S/S cupholder</v>
      </c>
      <c r="AX547" t="str">
        <v>Pulpits with seats</v>
      </c>
      <c r="AY547" t="str">
        <v>Pushpits</v>
      </c>
      <c r="AZ547" t="str">
        <v>Coachroof handrails</v>
      </c>
      <c r="BA547" t="str">
        <v>Hardtop grab handles</v>
      </c>
      <c r="BB547" t="str">
        <v>Transom grab handles</v>
      </c>
      <c r="BC547" t="str">
        <v>Mooring cleats</v>
      </c>
      <c r="BD547" t="str">
        <v>Lewmar winch handles</v>
      </c>
      <c r="BE547" t="str">
        <v xml:space="preserve">Primary electric winches </v>
      </c>
      <c r="BF547" t="str">
        <v xml:space="preserve">Mainsheet winch </v>
      </c>
      <c r="BG547" t="str">
        <v>Lewmar genoa cars with pin stop</v>
      </c>
      <c r="BH547" t="str">
        <v>Lewmar genoa tracks</v>
      </c>
      <c r="BI547" t="str">
        <v>Halyard clutch at helm (mainsail)</v>
      </c>
      <c r="BJ547" t="str">
        <v>Halyard clutch at helm (gennaker)</v>
      </c>
      <c r="BK547" t="str">
        <v>Genoa sheet clutch at helm</v>
      </c>
      <c r="BL547" t="str">
        <v>Main sheet clutch at helm</v>
      </c>
      <c r="BM547" t="str">
        <v>Reef clutch at helm</v>
      </c>
      <c r="BN547" t="str">
        <v>Clutch and cleat on mast for genoa halyard</v>
      </c>
      <c r="BO547" t="str">
        <v>Furler clutch</v>
      </c>
      <c r="BP547" t="str">
        <v>Drinks holders - 2 in fwd cockpit and 1 at helm</v>
      </c>
      <c r="BQ547" t="str">
        <v>Rope bag at helm with integral winch handle pocket</v>
      </c>
      <c r="BR547" t="str">
        <v>Natural anodized mast</v>
      </c>
      <c r="BS547" t="str">
        <v>Natural anodized crossbeam c/w mooring cleats</v>
      </c>
      <c r="BT547" t="str">
        <v>Wind indicator</v>
      </c>
      <c r="BU547" t="str">
        <v>Genoa furler</v>
      </c>
      <c r="BV547" t="str">
        <v>Mainsail full battened c/w 2 rows reefs</v>
      </c>
      <c r="BW547" t="str">
        <v>Furling genoa</v>
      </c>
      <c r="BX547" t="str">
        <v>2 x Additional spare 12v wires in mast</v>
      </c>
      <c r="BY547" t="str">
        <v>Additional spare conduit with messenger in mast</v>
      </c>
      <c r="BZ547" t="str">
        <v xml:space="preserve">Main sheets </v>
      </c>
      <c r="CA547" t="str">
        <v>Genoa sheets</v>
      </c>
      <c r="CB547" t="str">
        <v>Halyards (main, genoa &amp; spare)</v>
      </c>
      <c r="CC547" t="str">
        <v>Engine Room</v>
      </c>
      <c r="CD547" t="str">
        <v>Single line reefs lead aft</v>
      </c>
      <c r="CE547" t="str">
        <v xml:space="preserve">BBQ </v>
      </c>
      <c r="CF547" t="str">
        <v>Step ladder</v>
      </c>
      <c r="CG547" t="str">
        <v>Pop up lights</v>
      </c>
      <c r="CH547" t="str">
        <v>Main boom topping lift</v>
      </c>
    </row>
    <row r="548" spans="1:86" ht="15" customHeight="1" x14ac:dyDescent="0.25">
      <c r="A548" s="127" t="s">
        <v>0</v>
      </c>
      <c r="B548" s="127" t="s">
        <v>1</v>
      </c>
      <c r="C548" s="129" t="s">
        <v>2</v>
      </c>
      <c r="D548" s="129" t="s">
        <v>3</v>
      </c>
      <c r="E548" s="129" t="s">
        <v>4</v>
      </c>
      <c r="F548" s="129" t="s">
        <v>410</v>
      </c>
      <c r="G548" s="139" t="s">
        <v>216</v>
      </c>
      <c r="H548" s="139" t="s">
        <v>6</v>
      </c>
      <c r="I548" s="139" t="s">
        <v>7</v>
      </c>
      <c r="J548" s="137" t="s">
        <v>8</v>
      </c>
      <c r="K548" s="138" t="s">
        <v>9</v>
      </c>
      <c r="L548" s="138"/>
      <c r="M548" t="str" cm="1">
        <f t="array" ref="M548:CH548">TRANSPOSE(_xlfn.UNIQUE(_xlfn._xlws.FILTER(Table4[Discipine Area],(Table4[Discipline No.]=C607)*(Table4[Discipline No.]=C607))))</f>
        <v>DECKFITTING</v>
      </c>
      <c r="N548" t="str">
        <v>Guard wires with stanchions, bases, port &amp; starboard side gates</v>
      </c>
      <c r="O548" t="str">
        <v>Guard wires across bow and stern</v>
      </c>
      <c r="P548" t="str">
        <v>Windlass, 10mm gypsy &amp; hand-held remote</v>
      </c>
      <c r="Q548" t="str">
        <v>Anchor bow roller fitting</v>
      </c>
      <c r="R548" t="str">
        <v>Anchor chain stopper</v>
      </c>
      <c r="S548" t="str">
        <v>Life raft locker with convertible fore/aft seat bolster</v>
      </c>
      <c r="T548" t="str">
        <v>Backrest s/s railing</v>
      </c>
      <c r="U548" t="str">
        <v>Sliding companionway door/window</v>
      </c>
      <c r="V548" t="str">
        <v>Sliding hatch over forward cockpit steps</v>
      </c>
      <c r="W548" t="str">
        <v>Hardtop over forward and aft cockpit complete with LED lighting</v>
      </c>
      <c r="X548" t="str">
        <v>Hardtop bimini over helm with supports and LED light</v>
      </c>
      <c r="Y548" t="str">
        <v>Hull windows</v>
      </c>
      <c r="Z548" t="str">
        <v>Folding swimming ladder c/w teak steps</v>
      </c>
      <c r="AA548" t="str">
        <v>Emergency ladder on port transom</v>
      </c>
      <c r="AB548" t="str">
        <v>Aft Cockpit table</v>
      </c>
      <c r="AC548" t="str">
        <v>Wetbar</v>
      </c>
      <c r="AD548" t="str">
        <v>Fold down Forward Cockpit table</v>
      </c>
      <c r="AE548" t="str">
        <v>Mainsheet system</v>
      </c>
      <c r="AF548" t="str">
        <v xml:space="preserve">Trampoline </v>
      </c>
      <c r="AG548" t="str">
        <v>Helm seat with upholstered backrest</v>
      </c>
      <c r="AH548" t="str">
        <v>Acrylic smoke grey tinted windows</v>
      </c>
      <c r="AI548" t="str">
        <v>Hardtop supports</v>
      </c>
      <c r="AJ548" t="str">
        <v>Flush Hatch over heads</v>
      </c>
      <c r="AK548" t="str">
        <v>Flush Hatch over cabins</v>
      </c>
      <c r="AL548" t="str">
        <v>Flush Hatch over port forepeak (includes mushroom cowl)</v>
      </c>
      <c r="AM548" t="str">
        <v>Portlight windscreen</v>
      </c>
      <c r="AN548" t="str">
        <v>chain plate</v>
      </c>
      <c r="AO548" t="str">
        <v>chafe plate</v>
      </c>
      <c r="AP548" t="str">
        <v>Portlight hull side</v>
      </c>
      <c r="AQ548" t="str">
        <v>Stbd hull side</v>
      </c>
      <c r="AR548" t="str">
        <v>Portlight  in transom</v>
      </c>
      <c r="AS548" t="str">
        <v>Anchor chain bin</v>
      </c>
      <c r="AT548" t="str">
        <v>Anchor/windlass locker</v>
      </c>
      <c r="AU548" t="str">
        <v>Foredeck/forward cockpit lockers</v>
      </c>
      <c r="AV548" t="str">
        <v>Forward access to foredeck c/w watertight Lewmar door</v>
      </c>
      <c r="AW548" t="str">
        <v>S/S cupholder</v>
      </c>
      <c r="AX548" t="str">
        <v>Pulpits with seats</v>
      </c>
      <c r="AY548" t="str">
        <v>Pushpits</v>
      </c>
      <c r="AZ548" t="str">
        <v>Coachroof handrails</v>
      </c>
      <c r="BA548" t="str">
        <v>Hardtop grab handles</v>
      </c>
      <c r="BB548" t="str">
        <v>Transom grab handles</v>
      </c>
      <c r="BC548" t="str">
        <v>Mooring cleats</v>
      </c>
      <c r="BD548" t="str">
        <v>Lewmar winch handles</v>
      </c>
      <c r="BE548" t="str">
        <v xml:space="preserve">Primary electric winches </v>
      </c>
      <c r="BF548" t="str">
        <v xml:space="preserve">Mainsheet winch </v>
      </c>
      <c r="BG548" t="str">
        <v>Lewmar genoa cars with pin stop</v>
      </c>
      <c r="BH548" t="str">
        <v>Lewmar genoa tracks</v>
      </c>
      <c r="BI548" t="str">
        <v>Halyard clutch at helm (mainsail)</v>
      </c>
      <c r="BJ548" t="str">
        <v>Halyard clutch at helm (gennaker)</v>
      </c>
      <c r="BK548" t="str">
        <v>Genoa sheet clutch at helm</v>
      </c>
      <c r="BL548" t="str">
        <v>Main sheet clutch at helm</v>
      </c>
      <c r="BM548" t="str">
        <v>Reef clutch at helm</v>
      </c>
      <c r="BN548" t="str">
        <v>Clutch and cleat on mast for genoa halyard</v>
      </c>
      <c r="BO548" t="str">
        <v>Furler clutch</v>
      </c>
      <c r="BP548" t="str">
        <v>Drinks holders - 2 in fwd cockpit and 1 at helm</v>
      </c>
      <c r="BQ548" t="str">
        <v>Rope bag at helm with integral winch handle pocket</v>
      </c>
      <c r="BR548" t="str">
        <v>Natural anodized mast</v>
      </c>
      <c r="BS548" t="str">
        <v>Natural anodized crossbeam c/w mooring cleats</v>
      </c>
      <c r="BT548" t="str">
        <v>Wind indicator</v>
      </c>
      <c r="BU548" t="str">
        <v>Genoa furler</v>
      </c>
      <c r="BV548" t="str">
        <v>Mainsail full battened c/w 2 rows reefs</v>
      </c>
      <c r="BW548" t="str">
        <v>Furling genoa</v>
      </c>
      <c r="BX548" t="str">
        <v>2 x Additional spare 12v wires in mast</v>
      </c>
      <c r="BY548" t="str">
        <v>Additional spare conduit with messenger in mast</v>
      </c>
      <c r="BZ548" t="str">
        <v xml:space="preserve">Main sheets </v>
      </c>
      <c r="CA548" t="str">
        <v>Genoa sheets</v>
      </c>
      <c r="CB548" t="str">
        <v>Halyards (main, genoa &amp; spare)</v>
      </c>
      <c r="CC548" t="str">
        <v>Engine Room</v>
      </c>
      <c r="CD548" t="str">
        <v>Single line reefs lead aft</v>
      </c>
      <c r="CE548" t="str">
        <v xml:space="preserve">BBQ </v>
      </c>
      <c r="CF548" t="str">
        <v>Step ladder</v>
      </c>
      <c r="CG548" t="str">
        <v>Pop up lights</v>
      </c>
      <c r="CH548" t="str">
        <v>Main boom topping lift</v>
      </c>
    </row>
    <row r="549" spans="1:86" ht="15" customHeight="1" x14ac:dyDescent="0.25">
      <c r="A549" s="128"/>
      <c r="B549" s="128"/>
      <c r="C549" s="130"/>
      <c r="D549" s="130"/>
      <c r="E549" s="130"/>
      <c r="F549" s="130"/>
      <c r="G549" s="140"/>
      <c r="H549" s="140"/>
      <c r="I549" s="140"/>
      <c r="J549" s="137"/>
      <c r="K549" s="78" t="s">
        <v>10</v>
      </c>
      <c r="L549" s="78" t="s">
        <v>11</v>
      </c>
      <c r="M549" t="str" cm="1">
        <f t="array" ref="M549:AZ549">TRANSPOSE(_xlfn.UNIQUE(_xlfn._xlws.FILTER(Table4[Discipine Area],(Table4[Discipline No.]=C608)*(Table4[Discipline No.]=C608))))</f>
        <v>Exterior</v>
      </c>
      <c r="N549" t="str">
        <v>Fwd area</v>
      </c>
      <c r="O549" t="str">
        <v>Midship area</v>
      </c>
      <c r="P549" t="str">
        <v>Aft area</v>
      </c>
      <c r="Q549" t="str">
        <v>window surround</v>
      </c>
      <c r="R549" t="str">
        <v>Bows</v>
      </c>
      <c r="S549" t="str">
        <v>fwd deck steps</v>
      </c>
      <c r="T549" t="str">
        <v>Deck flange</v>
      </c>
      <c r="U549" t="str">
        <v>Waterchannel</v>
      </c>
      <c r="V549" t="str">
        <v>Helmstation</v>
      </c>
      <c r="W549" t="str">
        <v>window module</v>
      </c>
      <c r="X549" t="str">
        <v>deck Join</v>
      </c>
      <c r="Y549" t="str">
        <v>side deck step</v>
      </c>
      <c r="Z549" t="str">
        <v>Bimini</v>
      </c>
      <c r="AA549" t="str">
        <v>Helmstation steps</v>
      </c>
      <c r="AB549" t="str">
        <v>toe rail</v>
      </c>
      <c r="AC549" t="str">
        <v>Inboard liner</v>
      </c>
      <c r="AD549" t="str">
        <v>Settee</v>
      </c>
      <c r="AE549" t="str">
        <v>Transom</v>
      </c>
      <c r="AF549" t="str">
        <v>Floating step</v>
      </c>
      <c r="AG549" t="str">
        <v>Locker lids</v>
      </c>
      <c r="AH549" t="str">
        <v>Table</v>
      </c>
      <c r="AI549" t="str">
        <v>Ceiling</v>
      </c>
      <c r="AJ549" t="str">
        <v>Targawing</v>
      </c>
      <c r="AK549" t="str">
        <v>Eyebrow</v>
      </c>
      <c r="AL549" t="str">
        <v>Decklid</v>
      </c>
      <c r="AM549" t="str">
        <v>Skylight</v>
      </c>
      <c r="AN549" t="str">
        <v>Floor</v>
      </c>
      <c r="AO549" t="str">
        <v>Flybridge steps</v>
      </c>
      <c r="AP549" t="str">
        <v>INTERIOR</v>
      </c>
      <c r="AQ549" t="str">
        <v>Stowage space under floorboards</v>
      </c>
      <c r="AR549" t="str">
        <v>Door surround</v>
      </c>
      <c r="AS549" t="str">
        <v>Staircase</v>
      </c>
      <c r="AT549" t="str">
        <v>Plinth/Skirting</v>
      </c>
      <c r="AU549" t="str">
        <v>Ceiling Liner</v>
      </c>
      <c r="AV549" t="str">
        <v>BBQ Locker</v>
      </c>
      <c r="AW549" t="str">
        <v>Bunk Liners</v>
      </c>
      <c r="AX549" t="str">
        <v>Basin module</v>
      </c>
      <c r="AY549" t="str">
        <v>Shower bulkhead module</v>
      </c>
      <c r="AZ549" t="str">
        <v>Heads bulkhead module</v>
      </c>
    </row>
    <row r="550" spans="1:86" ht="15" customHeight="1" x14ac:dyDescent="0.25">
      <c r="A550" s="9"/>
      <c r="B550" s="113" t="s">
        <v>651</v>
      </c>
      <c r="C550" s="9"/>
      <c r="D550" s="74"/>
      <c r="E550" s="73"/>
      <c r="F550" s="73"/>
      <c r="G550" s="74"/>
      <c r="H550" s="74"/>
      <c r="I550" s="73"/>
      <c r="J550" s="73"/>
      <c r="K550" s="73"/>
      <c r="L550" s="3"/>
      <c r="M550" t="str" cm="1">
        <f t="array" ref="M550:CH550">TRANSPOSE(_xlfn.UNIQUE(_xlfn._xlws.FILTER(Table4[Discipine Area],(Table4[Discipline No.]=C609)*(Table4[Discipline No.]=C609))))</f>
        <v>DECKFITTING</v>
      </c>
      <c r="N550" t="str">
        <v>Guard wires with stanchions, bases, port &amp; starboard side gates</v>
      </c>
      <c r="O550" t="str">
        <v>Guard wires across bow and stern</v>
      </c>
      <c r="P550" t="str">
        <v>Windlass, 10mm gypsy &amp; hand-held remote</v>
      </c>
      <c r="Q550" t="str">
        <v>Anchor bow roller fitting</v>
      </c>
      <c r="R550" t="str">
        <v>Anchor chain stopper</v>
      </c>
      <c r="S550" t="str">
        <v>Life raft locker with convertible fore/aft seat bolster</v>
      </c>
      <c r="T550" t="str">
        <v>Backrest s/s railing</v>
      </c>
      <c r="U550" t="str">
        <v>Sliding companionway door/window</v>
      </c>
      <c r="V550" t="str">
        <v>Sliding hatch over forward cockpit steps</v>
      </c>
      <c r="W550" t="str">
        <v>Hardtop over forward and aft cockpit complete with LED lighting</v>
      </c>
      <c r="X550" t="str">
        <v>Hardtop bimini over helm with supports and LED light</v>
      </c>
      <c r="Y550" t="str">
        <v>Hull windows</v>
      </c>
      <c r="Z550" t="str">
        <v>Folding swimming ladder c/w teak steps</v>
      </c>
      <c r="AA550" t="str">
        <v>Emergency ladder on port transom</v>
      </c>
      <c r="AB550" t="str">
        <v>Aft Cockpit table</v>
      </c>
      <c r="AC550" t="str">
        <v>Wetbar</v>
      </c>
      <c r="AD550" t="str">
        <v>Fold down Forward Cockpit table</v>
      </c>
      <c r="AE550" t="str">
        <v>Mainsheet system</v>
      </c>
      <c r="AF550" t="str">
        <v xml:space="preserve">Trampoline </v>
      </c>
      <c r="AG550" t="str">
        <v>Helm seat with upholstered backrest</v>
      </c>
      <c r="AH550" t="str">
        <v>Acrylic smoke grey tinted windows</v>
      </c>
      <c r="AI550" t="str">
        <v>Hardtop supports</v>
      </c>
      <c r="AJ550" t="str">
        <v>Flush Hatch over heads</v>
      </c>
      <c r="AK550" t="str">
        <v>Flush Hatch over cabins</v>
      </c>
      <c r="AL550" t="str">
        <v>Flush Hatch over port forepeak (includes mushroom cowl)</v>
      </c>
      <c r="AM550" t="str">
        <v>Portlight windscreen</v>
      </c>
      <c r="AN550" t="str">
        <v>chain plate</v>
      </c>
      <c r="AO550" t="str">
        <v>chafe plate</v>
      </c>
      <c r="AP550" t="str">
        <v>Portlight hull side</v>
      </c>
      <c r="AQ550" t="str">
        <v>Stbd hull side</v>
      </c>
      <c r="AR550" t="str">
        <v>Portlight  in transom</v>
      </c>
      <c r="AS550" t="str">
        <v>Anchor chain bin</v>
      </c>
      <c r="AT550" t="str">
        <v>Anchor/windlass locker</v>
      </c>
      <c r="AU550" t="str">
        <v>Foredeck/forward cockpit lockers</v>
      </c>
      <c r="AV550" t="str">
        <v>Forward access to foredeck c/w watertight Lewmar door</v>
      </c>
      <c r="AW550" t="str">
        <v>S/S cupholder</v>
      </c>
      <c r="AX550" t="str">
        <v>Pulpits with seats</v>
      </c>
      <c r="AY550" t="str">
        <v>Pushpits</v>
      </c>
      <c r="AZ550" t="str">
        <v>Coachroof handrails</v>
      </c>
      <c r="BA550" t="str">
        <v>Hardtop grab handles</v>
      </c>
      <c r="BB550" t="str">
        <v>Transom grab handles</v>
      </c>
      <c r="BC550" t="str">
        <v>Mooring cleats</v>
      </c>
      <c r="BD550" t="str">
        <v>Lewmar winch handles</v>
      </c>
      <c r="BE550" t="str">
        <v xml:space="preserve">Primary electric winches </v>
      </c>
      <c r="BF550" t="str">
        <v xml:space="preserve">Mainsheet winch </v>
      </c>
      <c r="BG550" t="str">
        <v>Lewmar genoa cars with pin stop</v>
      </c>
      <c r="BH550" t="str">
        <v>Lewmar genoa tracks</v>
      </c>
      <c r="BI550" t="str">
        <v>Halyard clutch at helm (mainsail)</v>
      </c>
      <c r="BJ550" t="str">
        <v>Halyard clutch at helm (gennaker)</v>
      </c>
      <c r="BK550" t="str">
        <v>Genoa sheet clutch at helm</v>
      </c>
      <c r="BL550" t="str">
        <v>Main sheet clutch at helm</v>
      </c>
      <c r="BM550" t="str">
        <v>Reef clutch at helm</v>
      </c>
      <c r="BN550" t="str">
        <v>Clutch and cleat on mast for genoa halyard</v>
      </c>
      <c r="BO550" t="str">
        <v>Furler clutch</v>
      </c>
      <c r="BP550" t="str">
        <v>Drinks holders - 2 in fwd cockpit and 1 at helm</v>
      </c>
      <c r="BQ550" t="str">
        <v>Rope bag at helm with integral winch handle pocket</v>
      </c>
      <c r="BR550" t="str">
        <v>Natural anodized mast</v>
      </c>
      <c r="BS550" t="str">
        <v>Natural anodized crossbeam c/w mooring cleats</v>
      </c>
      <c r="BT550" t="str">
        <v>Wind indicator</v>
      </c>
      <c r="BU550" t="str">
        <v>Genoa furler</v>
      </c>
      <c r="BV550" t="str">
        <v>Mainsail full battened c/w 2 rows reefs</v>
      </c>
      <c r="BW550" t="str">
        <v>Furling genoa</v>
      </c>
      <c r="BX550" t="str">
        <v>2 x Additional spare 12v wires in mast</v>
      </c>
      <c r="BY550" t="str">
        <v>Additional spare conduit with messenger in mast</v>
      </c>
      <c r="BZ550" t="str">
        <v xml:space="preserve">Main sheets </v>
      </c>
      <c r="CA550" t="str">
        <v>Genoa sheets</v>
      </c>
      <c r="CB550" t="str">
        <v>Halyards (main, genoa &amp; spare)</v>
      </c>
      <c r="CC550" t="str">
        <v>Engine Room</v>
      </c>
      <c r="CD550" t="str">
        <v>Single line reefs lead aft</v>
      </c>
      <c r="CE550" t="str">
        <v xml:space="preserve">BBQ </v>
      </c>
      <c r="CF550" t="str">
        <v>Step ladder</v>
      </c>
      <c r="CG550" t="str">
        <v>Pop up lights</v>
      </c>
      <c r="CH550" t="str">
        <v>Main boom topping lift</v>
      </c>
    </row>
    <row r="551" spans="1:86" x14ac:dyDescent="0.25">
      <c r="A551" s="9"/>
      <c r="B551" s="115"/>
      <c r="C551" s="9">
        <v>3</v>
      </c>
      <c r="D551" s="74" t="s">
        <v>365</v>
      </c>
      <c r="E551" s="73" t="s">
        <v>301</v>
      </c>
      <c r="F551" s="73"/>
      <c r="G551" s="74" t="s">
        <v>654</v>
      </c>
      <c r="H551" s="74"/>
      <c r="I551" s="73"/>
      <c r="J551" s="73"/>
      <c r="K551" s="73"/>
      <c r="L551" s="3"/>
      <c r="M551" t="e" cm="1" vm="1">
        <f t="array" ref="M551">TRANSPOSE(_xlfn.UNIQUE(_xlfn._xlws.FILTER(Table4[Discipine Area],(Table4[Discipline No.]=C610)*(Table4[Discipline No.]=C610))))</f>
        <v>#VALUE!</v>
      </c>
    </row>
    <row r="552" spans="1:86" x14ac:dyDescent="0.25">
      <c r="A552" s="9"/>
      <c r="B552" s="115"/>
      <c r="C552" s="9">
        <v>3</v>
      </c>
      <c r="D552" s="74" t="s">
        <v>365</v>
      </c>
      <c r="E552" s="73" t="s">
        <v>301</v>
      </c>
      <c r="F552" s="73"/>
      <c r="G552" s="74" t="s">
        <v>655</v>
      </c>
      <c r="H552" s="74"/>
      <c r="I552" s="73"/>
      <c r="J552" s="73"/>
      <c r="K552" s="73"/>
      <c r="L552" s="3"/>
      <c r="M552" t="e" cm="1" vm="1">
        <f t="array" ref="M552">TRANSPOSE(_xlfn.UNIQUE(_xlfn._xlws.FILTER(Table4[Discipine Area],(Table4[Discipline No.]=C611)*(Table4[Discipline No.]=C611))))</f>
        <v>#VALUE!</v>
      </c>
    </row>
    <row r="553" spans="1:86" ht="30" x14ac:dyDescent="0.25">
      <c r="A553" s="9"/>
      <c r="B553" s="118"/>
      <c r="C553" s="9">
        <v>3</v>
      </c>
      <c r="D553" s="74" t="s">
        <v>262</v>
      </c>
      <c r="E553" s="73" t="s">
        <v>215</v>
      </c>
      <c r="F553" s="73"/>
      <c r="G553" s="74" t="s">
        <v>656</v>
      </c>
      <c r="H553" s="74"/>
      <c r="I553" s="73"/>
      <c r="J553" s="73"/>
      <c r="K553" s="73"/>
      <c r="L553" s="3"/>
      <c r="M553" t="e" cm="1" vm="1">
        <f t="array" ref="M553">TRANSPOSE(_xlfn.UNIQUE(_xlfn._xlws.FILTER(Table4[Discipine Area],(Table4[Discipline No.]=C612)*(Table4[Discipline No.]=C612))))</f>
        <v>#VALUE!</v>
      </c>
    </row>
    <row r="554" spans="1:86" ht="30" x14ac:dyDescent="0.25">
      <c r="A554" s="9"/>
      <c r="B554" s="118"/>
      <c r="C554" s="9">
        <v>3</v>
      </c>
      <c r="D554" s="74" t="s">
        <v>313</v>
      </c>
      <c r="E554" s="73" t="s">
        <v>299</v>
      </c>
      <c r="F554" s="73"/>
      <c r="G554" s="74" t="s">
        <v>657</v>
      </c>
      <c r="H554" s="74"/>
      <c r="I554" s="73"/>
      <c r="J554" s="73"/>
      <c r="K554" s="73"/>
      <c r="L554" s="3"/>
      <c r="M554" t="e" cm="1" vm="1">
        <f t="array" ref="M554">TRANSPOSE(_xlfn.UNIQUE(_xlfn._xlws.FILTER(Table4[Discipine Area],(Table4[Discipline No.]=C613)*(Table4[Discipline No.]=C613))))</f>
        <v>#VALUE!</v>
      </c>
    </row>
    <row r="555" spans="1:86" x14ac:dyDescent="0.25">
      <c r="A555" s="9"/>
      <c r="B555" s="116"/>
      <c r="C555" s="9">
        <v>3</v>
      </c>
      <c r="D555" s="74" t="s">
        <v>336</v>
      </c>
      <c r="E555" s="73" t="s">
        <v>299</v>
      </c>
      <c r="F555" s="73"/>
      <c r="G555" s="74" t="s">
        <v>658</v>
      </c>
      <c r="H555" s="74"/>
      <c r="I555" s="73"/>
      <c r="J555" s="73"/>
      <c r="K555" s="73"/>
      <c r="L555" s="3"/>
      <c r="M555" t="e" cm="1" vm="1">
        <f t="array" ref="M555">TRANSPOSE(_xlfn.UNIQUE(_xlfn._xlws.FILTER(Table4[Discipine Area],(Table4[Discipline No.]=C614)*(Table4[Discipline No.]=C614))))</f>
        <v>#VALUE!</v>
      </c>
    </row>
    <row r="556" spans="1:86" x14ac:dyDescent="0.25">
      <c r="A556" s="9"/>
      <c r="B556" s="118"/>
      <c r="C556" s="9">
        <v>3</v>
      </c>
      <c r="D556" s="74" t="s">
        <v>338</v>
      </c>
      <c r="E556" s="73" t="s">
        <v>301</v>
      </c>
      <c r="F556" s="73"/>
      <c r="G556" s="74" t="s">
        <v>659</v>
      </c>
      <c r="H556" s="74"/>
      <c r="I556" s="73"/>
      <c r="J556" s="73"/>
      <c r="K556" s="73"/>
      <c r="L556" s="3"/>
      <c r="M556" t="e" cm="1" vm="1">
        <f t="array" ref="M556">TRANSPOSE(_xlfn.UNIQUE(_xlfn._xlws.FILTER(Table4[Discipine Area],(Table4[Discipline No.]=C615)*(Table4[Discipline No.]=C615))))</f>
        <v>#VALUE!</v>
      </c>
    </row>
    <row r="557" spans="1:86" x14ac:dyDescent="0.25">
      <c r="A557" s="9"/>
      <c r="B557" s="150" t="s">
        <v>652</v>
      </c>
      <c r="C557" s="9">
        <v>9</v>
      </c>
      <c r="D557" s="74" t="s">
        <v>20</v>
      </c>
      <c r="E557" s="73" t="s">
        <v>298</v>
      </c>
      <c r="F557" s="73"/>
      <c r="G557" s="74" t="s">
        <v>660</v>
      </c>
      <c r="H557" s="74"/>
      <c r="I557" s="73"/>
      <c r="J557" s="73"/>
      <c r="K557" s="73"/>
      <c r="L557" s="3"/>
      <c r="M557" t="e" cm="1" vm="1">
        <f t="array" ref="M557">TRANSPOSE(_xlfn.UNIQUE(_xlfn._xlws.FILTER(Table4[Discipine Area],(Table4[Discipline No.]=C616)*(Table4[Discipline No.]=C616))))</f>
        <v>#VALUE!</v>
      </c>
    </row>
    <row r="558" spans="1:86" ht="30" x14ac:dyDescent="0.25">
      <c r="A558" s="9"/>
      <c r="B558" s="118"/>
      <c r="C558" s="9">
        <v>3</v>
      </c>
      <c r="D558" s="74" t="s">
        <v>104</v>
      </c>
      <c r="E558" s="73" t="s">
        <v>217</v>
      </c>
      <c r="F558" s="73"/>
      <c r="G558" s="74" t="s">
        <v>661</v>
      </c>
      <c r="H558" s="74"/>
      <c r="I558" s="73"/>
      <c r="J558" s="73"/>
      <c r="K558" s="73"/>
      <c r="L558" s="3"/>
    </row>
    <row r="559" spans="1:86" ht="30" x14ac:dyDescent="0.25">
      <c r="A559" s="9"/>
      <c r="B559" s="118"/>
      <c r="C559" s="9">
        <v>3</v>
      </c>
      <c r="D559" s="74" t="s">
        <v>334</v>
      </c>
      <c r="E559" s="73" t="s">
        <v>217</v>
      </c>
      <c r="F559" s="73"/>
      <c r="G559" s="74" t="s">
        <v>662</v>
      </c>
      <c r="H559" s="74"/>
      <c r="I559" s="73"/>
      <c r="J559" s="73"/>
      <c r="K559" s="73"/>
      <c r="L559" s="3"/>
    </row>
    <row r="560" spans="1:86" x14ac:dyDescent="0.25">
      <c r="A560" s="9"/>
      <c r="B560" s="118"/>
      <c r="C560" s="9"/>
      <c r="D560" s="74"/>
      <c r="E560" s="73"/>
      <c r="F560" s="73"/>
      <c r="G560" s="74"/>
      <c r="H560" s="74"/>
      <c r="I560" s="73"/>
      <c r="J560" s="73"/>
      <c r="K560" s="73"/>
      <c r="L560" s="3"/>
    </row>
    <row r="561" spans="1:12" x14ac:dyDescent="0.25">
      <c r="A561" s="9"/>
      <c r="B561" s="118"/>
      <c r="C561" s="9"/>
      <c r="D561" s="74"/>
      <c r="E561" s="73"/>
      <c r="F561" s="73"/>
      <c r="G561" s="74"/>
      <c r="H561" s="74"/>
      <c r="I561" s="73"/>
      <c r="J561" s="73"/>
      <c r="K561" s="73"/>
      <c r="L561" s="3"/>
    </row>
    <row r="562" spans="1:12" x14ac:dyDescent="0.25">
      <c r="A562" s="9"/>
      <c r="B562" s="118"/>
      <c r="C562" s="9"/>
      <c r="D562" s="74"/>
      <c r="E562" s="73"/>
      <c r="F562" s="73"/>
      <c r="G562" s="74"/>
      <c r="H562" s="74"/>
      <c r="I562" s="73"/>
      <c r="J562" s="73"/>
      <c r="K562" s="73"/>
      <c r="L562" s="3"/>
    </row>
    <row r="563" spans="1:12" x14ac:dyDescent="0.25">
      <c r="A563" s="9"/>
      <c r="B563" s="150" t="s">
        <v>653</v>
      </c>
      <c r="C563" s="9"/>
      <c r="D563" s="74"/>
      <c r="E563" s="73"/>
      <c r="F563" s="73"/>
      <c r="G563" s="74"/>
      <c r="H563" s="74"/>
      <c r="I563" s="73"/>
      <c r="J563" s="73"/>
      <c r="K563" s="73"/>
      <c r="L563" s="3"/>
    </row>
    <row r="564" spans="1:12" ht="30" x14ac:dyDescent="0.25">
      <c r="A564" s="9"/>
      <c r="B564" s="150" t="s">
        <v>652</v>
      </c>
      <c r="C564" s="9">
        <v>1</v>
      </c>
      <c r="D564" s="74" t="s">
        <v>262</v>
      </c>
      <c r="E564" s="73" t="s">
        <v>299</v>
      </c>
      <c r="F564" s="73"/>
      <c r="G564" s="74" t="s">
        <v>663</v>
      </c>
      <c r="H564" s="74"/>
      <c r="I564" s="73"/>
      <c r="J564" s="73"/>
      <c r="K564" s="73"/>
      <c r="L564" s="3"/>
    </row>
    <row r="565" spans="1:12" ht="30" x14ac:dyDescent="0.25">
      <c r="A565" s="9"/>
      <c r="B565" s="98"/>
      <c r="C565" s="9">
        <v>3</v>
      </c>
      <c r="D565" s="74" t="s">
        <v>112</v>
      </c>
      <c r="E565" s="73" t="s">
        <v>301</v>
      </c>
      <c r="F565" s="73"/>
      <c r="G565" s="74" t="s">
        <v>664</v>
      </c>
      <c r="H565" s="74"/>
      <c r="I565" s="73"/>
      <c r="J565" s="73"/>
      <c r="K565" s="73"/>
      <c r="L565" s="3"/>
    </row>
    <row r="566" spans="1:12" x14ac:dyDescent="0.25">
      <c r="A566" s="9"/>
      <c r="B566" s="98"/>
      <c r="C566" s="9">
        <v>3</v>
      </c>
      <c r="D566" s="74" t="s">
        <v>339</v>
      </c>
      <c r="E566" s="73" t="s">
        <v>300</v>
      </c>
      <c r="F566" s="73"/>
      <c r="G566" s="74" t="s">
        <v>665</v>
      </c>
      <c r="H566" s="74"/>
      <c r="I566" s="73"/>
      <c r="J566" s="73"/>
      <c r="K566" s="73"/>
      <c r="L566" s="3"/>
    </row>
    <row r="567" spans="1:12" ht="30" x14ac:dyDescent="0.25">
      <c r="A567" s="9"/>
      <c r="B567" s="97"/>
      <c r="C567" s="9">
        <v>3</v>
      </c>
      <c r="D567" s="74" t="s">
        <v>306</v>
      </c>
      <c r="E567" s="73" t="s">
        <v>215</v>
      </c>
      <c r="F567" s="73"/>
      <c r="G567" s="74" t="s">
        <v>666</v>
      </c>
      <c r="H567" s="74"/>
      <c r="I567" s="73"/>
      <c r="J567" s="73"/>
      <c r="K567" s="73"/>
      <c r="L567" s="3"/>
    </row>
    <row r="568" spans="1:12" ht="30" x14ac:dyDescent="0.25">
      <c r="A568" s="9"/>
      <c r="B568" s="98"/>
      <c r="C568" s="9">
        <v>9</v>
      </c>
      <c r="D568" s="74" t="s">
        <v>100</v>
      </c>
      <c r="E568" s="73" t="s">
        <v>298</v>
      </c>
      <c r="F568" s="73"/>
      <c r="G568" s="74" t="s">
        <v>667</v>
      </c>
      <c r="H568" s="74"/>
      <c r="I568" s="73"/>
      <c r="J568" s="73"/>
      <c r="K568" s="73"/>
      <c r="L568" s="3"/>
    </row>
    <row r="569" spans="1:12" ht="30" x14ac:dyDescent="0.25">
      <c r="A569" s="9"/>
      <c r="B569" s="98"/>
      <c r="C569" s="9">
        <v>3</v>
      </c>
      <c r="D569" s="74" t="s">
        <v>112</v>
      </c>
      <c r="E569" s="73" t="s">
        <v>217</v>
      </c>
      <c r="F569" s="73"/>
      <c r="G569" s="74" t="s">
        <v>668</v>
      </c>
      <c r="H569" s="74"/>
      <c r="I569" s="73"/>
      <c r="J569" s="73"/>
      <c r="K569" s="73"/>
      <c r="L569" s="3"/>
    </row>
    <row r="570" spans="1:12" x14ac:dyDescent="0.25">
      <c r="A570" s="9"/>
      <c r="B570" s="99"/>
      <c r="C570" s="9"/>
      <c r="D570" s="73"/>
      <c r="E570" s="73"/>
      <c r="F570" s="73"/>
      <c r="G570" s="74"/>
      <c r="H570" s="74"/>
      <c r="I570" s="73"/>
      <c r="J570" s="73"/>
      <c r="K570" s="73"/>
      <c r="L570" s="3"/>
    </row>
    <row r="571" spans="1:12" x14ac:dyDescent="0.25">
      <c r="A571" s="9"/>
      <c r="B571" s="99"/>
      <c r="C571" s="9"/>
      <c r="D571" s="73"/>
      <c r="E571" s="73"/>
      <c r="F571" s="73"/>
      <c r="G571" s="74"/>
      <c r="H571" s="74"/>
      <c r="I571" s="73"/>
      <c r="J571" s="73"/>
      <c r="K571" s="73"/>
      <c r="L571" s="3"/>
    </row>
    <row r="572" spans="1:12" ht="15" customHeight="1" x14ac:dyDescent="0.25">
      <c r="A572" s="9"/>
      <c r="B572" s="99"/>
      <c r="C572" s="9"/>
      <c r="D572" s="73"/>
      <c r="E572" s="73"/>
      <c r="F572" s="73"/>
      <c r="G572" s="74"/>
      <c r="H572" s="74"/>
      <c r="I572" s="73"/>
      <c r="J572" s="73"/>
      <c r="K572" s="73"/>
      <c r="L572" s="3"/>
    </row>
    <row r="573" spans="1:12" ht="15" customHeight="1" x14ac:dyDescent="0.25">
      <c r="A573" s="9"/>
      <c r="B573" s="99"/>
      <c r="C573" s="9"/>
      <c r="D573" s="73"/>
      <c r="E573" s="73"/>
      <c r="F573" s="73"/>
      <c r="G573" s="74"/>
      <c r="H573" s="74"/>
      <c r="I573" s="73"/>
      <c r="J573" s="73"/>
      <c r="K573" s="73"/>
      <c r="L573" s="3"/>
    </row>
    <row r="574" spans="1:12" ht="15" customHeight="1" x14ac:dyDescent="0.25">
      <c r="A574" s="9"/>
      <c r="B574" s="99"/>
      <c r="C574" s="9"/>
      <c r="D574" s="73"/>
      <c r="E574" s="73"/>
      <c r="F574" s="73"/>
      <c r="G574" s="74"/>
      <c r="H574" s="74"/>
      <c r="I574" s="73"/>
      <c r="J574" s="73"/>
      <c r="K574" s="73"/>
      <c r="L574" s="3"/>
    </row>
    <row r="575" spans="1:12" ht="15" customHeight="1" x14ac:dyDescent="0.25">
      <c r="A575" s="9"/>
      <c r="B575" s="99"/>
      <c r="C575" s="9"/>
      <c r="D575" s="73"/>
      <c r="E575" s="73"/>
      <c r="F575" s="73"/>
      <c r="G575" s="74"/>
      <c r="H575" s="74"/>
      <c r="I575" s="73"/>
      <c r="J575" s="73"/>
      <c r="K575" s="73"/>
      <c r="L575" s="3"/>
    </row>
    <row r="576" spans="1:12" ht="15" customHeight="1" x14ac:dyDescent="0.25">
      <c r="A576" s="9"/>
      <c r="B576" s="99"/>
      <c r="C576" s="9"/>
      <c r="D576" s="73"/>
      <c r="E576" s="73"/>
      <c r="F576" s="73"/>
      <c r="G576" s="74"/>
      <c r="H576" s="74"/>
      <c r="I576" s="73"/>
      <c r="J576" s="73"/>
      <c r="K576" s="73"/>
      <c r="L576" s="3"/>
    </row>
    <row r="577" spans="1:12" ht="15" customHeight="1" x14ac:dyDescent="0.25">
      <c r="A577" s="9"/>
      <c r="B577" s="99"/>
      <c r="C577" s="9"/>
      <c r="D577" s="73"/>
      <c r="E577" s="73"/>
      <c r="F577" s="73"/>
      <c r="G577" s="74"/>
      <c r="H577" s="74"/>
      <c r="I577" s="73"/>
      <c r="J577" s="73"/>
      <c r="K577" s="73"/>
      <c r="L577" s="3"/>
    </row>
    <row r="578" spans="1:12" ht="15" customHeight="1" x14ac:dyDescent="0.25">
      <c r="A578" s="9"/>
      <c r="B578" s="99"/>
      <c r="C578" s="9"/>
      <c r="D578" s="73"/>
      <c r="E578" s="73"/>
      <c r="F578" s="73"/>
      <c r="G578" s="74"/>
      <c r="H578" s="75"/>
      <c r="I578" s="3"/>
      <c r="J578" s="3"/>
      <c r="K578" s="3"/>
      <c r="L578" s="3"/>
    </row>
    <row r="579" spans="1:12" ht="15" customHeight="1" x14ac:dyDescent="0.25">
      <c r="A579" s="9"/>
      <c r="B579" s="99"/>
      <c r="C579" s="9"/>
      <c r="D579" s="73"/>
      <c r="E579" s="73"/>
      <c r="F579" s="73"/>
      <c r="G579" s="74"/>
      <c r="H579" s="75"/>
      <c r="I579" s="3"/>
      <c r="J579" s="3"/>
      <c r="K579" s="3"/>
      <c r="L579" s="3"/>
    </row>
    <row r="580" spans="1:12" ht="15" customHeight="1" x14ac:dyDescent="0.25">
      <c r="A580" s="9"/>
      <c r="B580" s="99"/>
      <c r="C580" s="9"/>
      <c r="D580" s="73"/>
      <c r="E580" s="73"/>
      <c r="F580" s="73"/>
      <c r="G580" s="74"/>
      <c r="H580" s="75"/>
      <c r="I580" s="3"/>
      <c r="J580" s="3"/>
      <c r="K580" s="3"/>
      <c r="L580" s="3"/>
    </row>
    <row r="581" spans="1:12" ht="15" customHeight="1" x14ac:dyDescent="0.25">
      <c r="A581" s="9"/>
      <c r="B581" s="99"/>
      <c r="C581" s="9"/>
      <c r="D581" s="73"/>
      <c r="E581" s="73"/>
      <c r="F581" s="73"/>
      <c r="G581" s="74"/>
      <c r="H581" s="75"/>
      <c r="I581" s="3"/>
      <c r="J581" s="3"/>
      <c r="K581" s="3"/>
      <c r="L581" s="3"/>
    </row>
    <row r="582" spans="1:12" ht="15" customHeight="1" x14ac:dyDescent="0.25">
      <c r="A582" s="131" t="s">
        <v>411</v>
      </c>
      <c r="B582" s="132"/>
      <c r="C582" s="132"/>
      <c r="D582" s="132"/>
      <c r="E582" s="132"/>
      <c r="F582" s="133"/>
      <c r="G582" s="3" t="s">
        <v>412</v>
      </c>
      <c r="H582" s="141"/>
      <c r="I582" s="142"/>
      <c r="J582" s="134" t="s">
        <v>409</v>
      </c>
      <c r="K582" s="135"/>
      <c r="L582" s="136"/>
    </row>
    <row r="583" spans="1:12" ht="15" customHeight="1" x14ac:dyDescent="0.25">
      <c r="A583" s="127" t="s">
        <v>0</v>
      </c>
      <c r="B583" s="127" t="s">
        <v>1</v>
      </c>
      <c r="C583" s="129" t="s">
        <v>2</v>
      </c>
      <c r="D583" s="129" t="s">
        <v>3</v>
      </c>
      <c r="E583" s="129" t="s">
        <v>4</v>
      </c>
      <c r="F583" s="129" t="s">
        <v>410</v>
      </c>
      <c r="G583" s="139" t="s">
        <v>216</v>
      </c>
      <c r="H583" s="139" t="s">
        <v>6</v>
      </c>
      <c r="I583" s="139" t="s">
        <v>7</v>
      </c>
      <c r="J583" s="137" t="s">
        <v>8</v>
      </c>
      <c r="K583" s="138" t="s">
        <v>9</v>
      </c>
      <c r="L583" s="138"/>
    </row>
    <row r="584" spans="1:12" ht="15" customHeight="1" x14ac:dyDescent="0.25">
      <c r="A584" s="128"/>
      <c r="B584" s="128"/>
      <c r="C584" s="130"/>
      <c r="D584" s="130"/>
      <c r="E584" s="130"/>
      <c r="F584" s="130"/>
      <c r="G584" s="140"/>
      <c r="H584" s="140"/>
      <c r="I584" s="140"/>
      <c r="J584" s="137"/>
      <c r="K584" s="78" t="s">
        <v>10</v>
      </c>
      <c r="L584" s="78" t="s">
        <v>11</v>
      </c>
    </row>
    <row r="585" spans="1:12" ht="15" customHeight="1" x14ac:dyDescent="0.25">
      <c r="A585" s="9"/>
      <c r="B585" s="99"/>
      <c r="C585" s="9"/>
      <c r="D585" s="73"/>
      <c r="E585" s="73"/>
      <c r="F585" s="73"/>
      <c r="G585" s="74"/>
      <c r="H585" s="74"/>
      <c r="I585" s="73"/>
      <c r="J585" s="3"/>
      <c r="K585" s="3"/>
      <c r="L585" s="3"/>
    </row>
    <row r="586" spans="1:12" x14ac:dyDescent="0.25">
      <c r="A586" s="9"/>
      <c r="B586" s="113" t="s">
        <v>19</v>
      </c>
      <c r="C586" s="9"/>
      <c r="D586" s="74"/>
      <c r="E586" s="73"/>
      <c r="F586" s="73"/>
      <c r="G586" s="74"/>
      <c r="H586" s="74"/>
      <c r="I586" s="73"/>
      <c r="J586" s="3"/>
      <c r="K586" s="3"/>
      <c r="L586" s="3"/>
    </row>
    <row r="587" spans="1:12" x14ac:dyDescent="0.25">
      <c r="A587" s="9"/>
      <c r="B587" s="115"/>
      <c r="C587" s="9">
        <v>1</v>
      </c>
      <c r="D587" s="74" t="s">
        <v>389</v>
      </c>
      <c r="E587" s="73" t="s">
        <v>296</v>
      </c>
      <c r="F587" s="73"/>
      <c r="G587" s="74" t="s">
        <v>670</v>
      </c>
      <c r="H587" s="74"/>
      <c r="I587" s="73"/>
      <c r="J587" s="3"/>
      <c r="K587" s="3"/>
      <c r="L587" s="3"/>
    </row>
    <row r="588" spans="1:12" x14ac:dyDescent="0.25">
      <c r="A588" s="9"/>
      <c r="B588" s="115"/>
      <c r="C588" s="9">
        <v>1</v>
      </c>
      <c r="D588" s="74" t="s">
        <v>32</v>
      </c>
      <c r="E588" s="73" t="s">
        <v>296</v>
      </c>
      <c r="F588" s="73"/>
      <c r="G588" s="74" t="s">
        <v>671</v>
      </c>
      <c r="H588" s="74"/>
      <c r="I588" s="73"/>
      <c r="J588" s="3"/>
      <c r="K588" s="3"/>
      <c r="L588" s="3"/>
    </row>
    <row r="589" spans="1:12" x14ac:dyDescent="0.25">
      <c r="A589" s="9"/>
      <c r="B589" s="115"/>
      <c r="C589" s="9">
        <v>8</v>
      </c>
      <c r="D589" s="74" t="s">
        <v>32</v>
      </c>
      <c r="E589" s="73" t="s">
        <v>296</v>
      </c>
      <c r="F589" s="73"/>
      <c r="G589" s="74" t="s">
        <v>672</v>
      </c>
      <c r="H589" s="74"/>
      <c r="I589" s="73"/>
      <c r="J589" s="3"/>
      <c r="K589" s="3"/>
      <c r="L589" s="3"/>
    </row>
    <row r="590" spans="1:12" ht="30" x14ac:dyDescent="0.25">
      <c r="A590" s="9"/>
      <c r="B590" s="115"/>
      <c r="C590" s="9">
        <v>1</v>
      </c>
      <c r="D590" s="74" t="s">
        <v>17</v>
      </c>
      <c r="E590" s="73" t="s">
        <v>297</v>
      </c>
      <c r="F590" s="73"/>
      <c r="G590" s="74" t="s">
        <v>673</v>
      </c>
      <c r="H590" s="74"/>
      <c r="I590" s="73"/>
      <c r="J590" s="3"/>
      <c r="K590" s="3"/>
      <c r="L590" s="3"/>
    </row>
    <row r="591" spans="1:12" x14ac:dyDescent="0.25">
      <c r="A591" s="9"/>
      <c r="B591" s="115"/>
      <c r="C591" s="9">
        <v>4</v>
      </c>
      <c r="D591" s="74" t="s">
        <v>211</v>
      </c>
      <c r="E591" s="73" t="s">
        <v>301</v>
      </c>
      <c r="F591" s="73"/>
      <c r="G591" s="74" t="s">
        <v>674</v>
      </c>
      <c r="H591" s="74"/>
      <c r="I591" s="73"/>
      <c r="J591" s="3"/>
      <c r="K591" s="3"/>
      <c r="L591" s="3"/>
    </row>
    <row r="592" spans="1:12" x14ac:dyDescent="0.25">
      <c r="A592" s="9"/>
      <c r="B592" s="118"/>
      <c r="C592" s="9">
        <v>1</v>
      </c>
      <c r="D592" s="74" t="s">
        <v>262</v>
      </c>
      <c r="E592" s="73" t="s">
        <v>217</v>
      </c>
      <c r="F592" s="73"/>
      <c r="G592" s="74" t="s">
        <v>675</v>
      </c>
      <c r="H592" s="74"/>
      <c r="I592" s="73"/>
      <c r="J592" s="3"/>
      <c r="K592" s="3"/>
      <c r="L592" s="3"/>
    </row>
    <row r="593" spans="1:12" x14ac:dyDescent="0.25">
      <c r="A593" s="9"/>
      <c r="B593" s="118"/>
      <c r="C593" s="9"/>
      <c r="D593" s="74"/>
      <c r="E593" s="73"/>
      <c r="F593" s="73"/>
      <c r="G593" s="74"/>
      <c r="H593" s="74"/>
      <c r="I593" s="73"/>
      <c r="J593" s="3"/>
      <c r="K593" s="3"/>
      <c r="L593" s="3"/>
    </row>
    <row r="594" spans="1:12" x14ac:dyDescent="0.25">
      <c r="A594" s="9"/>
      <c r="B594" s="116"/>
      <c r="C594" s="9"/>
      <c r="D594" s="74"/>
      <c r="E594" s="73"/>
      <c r="F594" s="73"/>
      <c r="G594" s="74"/>
      <c r="H594" s="74"/>
      <c r="I594" s="73"/>
      <c r="J594" s="3"/>
      <c r="K594" s="3"/>
      <c r="L594" s="3"/>
    </row>
    <row r="595" spans="1:12" x14ac:dyDescent="0.25">
      <c r="A595" s="9"/>
      <c r="B595" s="118"/>
      <c r="C595" s="9"/>
      <c r="D595" s="74"/>
      <c r="E595" s="73"/>
      <c r="F595" s="73"/>
      <c r="G595" s="74"/>
      <c r="H595" s="74"/>
      <c r="I595" s="73"/>
      <c r="J595" s="3"/>
      <c r="K595" s="3"/>
      <c r="L595" s="3"/>
    </row>
    <row r="596" spans="1:12" ht="30" x14ac:dyDescent="0.25">
      <c r="A596" s="9"/>
      <c r="B596" s="150" t="s">
        <v>669</v>
      </c>
      <c r="C596" s="9"/>
      <c r="D596" s="74"/>
      <c r="E596" s="73"/>
      <c r="F596" s="73"/>
      <c r="G596" s="74"/>
      <c r="H596" s="74"/>
      <c r="I596" s="73"/>
      <c r="J596" s="3"/>
      <c r="K596" s="3"/>
      <c r="L596" s="3"/>
    </row>
    <row r="597" spans="1:12" x14ac:dyDescent="0.25">
      <c r="A597" s="9"/>
      <c r="B597" s="118"/>
      <c r="C597" s="9">
        <v>4</v>
      </c>
      <c r="D597" s="74" t="s">
        <v>262</v>
      </c>
      <c r="E597" s="73" t="s">
        <v>299</v>
      </c>
      <c r="F597" s="73"/>
      <c r="G597" s="74" t="s">
        <v>676</v>
      </c>
      <c r="H597" s="74"/>
      <c r="I597" s="73"/>
      <c r="J597" s="3"/>
      <c r="K597" s="3"/>
      <c r="L597" s="3"/>
    </row>
    <row r="598" spans="1:12" x14ac:dyDescent="0.25">
      <c r="A598" s="9"/>
      <c r="B598" s="118"/>
      <c r="C598" s="9">
        <v>4</v>
      </c>
      <c r="D598" s="74" t="s">
        <v>310</v>
      </c>
      <c r="E598" s="73" t="s">
        <v>299</v>
      </c>
      <c r="F598" s="73"/>
      <c r="G598" s="74" t="s">
        <v>677</v>
      </c>
      <c r="H598" s="74"/>
      <c r="I598" s="73"/>
      <c r="J598" s="3"/>
      <c r="K598" s="3"/>
      <c r="L598" s="3"/>
    </row>
    <row r="599" spans="1:12" x14ac:dyDescent="0.25">
      <c r="A599" s="9"/>
      <c r="B599" s="118"/>
      <c r="C599" s="9">
        <v>1</v>
      </c>
      <c r="D599" s="74" t="s">
        <v>311</v>
      </c>
      <c r="E599" s="73" t="s">
        <v>297</v>
      </c>
      <c r="F599" s="73"/>
      <c r="G599" s="74" t="s">
        <v>678</v>
      </c>
      <c r="H599" s="74"/>
      <c r="I599" s="73"/>
      <c r="J599" s="3"/>
      <c r="K599" s="3"/>
      <c r="L599" s="3"/>
    </row>
    <row r="600" spans="1:12" ht="15" customHeight="1" x14ac:dyDescent="0.25">
      <c r="A600" s="9"/>
      <c r="B600" s="118"/>
      <c r="C600" s="9">
        <v>4</v>
      </c>
      <c r="D600" s="74" t="s">
        <v>326</v>
      </c>
      <c r="E600" s="73" t="s">
        <v>299</v>
      </c>
      <c r="F600" s="73"/>
      <c r="G600" s="74" t="s">
        <v>679</v>
      </c>
      <c r="H600" s="74"/>
      <c r="I600" s="73"/>
      <c r="J600" s="3"/>
      <c r="K600" s="3"/>
      <c r="L600" s="3"/>
    </row>
    <row r="601" spans="1:12" ht="15" customHeight="1" x14ac:dyDescent="0.25">
      <c r="A601" s="9"/>
      <c r="B601" s="118"/>
      <c r="C601" s="9">
        <v>4</v>
      </c>
      <c r="D601" s="74" t="s">
        <v>290</v>
      </c>
      <c r="E601" s="73" t="s">
        <v>298</v>
      </c>
      <c r="F601" s="73"/>
      <c r="G601" s="74" t="s">
        <v>680</v>
      </c>
      <c r="H601" s="74"/>
      <c r="I601" s="73"/>
      <c r="J601" s="3"/>
      <c r="K601" s="3"/>
      <c r="L601" s="3"/>
    </row>
    <row r="602" spans="1:12" ht="15" customHeight="1" x14ac:dyDescent="0.25">
      <c r="A602" s="9"/>
      <c r="B602" s="118"/>
      <c r="C602" s="9">
        <v>1</v>
      </c>
      <c r="D602" s="74" t="s">
        <v>39</v>
      </c>
      <c r="E602" s="73" t="s">
        <v>222</v>
      </c>
      <c r="F602" s="73"/>
      <c r="G602" s="74" t="s">
        <v>681</v>
      </c>
      <c r="H602" s="74"/>
      <c r="I602" s="73"/>
      <c r="J602" s="3"/>
      <c r="K602" s="3"/>
      <c r="L602" s="3"/>
    </row>
    <row r="603" spans="1:12" ht="15" customHeight="1" x14ac:dyDescent="0.25">
      <c r="A603" s="9"/>
      <c r="B603" s="118"/>
      <c r="C603" s="9">
        <v>1</v>
      </c>
      <c r="D603" s="74" t="s">
        <v>39</v>
      </c>
      <c r="E603" s="73" t="s">
        <v>222</v>
      </c>
      <c r="F603" s="73"/>
      <c r="G603" s="74" t="s">
        <v>682</v>
      </c>
      <c r="H603" s="74"/>
      <c r="I603" s="73"/>
      <c r="J603" s="3"/>
      <c r="K603" s="3"/>
      <c r="L603" s="3"/>
    </row>
    <row r="604" spans="1:12" ht="15" customHeight="1" x14ac:dyDescent="0.25">
      <c r="A604" s="9"/>
      <c r="B604" s="98"/>
      <c r="C604" s="9">
        <v>4</v>
      </c>
      <c r="D604" s="74" t="s">
        <v>144</v>
      </c>
      <c r="E604" s="73" t="s">
        <v>300</v>
      </c>
      <c r="F604" s="73"/>
      <c r="G604" s="74" t="s">
        <v>683</v>
      </c>
      <c r="H604" s="74"/>
      <c r="I604" s="73"/>
      <c r="J604" s="3"/>
      <c r="K604" s="3"/>
      <c r="L604" s="3"/>
    </row>
    <row r="605" spans="1:12" ht="15" customHeight="1" x14ac:dyDescent="0.25">
      <c r="A605" s="9"/>
      <c r="B605" s="97"/>
      <c r="C605" s="9">
        <v>4</v>
      </c>
      <c r="D605" s="74" t="s">
        <v>388</v>
      </c>
      <c r="E605" s="73" t="s">
        <v>362</v>
      </c>
      <c r="F605" s="73"/>
      <c r="G605" s="74" t="s">
        <v>684</v>
      </c>
      <c r="H605" s="74"/>
      <c r="I605" s="73"/>
      <c r="J605" s="3"/>
      <c r="K605" s="3"/>
      <c r="L605" s="3"/>
    </row>
    <row r="606" spans="1:12" ht="15" customHeight="1" x14ac:dyDescent="0.25">
      <c r="A606" s="9"/>
      <c r="B606" s="98"/>
      <c r="C606" s="9">
        <v>4</v>
      </c>
      <c r="D606" s="74" t="s">
        <v>44</v>
      </c>
      <c r="E606" s="73" t="s">
        <v>299</v>
      </c>
      <c r="F606" s="73"/>
      <c r="G606" s="74" t="s">
        <v>685</v>
      </c>
      <c r="H606" s="74"/>
      <c r="I606" s="73"/>
      <c r="J606" s="3"/>
      <c r="K606" s="3"/>
      <c r="L606" s="3"/>
    </row>
    <row r="607" spans="1:12" ht="15" customHeight="1" x14ac:dyDescent="0.25">
      <c r="A607" s="9"/>
      <c r="B607" s="98"/>
      <c r="C607" s="9">
        <v>4</v>
      </c>
      <c r="D607" s="74" t="s">
        <v>162</v>
      </c>
      <c r="E607" s="73" t="s">
        <v>215</v>
      </c>
      <c r="F607" s="73"/>
      <c r="G607" s="74" t="s">
        <v>686</v>
      </c>
      <c r="H607" s="74"/>
      <c r="I607" s="73"/>
      <c r="J607" s="3"/>
      <c r="K607" s="3"/>
      <c r="L607" s="3"/>
    </row>
    <row r="608" spans="1:12" ht="15" customHeight="1" x14ac:dyDescent="0.25">
      <c r="A608" s="9"/>
      <c r="B608" s="98"/>
      <c r="C608" s="9">
        <v>1</v>
      </c>
      <c r="D608" s="74" t="s">
        <v>35</v>
      </c>
      <c r="E608" s="73" t="s">
        <v>223</v>
      </c>
      <c r="F608" s="73"/>
      <c r="G608" s="74" t="s">
        <v>687</v>
      </c>
      <c r="H608" s="75"/>
      <c r="I608" s="3"/>
      <c r="J608" s="3"/>
      <c r="K608" s="3"/>
      <c r="L608" s="3"/>
    </row>
    <row r="609" spans="1:12" ht="15" customHeight="1" x14ac:dyDescent="0.25">
      <c r="A609" s="9"/>
      <c r="B609" s="98"/>
      <c r="C609" s="9">
        <v>4</v>
      </c>
      <c r="D609" s="74" t="s">
        <v>121</v>
      </c>
      <c r="E609" s="73" t="s">
        <v>299</v>
      </c>
      <c r="F609" s="73"/>
      <c r="G609" s="74" t="s">
        <v>688</v>
      </c>
      <c r="H609" s="75"/>
      <c r="I609" s="3"/>
      <c r="J609" s="3"/>
      <c r="K609" s="3"/>
      <c r="L609" s="3"/>
    </row>
    <row r="610" spans="1:12" ht="15" customHeight="1" x14ac:dyDescent="0.25">
      <c r="A610" s="9"/>
      <c r="B610" s="99"/>
      <c r="C610" s="76"/>
      <c r="D610" s="3"/>
      <c r="E610" s="3"/>
      <c r="F610" s="73"/>
      <c r="G610" s="75"/>
      <c r="H610" s="75"/>
      <c r="I610" s="3"/>
      <c r="J610" s="3"/>
      <c r="K610" s="3"/>
      <c r="L610" s="3"/>
    </row>
    <row r="611" spans="1:12" ht="15" customHeight="1" x14ac:dyDescent="0.25">
      <c r="A611" s="9"/>
      <c r="B611" s="99"/>
      <c r="C611" s="76"/>
      <c r="D611" s="3"/>
      <c r="E611" s="3"/>
      <c r="F611" s="73"/>
      <c r="G611" s="75"/>
      <c r="H611" s="75"/>
      <c r="I611" s="3"/>
      <c r="J611" s="3"/>
      <c r="K611" s="3"/>
      <c r="L611" s="3"/>
    </row>
    <row r="612" spans="1:12" ht="15" customHeight="1" x14ac:dyDescent="0.25">
      <c r="A612" s="9"/>
      <c r="B612" s="99"/>
      <c r="C612" s="76"/>
      <c r="D612" s="3"/>
      <c r="E612" s="3"/>
      <c r="F612" s="73"/>
      <c r="G612" s="75"/>
      <c r="H612" s="75"/>
      <c r="I612" s="3"/>
      <c r="J612" s="3"/>
      <c r="K612" s="3"/>
      <c r="L612" s="3"/>
    </row>
    <row r="613" spans="1:12" ht="15" customHeight="1" x14ac:dyDescent="0.25">
      <c r="A613" s="9"/>
      <c r="B613" s="99"/>
      <c r="C613" s="76"/>
      <c r="D613" s="3"/>
      <c r="E613" s="3"/>
      <c r="F613" s="73"/>
      <c r="G613" s="75"/>
      <c r="H613" s="75"/>
      <c r="I613" s="3"/>
      <c r="J613" s="3"/>
      <c r="K613" s="3"/>
      <c r="L613" s="3"/>
    </row>
    <row r="614" spans="1:12" ht="15" customHeight="1" x14ac:dyDescent="0.25">
      <c r="A614" s="9"/>
      <c r="B614" s="99"/>
      <c r="C614" s="76"/>
      <c r="D614" s="3"/>
      <c r="E614" s="3"/>
      <c r="F614" s="73"/>
      <c r="G614" s="75"/>
      <c r="H614" s="75"/>
      <c r="I614" s="3"/>
      <c r="J614" s="3"/>
      <c r="K614" s="3"/>
      <c r="L614" s="3"/>
    </row>
    <row r="615" spans="1:12" ht="15" customHeight="1" x14ac:dyDescent="0.25">
      <c r="A615" s="9"/>
      <c r="B615" s="99"/>
      <c r="C615" s="76"/>
      <c r="D615" s="3"/>
      <c r="E615" s="3"/>
      <c r="F615" s="73"/>
      <c r="G615" s="75"/>
      <c r="H615" s="75"/>
      <c r="I615" s="3"/>
      <c r="J615" s="3"/>
      <c r="K615" s="3"/>
      <c r="L615" s="3"/>
    </row>
    <row r="616" spans="1:12" ht="15" customHeight="1" x14ac:dyDescent="0.25">
      <c r="A616" s="9"/>
      <c r="B616" s="99"/>
      <c r="C616" s="76"/>
      <c r="D616" s="3"/>
      <c r="E616" s="3"/>
      <c r="F616" s="73"/>
      <c r="G616" s="75"/>
      <c r="H616" s="75"/>
      <c r="I616" s="3"/>
      <c r="J616" s="3"/>
      <c r="K616" s="3"/>
      <c r="L616" s="3"/>
    </row>
    <row r="617" spans="1:12" ht="15" customHeight="1" x14ac:dyDescent="0.25">
      <c r="A617" s="131" t="s">
        <v>411</v>
      </c>
      <c r="B617" s="132"/>
      <c r="C617" s="132"/>
      <c r="D617" s="132"/>
      <c r="E617" s="132"/>
      <c r="F617" s="133"/>
      <c r="G617" s="3" t="s">
        <v>412</v>
      </c>
      <c r="H617" s="141"/>
      <c r="I617" s="142"/>
      <c r="J617" s="134" t="s">
        <v>409</v>
      </c>
      <c r="K617" s="135"/>
      <c r="L617" s="136"/>
    </row>
    <row r="618" spans="1:12" ht="15" customHeight="1" x14ac:dyDescent="0.25">
      <c r="A618" s="127" t="s">
        <v>0</v>
      </c>
      <c r="B618" s="127" t="s">
        <v>1</v>
      </c>
      <c r="C618" s="129" t="s">
        <v>2</v>
      </c>
      <c r="D618" s="129" t="s">
        <v>3</v>
      </c>
      <c r="E618" s="129" t="s">
        <v>4</v>
      </c>
      <c r="F618" s="129" t="s">
        <v>410</v>
      </c>
      <c r="G618" s="139" t="s">
        <v>216</v>
      </c>
      <c r="H618" s="139" t="s">
        <v>6</v>
      </c>
      <c r="I618" s="139" t="s">
        <v>7</v>
      </c>
      <c r="J618" s="137" t="s">
        <v>8</v>
      </c>
      <c r="K618" s="138" t="s">
        <v>9</v>
      </c>
      <c r="L618" s="138"/>
    </row>
    <row r="619" spans="1:12" ht="15" customHeight="1" x14ac:dyDescent="0.25">
      <c r="A619" s="128"/>
      <c r="B619" s="128"/>
      <c r="C619" s="130"/>
      <c r="D619" s="130"/>
      <c r="E619" s="130"/>
      <c r="F619" s="130"/>
      <c r="G619" s="140"/>
      <c r="H619" s="140"/>
      <c r="I619" s="140"/>
      <c r="J619" s="137"/>
      <c r="K619" s="78" t="s">
        <v>10</v>
      </c>
      <c r="L619" s="78" t="s">
        <v>11</v>
      </c>
    </row>
    <row r="620" spans="1:12" ht="15" customHeight="1" x14ac:dyDescent="0.25">
      <c r="A620" s="9"/>
      <c r="B620" s="99"/>
      <c r="C620" s="76"/>
      <c r="D620" s="3"/>
      <c r="E620" s="3"/>
      <c r="F620" s="3"/>
      <c r="G620" s="75"/>
      <c r="H620" s="3"/>
      <c r="I620" s="3"/>
      <c r="J620" s="3"/>
      <c r="K620" s="3"/>
      <c r="L620" s="3"/>
    </row>
    <row r="621" spans="1:12" x14ac:dyDescent="0.25">
      <c r="A621" s="9"/>
      <c r="B621" s="99"/>
      <c r="C621" s="76"/>
      <c r="D621" s="73"/>
      <c r="E621" s="3"/>
      <c r="F621" s="3"/>
      <c r="G621" s="75"/>
      <c r="H621" s="3"/>
      <c r="I621" s="3"/>
      <c r="J621" s="3"/>
      <c r="K621" s="3"/>
      <c r="L621" s="3"/>
    </row>
    <row r="622" spans="1:12" x14ac:dyDescent="0.25">
      <c r="A622" s="9"/>
      <c r="B622" s="99"/>
      <c r="C622" s="9"/>
      <c r="D622" s="73"/>
      <c r="E622" s="73"/>
      <c r="F622" s="3"/>
      <c r="G622" s="74"/>
      <c r="H622" s="3"/>
      <c r="I622" s="3"/>
      <c r="J622" s="3"/>
      <c r="K622" s="3"/>
      <c r="L622" s="3"/>
    </row>
    <row r="623" spans="1:12" x14ac:dyDescent="0.25">
      <c r="A623" s="9"/>
      <c r="B623" s="99"/>
      <c r="C623" s="9"/>
      <c r="D623" s="73"/>
      <c r="E623" s="73"/>
      <c r="F623" s="3"/>
      <c r="G623" s="74"/>
      <c r="H623" s="3"/>
      <c r="I623" s="3"/>
      <c r="J623" s="3"/>
      <c r="K623" s="3"/>
      <c r="L623" s="3"/>
    </row>
    <row r="624" spans="1:12" x14ac:dyDescent="0.25">
      <c r="A624" s="9"/>
      <c r="B624" s="99"/>
      <c r="C624" s="9"/>
      <c r="D624" s="73"/>
      <c r="E624" s="73"/>
      <c r="F624" s="3"/>
      <c r="G624" s="74"/>
      <c r="H624" s="3"/>
      <c r="I624" s="3"/>
      <c r="J624" s="3"/>
      <c r="K624" s="3"/>
      <c r="L624" s="3"/>
    </row>
    <row r="625" spans="1:12" x14ac:dyDescent="0.25">
      <c r="A625" s="9"/>
      <c r="B625" s="99"/>
      <c r="C625" s="9"/>
      <c r="D625" s="73"/>
      <c r="E625" s="73"/>
      <c r="F625" s="3"/>
      <c r="G625" s="74"/>
      <c r="H625" s="3"/>
      <c r="I625" s="3"/>
      <c r="J625" s="3"/>
      <c r="K625" s="3"/>
      <c r="L625" s="3"/>
    </row>
    <row r="626" spans="1:12" x14ac:dyDescent="0.25">
      <c r="A626" s="9"/>
      <c r="B626" s="99"/>
      <c r="C626" s="9"/>
      <c r="D626" s="73"/>
      <c r="E626" s="73"/>
      <c r="F626" s="3"/>
      <c r="G626" s="74"/>
      <c r="H626" s="3"/>
      <c r="I626" s="3"/>
      <c r="J626" s="3"/>
      <c r="K626" s="3"/>
      <c r="L626" s="3"/>
    </row>
    <row r="627" spans="1:12" x14ac:dyDescent="0.25">
      <c r="A627" s="9"/>
      <c r="B627" s="99"/>
      <c r="C627" s="9"/>
      <c r="D627" s="73"/>
      <c r="E627" s="73"/>
      <c r="F627" s="3"/>
      <c r="G627" s="74"/>
      <c r="H627" s="3"/>
      <c r="I627" s="3"/>
      <c r="J627" s="3"/>
      <c r="K627" s="3"/>
      <c r="L627" s="3"/>
    </row>
    <row r="628" spans="1:12" x14ac:dyDescent="0.25">
      <c r="A628" s="9"/>
      <c r="B628" s="99"/>
      <c r="C628" s="9"/>
      <c r="D628" s="73"/>
      <c r="E628" s="73"/>
      <c r="F628" s="3"/>
      <c r="G628" s="74"/>
      <c r="H628" s="3"/>
      <c r="I628" s="3"/>
      <c r="J628" s="3"/>
      <c r="K628" s="3"/>
      <c r="L628" s="3"/>
    </row>
    <row r="629" spans="1:12" x14ac:dyDescent="0.25">
      <c r="A629" s="9"/>
      <c r="B629" s="99"/>
      <c r="C629" s="9"/>
      <c r="D629" s="73"/>
      <c r="E629" s="73"/>
      <c r="F629" s="3"/>
      <c r="G629" s="74"/>
      <c r="H629" s="3"/>
      <c r="I629" s="3"/>
      <c r="J629" s="3"/>
      <c r="K629" s="3"/>
      <c r="L629" s="3"/>
    </row>
    <row r="630" spans="1:12" x14ac:dyDescent="0.25">
      <c r="A630" s="9"/>
      <c r="B630" s="99"/>
      <c r="C630" s="9"/>
      <c r="D630" s="73"/>
      <c r="E630" s="73"/>
      <c r="F630" s="3"/>
      <c r="G630" s="74"/>
      <c r="H630" s="3"/>
      <c r="I630" s="3"/>
      <c r="J630" s="3"/>
      <c r="K630" s="3"/>
      <c r="L630" s="3"/>
    </row>
    <row r="631" spans="1:12" ht="15" customHeight="1" x14ac:dyDescent="0.25">
      <c r="A631" s="9"/>
      <c r="B631" s="99"/>
      <c r="C631" s="9"/>
      <c r="D631" s="73"/>
      <c r="E631" s="73"/>
      <c r="F631" s="3"/>
      <c r="G631" s="74"/>
      <c r="H631" s="3"/>
      <c r="I631" s="3"/>
      <c r="J631" s="3"/>
      <c r="K631" s="3"/>
      <c r="L631" s="3"/>
    </row>
    <row r="632" spans="1:12" ht="15" customHeight="1" x14ac:dyDescent="0.25">
      <c r="A632" s="9"/>
      <c r="B632" s="99"/>
      <c r="C632" s="9"/>
      <c r="D632" s="73"/>
      <c r="E632" s="73"/>
      <c r="F632" s="3"/>
      <c r="G632" s="74"/>
      <c r="H632" s="3"/>
      <c r="I632" s="3"/>
      <c r="J632" s="3"/>
      <c r="K632" s="3"/>
      <c r="L632" s="3"/>
    </row>
    <row r="633" spans="1:12" ht="15" customHeight="1" x14ac:dyDescent="0.25">
      <c r="A633" s="9"/>
      <c r="B633" s="99"/>
      <c r="C633" s="9"/>
      <c r="D633" s="73"/>
      <c r="E633" s="73"/>
      <c r="F633" s="3"/>
      <c r="G633" s="74"/>
      <c r="H633" s="3"/>
      <c r="I633" s="3"/>
      <c r="J633" s="3"/>
      <c r="K633" s="3"/>
      <c r="L633" s="3"/>
    </row>
    <row r="634" spans="1:12" ht="15" customHeight="1" x14ac:dyDescent="0.25">
      <c r="A634" s="9"/>
      <c r="B634" s="99"/>
      <c r="C634" s="9"/>
      <c r="D634" s="73"/>
      <c r="E634" s="73"/>
      <c r="F634" s="3"/>
      <c r="G634" s="74"/>
      <c r="H634" s="3"/>
      <c r="I634" s="3"/>
      <c r="J634" s="3"/>
      <c r="K634" s="3"/>
      <c r="L634" s="3"/>
    </row>
    <row r="635" spans="1:12" ht="15" customHeight="1" x14ac:dyDescent="0.25">
      <c r="A635" s="9"/>
      <c r="B635" s="99"/>
      <c r="C635" s="9"/>
      <c r="D635" s="73"/>
      <c r="E635" s="73"/>
      <c r="F635" s="3"/>
      <c r="G635" s="74"/>
      <c r="H635" s="3"/>
      <c r="I635" s="3"/>
      <c r="J635" s="3"/>
      <c r="K635" s="3"/>
      <c r="L635" s="3"/>
    </row>
    <row r="636" spans="1:12" ht="15" customHeight="1" x14ac:dyDescent="0.25">
      <c r="A636" s="9"/>
      <c r="B636" s="99"/>
      <c r="C636" s="9"/>
      <c r="D636" s="73"/>
      <c r="E636" s="73"/>
      <c r="F636" s="3"/>
      <c r="G636" s="74"/>
      <c r="H636" s="3"/>
      <c r="I636" s="3"/>
      <c r="J636" s="3"/>
      <c r="K636" s="3"/>
      <c r="L636" s="3"/>
    </row>
    <row r="637" spans="1:12" ht="15" customHeight="1" x14ac:dyDescent="0.25">
      <c r="A637" s="9"/>
      <c r="B637" s="99"/>
      <c r="C637" s="9"/>
      <c r="D637" s="73"/>
      <c r="E637" s="73"/>
      <c r="F637" s="3"/>
      <c r="G637" s="74"/>
      <c r="H637" s="3"/>
      <c r="I637" s="3"/>
      <c r="J637" s="3"/>
      <c r="K637" s="3"/>
      <c r="L637" s="3"/>
    </row>
    <row r="638" spans="1:12" ht="15" customHeight="1" x14ac:dyDescent="0.25">
      <c r="A638" s="9"/>
      <c r="B638" s="99"/>
      <c r="C638" s="9"/>
      <c r="D638" s="73"/>
      <c r="E638" s="73"/>
      <c r="F638" s="3"/>
      <c r="G638" s="74"/>
      <c r="H638" s="3"/>
      <c r="I638" s="3"/>
      <c r="J638" s="3"/>
      <c r="K638" s="3"/>
      <c r="L638" s="3"/>
    </row>
    <row r="639" spans="1:12" ht="15" customHeight="1" x14ac:dyDescent="0.25">
      <c r="A639" s="9"/>
      <c r="B639" s="99"/>
      <c r="C639" s="9"/>
      <c r="D639" s="73"/>
      <c r="E639" s="73"/>
      <c r="F639" s="3"/>
      <c r="G639" s="74"/>
      <c r="H639" s="3"/>
      <c r="I639" s="3"/>
      <c r="J639" s="3"/>
      <c r="K639" s="3"/>
      <c r="L639" s="3"/>
    </row>
    <row r="640" spans="1:12" ht="15" customHeight="1" x14ac:dyDescent="0.25">
      <c r="A640" s="9"/>
      <c r="B640" s="99"/>
      <c r="C640" s="9"/>
      <c r="D640" s="73"/>
      <c r="E640" s="73"/>
      <c r="F640" s="3"/>
      <c r="G640" s="74"/>
      <c r="H640" s="3"/>
      <c r="I640" s="3"/>
      <c r="J640" s="3"/>
      <c r="K640" s="3"/>
      <c r="L640" s="3"/>
    </row>
    <row r="641" spans="1:12" ht="15" customHeight="1" x14ac:dyDescent="0.25">
      <c r="A641" s="9"/>
      <c r="B641" s="99"/>
      <c r="C641" s="9"/>
      <c r="D641" s="73"/>
      <c r="E641" s="73"/>
      <c r="F641" s="3"/>
      <c r="G641" s="74"/>
      <c r="H641" s="3"/>
      <c r="I641" s="3"/>
      <c r="J641" s="3"/>
      <c r="K641" s="3"/>
      <c r="L641" s="3"/>
    </row>
    <row r="642" spans="1:12" ht="15" customHeight="1" x14ac:dyDescent="0.25">
      <c r="A642" s="9"/>
      <c r="B642" s="99"/>
      <c r="C642" s="9"/>
      <c r="D642" s="73"/>
      <c r="E642" s="73"/>
      <c r="F642" s="3"/>
      <c r="G642" s="74"/>
      <c r="H642" s="3"/>
      <c r="I642" s="3"/>
      <c r="J642" s="3"/>
      <c r="K642" s="3"/>
      <c r="L642" s="3"/>
    </row>
    <row r="643" spans="1:12" ht="15" customHeight="1" x14ac:dyDescent="0.25">
      <c r="A643" s="9"/>
      <c r="B643" s="99"/>
      <c r="C643" s="9"/>
      <c r="D643" s="73"/>
      <c r="E643" s="73"/>
      <c r="F643" s="3"/>
      <c r="G643" s="74"/>
      <c r="H643" s="3"/>
      <c r="I643" s="3"/>
      <c r="J643" s="3"/>
      <c r="K643" s="3"/>
      <c r="L643" s="3"/>
    </row>
    <row r="644" spans="1:12" ht="15" customHeight="1" x14ac:dyDescent="0.25">
      <c r="A644" s="9"/>
      <c r="B644" s="99"/>
      <c r="C644" s="9"/>
      <c r="D644" s="73"/>
      <c r="E644" s="73"/>
      <c r="F644" s="3"/>
      <c r="G644" s="74"/>
      <c r="H644" s="3"/>
      <c r="I644" s="3"/>
      <c r="J644" s="3"/>
      <c r="K644" s="3"/>
      <c r="L644" s="3"/>
    </row>
    <row r="645" spans="1:12" ht="15" customHeight="1" x14ac:dyDescent="0.25">
      <c r="A645" s="9"/>
      <c r="B645" s="99"/>
      <c r="C645" s="9"/>
      <c r="D645" s="73"/>
      <c r="E645" s="73"/>
      <c r="F645" s="3"/>
      <c r="G645" s="74"/>
      <c r="H645" s="3"/>
      <c r="I645" s="3"/>
      <c r="J645" s="3"/>
      <c r="K645" s="3"/>
      <c r="L645" s="3"/>
    </row>
    <row r="646" spans="1:12" ht="15" customHeight="1" x14ac:dyDescent="0.25">
      <c r="A646" s="9"/>
      <c r="B646" s="99"/>
      <c r="C646" s="9"/>
      <c r="D646" s="73"/>
      <c r="E646" s="73"/>
      <c r="F646" s="3"/>
      <c r="G646" s="74"/>
      <c r="H646" s="3"/>
      <c r="I646" s="3"/>
      <c r="J646" s="3"/>
      <c r="K646" s="3"/>
      <c r="L646" s="3"/>
    </row>
    <row r="647" spans="1:12" ht="15" customHeight="1" x14ac:dyDescent="0.25">
      <c r="A647" s="9"/>
      <c r="B647" s="99"/>
      <c r="C647" s="9"/>
      <c r="D647" s="73"/>
      <c r="E647" s="73"/>
      <c r="F647" s="3"/>
      <c r="G647" s="74"/>
      <c r="H647" s="3"/>
      <c r="I647" s="3"/>
      <c r="J647" s="3"/>
      <c r="K647" s="3"/>
      <c r="L647" s="3"/>
    </row>
    <row r="648" spans="1:12" ht="15" customHeight="1" x14ac:dyDescent="0.25">
      <c r="A648" s="9"/>
      <c r="B648" s="99"/>
      <c r="C648" s="9"/>
      <c r="D648" s="73"/>
      <c r="E648" s="73"/>
      <c r="F648" s="3"/>
      <c r="G648" s="74"/>
      <c r="H648" s="3"/>
      <c r="I648" s="3"/>
      <c r="J648" s="3"/>
      <c r="K648" s="3"/>
      <c r="L648" s="3"/>
    </row>
    <row r="649" spans="1:12" ht="15" customHeight="1" x14ac:dyDescent="0.25">
      <c r="A649" s="9"/>
      <c r="B649" s="99"/>
      <c r="C649" s="76"/>
      <c r="D649" s="3"/>
      <c r="E649" s="3"/>
      <c r="F649" s="3"/>
      <c r="G649" s="75"/>
      <c r="H649" s="3"/>
      <c r="I649" s="3"/>
      <c r="J649" s="3"/>
      <c r="K649" s="3"/>
      <c r="L649" s="3"/>
    </row>
    <row r="650" spans="1:12" ht="15" customHeight="1" x14ac:dyDescent="0.25">
      <c r="A650" s="9"/>
      <c r="B650" s="99"/>
      <c r="C650" s="76"/>
      <c r="D650" s="3"/>
      <c r="E650" s="3"/>
      <c r="F650" s="3"/>
      <c r="G650" s="75"/>
      <c r="H650" s="3"/>
      <c r="I650" s="3"/>
      <c r="J650" s="3"/>
      <c r="K650" s="3"/>
      <c r="L650" s="3"/>
    </row>
    <row r="651" spans="1:12" ht="15" customHeight="1" x14ac:dyDescent="0.25">
      <c r="A651" s="9"/>
      <c r="B651" s="99"/>
      <c r="C651" s="76"/>
      <c r="D651" s="3"/>
      <c r="E651" s="3"/>
      <c r="F651" s="3"/>
      <c r="G651" s="75"/>
      <c r="H651" s="3"/>
      <c r="I651" s="3"/>
      <c r="J651" s="3"/>
      <c r="K651" s="3"/>
      <c r="L651" s="3"/>
    </row>
    <row r="652" spans="1:12" ht="15" customHeight="1" x14ac:dyDescent="0.25">
      <c r="A652" s="9"/>
      <c r="B652" s="99"/>
      <c r="C652" s="76"/>
      <c r="D652" s="3"/>
      <c r="E652" s="3"/>
      <c r="F652" s="3"/>
      <c r="G652" s="75"/>
      <c r="H652" s="3"/>
      <c r="I652" s="3"/>
      <c r="J652" s="3"/>
      <c r="K652" s="3"/>
      <c r="L652" s="3"/>
    </row>
    <row r="653" spans="1:12" ht="15" customHeight="1" x14ac:dyDescent="0.25">
      <c r="A653" s="9"/>
      <c r="B653" s="99"/>
      <c r="C653" s="76"/>
      <c r="D653" s="3"/>
      <c r="E653" s="3"/>
      <c r="F653" s="3"/>
      <c r="G653" s="75"/>
      <c r="H653" s="3"/>
      <c r="I653" s="3"/>
      <c r="J653" s="3"/>
      <c r="K653" s="3"/>
      <c r="L653" s="3"/>
    </row>
    <row r="654" spans="1:12" ht="15.75" customHeight="1" x14ac:dyDescent="0.25">
      <c r="A654" s="9"/>
      <c r="B654" s="99"/>
      <c r="C654" s="76"/>
      <c r="D654" s="3"/>
      <c r="E654" s="3"/>
      <c r="F654" s="3"/>
      <c r="G654" s="75"/>
      <c r="H654" s="73"/>
      <c r="I654" s="3"/>
      <c r="J654" s="3"/>
      <c r="K654" s="3"/>
      <c r="L654" s="3"/>
    </row>
    <row r="655" spans="1:12" ht="15.75" customHeight="1" x14ac:dyDescent="0.25">
      <c r="A655" s="9"/>
      <c r="B655" s="99"/>
      <c r="C655" s="76"/>
      <c r="D655" s="3"/>
      <c r="E655" s="3"/>
      <c r="F655" s="3"/>
      <c r="G655" s="75"/>
      <c r="H655" s="73"/>
      <c r="I655" s="3"/>
      <c r="J655" s="3"/>
      <c r="K655" s="3"/>
      <c r="L655" s="3"/>
    </row>
    <row r="656" spans="1:12" ht="15.75" customHeight="1" x14ac:dyDescent="0.25">
      <c r="A656" s="9"/>
      <c r="B656" s="99"/>
      <c r="C656" s="76"/>
      <c r="D656" s="3"/>
      <c r="E656" s="3"/>
      <c r="F656" s="3"/>
      <c r="G656" s="75"/>
      <c r="H656" s="3"/>
      <c r="I656" s="3"/>
      <c r="J656" s="3"/>
      <c r="K656" s="3"/>
      <c r="L656" s="3"/>
    </row>
    <row r="657" spans="1:12" ht="15.75" customHeight="1" x14ac:dyDescent="0.25">
      <c r="A657" s="9"/>
      <c r="B657" s="99"/>
      <c r="C657" s="76"/>
      <c r="D657" s="3"/>
      <c r="E657" s="3"/>
      <c r="F657" s="3"/>
      <c r="G657" s="75"/>
      <c r="H657" s="3"/>
      <c r="I657" s="3"/>
      <c r="J657" s="3"/>
      <c r="K657" s="3"/>
      <c r="L657" s="3"/>
    </row>
    <row r="658" spans="1:12" ht="15" customHeight="1" x14ac:dyDescent="0.25">
      <c r="A658" s="131" t="s">
        <v>411</v>
      </c>
      <c r="B658" s="132"/>
      <c r="C658" s="132"/>
      <c r="D658" s="132"/>
      <c r="E658" s="132"/>
      <c r="F658" s="133"/>
      <c r="G658" s="3" t="s">
        <v>412</v>
      </c>
      <c r="H658" s="141"/>
      <c r="I658" s="142"/>
      <c r="J658" s="134" t="s">
        <v>409</v>
      </c>
      <c r="K658" s="135"/>
      <c r="L658" s="136"/>
    </row>
    <row r="659" spans="1:12" ht="15" customHeight="1" x14ac:dyDescent="0.25">
      <c r="A659" s="127" t="s">
        <v>0</v>
      </c>
      <c r="B659" s="127" t="s">
        <v>1</v>
      </c>
      <c r="C659" s="129" t="s">
        <v>2</v>
      </c>
      <c r="D659" s="129" t="s">
        <v>3</v>
      </c>
      <c r="E659" s="129" t="s">
        <v>4</v>
      </c>
      <c r="F659" s="129" t="s">
        <v>410</v>
      </c>
      <c r="G659" s="139" t="s">
        <v>216</v>
      </c>
      <c r="H659" s="139" t="s">
        <v>6</v>
      </c>
      <c r="I659" s="139" t="s">
        <v>7</v>
      </c>
      <c r="J659" s="137" t="s">
        <v>8</v>
      </c>
      <c r="K659" s="138" t="s">
        <v>9</v>
      </c>
      <c r="L659" s="138"/>
    </row>
    <row r="660" spans="1:12" ht="15" customHeight="1" x14ac:dyDescent="0.25">
      <c r="A660" s="128"/>
      <c r="B660" s="128"/>
      <c r="C660" s="130"/>
      <c r="D660" s="130"/>
      <c r="E660" s="130"/>
      <c r="F660" s="130"/>
      <c r="G660" s="140"/>
      <c r="H660" s="140"/>
      <c r="I660" s="140"/>
      <c r="J660" s="137"/>
      <c r="K660" s="78" t="s">
        <v>10</v>
      </c>
      <c r="L660" s="78" t="s">
        <v>11</v>
      </c>
    </row>
    <row r="661" spans="1:12" ht="15" customHeight="1" x14ac:dyDescent="0.25">
      <c r="A661" s="9"/>
      <c r="B661" s="101"/>
      <c r="C661" s="9"/>
      <c r="D661" s="73"/>
      <c r="E661" s="73"/>
      <c r="F661" s="73"/>
      <c r="G661" s="74"/>
      <c r="H661" s="74"/>
      <c r="I661" s="73"/>
      <c r="J661" s="3"/>
      <c r="K661" s="3"/>
      <c r="L661" s="3"/>
    </row>
    <row r="662" spans="1:12" x14ac:dyDescent="0.25">
      <c r="A662" s="9"/>
      <c r="B662" s="104"/>
      <c r="C662" s="9"/>
      <c r="D662" s="73"/>
      <c r="E662" s="73"/>
      <c r="F662" s="73"/>
      <c r="G662" s="74"/>
      <c r="H662" s="74"/>
      <c r="I662" s="73"/>
      <c r="J662" s="3"/>
      <c r="K662" s="3"/>
      <c r="L662" s="3"/>
    </row>
    <row r="663" spans="1:12" x14ac:dyDescent="0.25">
      <c r="A663" s="9"/>
      <c r="B663" s="104"/>
      <c r="C663" s="9"/>
      <c r="D663" s="73"/>
      <c r="E663" s="73"/>
      <c r="F663" s="73"/>
      <c r="G663" s="74"/>
      <c r="H663" s="74"/>
      <c r="I663" s="73"/>
      <c r="J663" s="3"/>
      <c r="K663" s="3"/>
      <c r="L663" s="3"/>
    </row>
    <row r="664" spans="1:12" x14ac:dyDescent="0.25">
      <c r="A664" s="9"/>
      <c r="B664" s="104"/>
      <c r="C664" s="9"/>
      <c r="D664" s="73"/>
      <c r="E664" s="73"/>
      <c r="F664" s="73"/>
      <c r="G664" s="74"/>
      <c r="H664" s="74"/>
      <c r="I664" s="73"/>
      <c r="J664" s="3"/>
      <c r="K664" s="3"/>
      <c r="L664" s="3"/>
    </row>
    <row r="665" spans="1:12" x14ac:dyDescent="0.25">
      <c r="A665" s="9"/>
      <c r="B665" s="101"/>
      <c r="C665" s="9"/>
      <c r="D665" s="73"/>
      <c r="E665" s="73"/>
      <c r="F665" s="73"/>
      <c r="G665" s="74"/>
      <c r="H665" s="74"/>
      <c r="I665" s="73"/>
      <c r="J665" s="3"/>
      <c r="K665" s="3"/>
      <c r="L665" s="3"/>
    </row>
    <row r="666" spans="1:12" x14ac:dyDescent="0.25">
      <c r="A666" s="9"/>
      <c r="B666" s="101"/>
      <c r="C666" s="9"/>
      <c r="D666" s="73"/>
      <c r="E666" s="73"/>
      <c r="F666" s="73"/>
      <c r="G666" s="74"/>
      <c r="H666" s="74"/>
      <c r="I666" s="73"/>
      <c r="J666" s="3"/>
      <c r="K666" s="3"/>
      <c r="L666" s="3"/>
    </row>
    <row r="667" spans="1:12" x14ac:dyDescent="0.25">
      <c r="A667" s="9"/>
      <c r="B667" s="104"/>
      <c r="C667" s="9"/>
      <c r="D667" s="73"/>
      <c r="E667" s="73"/>
      <c r="F667" s="73"/>
      <c r="G667" s="74"/>
      <c r="H667" s="74"/>
      <c r="I667" s="73"/>
      <c r="J667" s="3"/>
      <c r="K667" s="3"/>
      <c r="L667" s="3"/>
    </row>
    <row r="668" spans="1:12" x14ac:dyDescent="0.25">
      <c r="A668" s="9"/>
      <c r="B668" s="104"/>
      <c r="C668" s="9"/>
      <c r="D668" s="73"/>
      <c r="E668" s="73"/>
      <c r="F668" s="73"/>
      <c r="G668" s="74"/>
      <c r="H668" s="74"/>
      <c r="I668" s="73"/>
      <c r="J668" s="3"/>
      <c r="K668" s="3"/>
      <c r="L668" s="3"/>
    </row>
    <row r="669" spans="1:12" x14ac:dyDescent="0.25">
      <c r="A669" s="9"/>
      <c r="B669" s="104"/>
      <c r="C669" s="9"/>
      <c r="D669" s="73"/>
      <c r="E669" s="73"/>
      <c r="F669" s="73"/>
      <c r="G669" s="74"/>
      <c r="H669" s="73"/>
      <c r="I669" s="3"/>
      <c r="J669" s="3"/>
      <c r="K669" s="3"/>
      <c r="L669" s="3"/>
    </row>
    <row r="670" spans="1:12" x14ac:dyDescent="0.25">
      <c r="A670" s="9"/>
      <c r="B670" s="104"/>
      <c r="C670" s="9"/>
      <c r="D670" s="73"/>
      <c r="E670" s="73"/>
      <c r="F670" s="73"/>
      <c r="G670" s="74"/>
      <c r="H670" s="74"/>
      <c r="I670" s="73"/>
      <c r="J670" s="3"/>
      <c r="K670" s="3"/>
      <c r="L670" s="3"/>
    </row>
    <row r="671" spans="1:12" x14ac:dyDescent="0.25">
      <c r="A671" s="9"/>
      <c r="B671" s="101"/>
      <c r="C671" s="9"/>
      <c r="D671" s="73"/>
      <c r="E671" s="73"/>
      <c r="F671" s="73"/>
      <c r="G671" s="74"/>
      <c r="H671" s="74"/>
      <c r="I671" s="73"/>
      <c r="J671" s="3"/>
      <c r="K671" s="3"/>
      <c r="L671" s="3"/>
    </row>
    <row r="672" spans="1:12" x14ac:dyDescent="0.25">
      <c r="A672" s="9"/>
      <c r="B672" s="104"/>
      <c r="C672" s="9"/>
      <c r="D672" s="73"/>
      <c r="E672" s="73"/>
      <c r="F672" s="73"/>
      <c r="G672" s="74"/>
      <c r="H672" s="74"/>
      <c r="I672" s="73"/>
      <c r="J672" s="3"/>
      <c r="K672" s="3"/>
      <c r="L672" s="3"/>
    </row>
    <row r="673" spans="1:12" x14ac:dyDescent="0.25">
      <c r="A673" s="9"/>
      <c r="B673" s="104"/>
      <c r="C673" s="9"/>
      <c r="D673" s="73"/>
      <c r="E673" s="73"/>
      <c r="F673" s="73"/>
      <c r="G673" s="74"/>
      <c r="H673" s="74"/>
      <c r="I673" s="73"/>
      <c r="J673" s="73"/>
      <c r="K673" s="73"/>
      <c r="L673" s="3"/>
    </row>
    <row r="674" spans="1:12" x14ac:dyDescent="0.25">
      <c r="A674" s="9"/>
      <c r="B674" s="104"/>
      <c r="C674" s="9"/>
      <c r="D674" s="73"/>
      <c r="E674" s="73"/>
      <c r="F674" s="73"/>
      <c r="G674" s="74"/>
      <c r="H674" s="74"/>
      <c r="I674" s="73"/>
      <c r="J674" s="73"/>
      <c r="K674" s="73"/>
      <c r="L674" s="3"/>
    </row>
    <row r="675" spans="1:12" ht="15" customHeight="1" x14ac:dyDescent="0.25">
      <c r="A675" s="9"/>
      <c r="B675" s="104"/>
      <c r="C675" s="76"/>
      <c r="D675" s="74"/>
      <c r="E675" s="3"/>
      <c r="F675" s="73"/>
      <c r="G675" s="75"/>
      <c r="H675" s="3"/>
      <c r="I675" s="3"/>
      <c r="J675" s="3"/>
      <c r="K675" s="3"/>
      <c r="L675" s="3"/>
    </row>
    <row r="676" spans="1:12" ht="15" customHeight="1" x14ac:dyDescent="0.25">
      <c r="A676" s="9"/>
      <c r="B676" s="104"/>
      <c r="C676" s="9"/>
      <c r="D676" s="74"/>
      <c r="E676" s="73"/>
      <c r="F676" s="73"/>
      <c r="G676" s="74"/>
      <c r="H676" s="74"/>
      <c r="I676" s="73"/>
      <c r="J676" s="3"/>
      <c r="K676" s="3"/>
      <c r="L676" s="3"/>
    </row>
    <row r="677" spans="1:12" ht="15" customHeight="1" x14ac:dyDescent="0.25">
      <c r="A677" s="9"/>
      <c r="B677" s="101"/>
      <c r="C677" s="9"/>
      <c r="D677" s="74"/>
      <c r="E677" s="73"/>
      <c r="F677" s="73"/>
      <c r="G677" s="74"/>
      <c r="H677" s="74"/>
      <c r="I677" s="73"/>
      <c r="J677" s="3"/>
      <c r="K677" s="3"/>
      <c r="L677" s="3"/>
    </row>
    <row r="678" spans="1:12" ht="15" customHeight="1" x14ac:dyDescent="0.25">
      <c r="A678" s="90"/>
      <c r="B678" s="101"/>
      <c r="C678" s="9"/>
      <c r="D678" s="74"/>
      <c r="E678" s="73"/>
      <c r="F678" s="73"/>
      <c r="G678" s="74"/>
      <c r="H678" s="74"/>
      <c r="I678" s="73"/>
      <c r="J678" s="3"/>
      <c r="K678" s="3"/>
      <c r="L678" s="3"/>
    </row>
    <row r="679" spans="1:12" ht="15" customHeight="1" x14ac:dyDescent="0.25">
      <c r="A679" s="9"/>
      <c r="B679" s="102"/>
      <c r="C679" s="9"/>
      <c r="D679" s="74"/>
      <c r="E679" s="73"/>
      <c r="F679" s="73"/>
      <c r="G679" s="74"/>
      <c r="H679" s="74"/>
      <c r="I679" s="73"/>
      <c r="J679" s="3"/>
      <c r="K679" s="3"/>
      <c r="L679" s="3"/>
    </row>
    <row r="680" spans="1:12" ht="15" customHeight="1" x14ac:dyDescent="0.25">
      <c r="A680" s="9"/>
      <c r="B680" s="102"/>
      <c r="C680" s="9"/>
      <c r="D680" s="74"/>
      <c r="E680" s="73"/>
      <c r="F680" s="73"/>
      <c r="G680" s="74"/>
      <c r="H680" s="74"/>
      <c r="I680" s="73"/>
      <c r="J680" s="3"/>
      <c r="K680" s="3"/>
      <c r="L680" s="3"/>
    </row>
    <row r="681" spans="1:12" ht="15" customHeight="1" x14ac:dyDescent="0.25">
      <c r="A681" s="9"/>
      <c r="B681" s="101"/>
      <c r="C681" s="9"/>
      <c r="D681" s="74"/>
      <c r="E681" s="73"/>
      <c r="F681" s="73"/>
      <c r="G681" s="74"/>
      <c r="H681" s="74"/>
      <c r="I681" s="73"/>
      <c r="J681" s="3"/>
      <c r="K681" s="3"/>
      <c r="L681" s="3"/>
    </row>
    <row r="682" spans="1:12" ht="15" customHeight="1" x14ac:dyDescent="0.25">
      <c r="A682" s="9"/>
      <c r="B682" s="101"/>
      <c r="C682" s="9"/>
      <c r="D682" s="74"/>
      <c r="E682" s="73"/>
      <c r="F682" s="73"/>
      <c r="G682" s="74"/>
      <c r="H682" s="74"/>
      <c r="I682" s="73"/>
      <c r="J682" s="3"/>
      <c r="K682" s="3"/>
      <c r="L682" s="3"/>
    </row>
    <row r="683" spans="1:12" ht="15" customHeight="1" x14ac:dyDescent="0.25">
      <c r="A683" s="9"/>
      <c r="B683" s="102"/>
      <c r="C683" s="9"/>
      <c r="D683" s="74"/>
      <c r="E683" s="73"/>
      <c r="F683" s="73"/>
      <c r="G683" s="74"/>
      <c r="H683" s="74"/>
      <c r="I683" s="73"/>
      <c r="J683" s="3"/>
      <c r="K683" s="3"/>
      <c r="L683" s="3"/>
    </row>
    <row r="684" spans="1:12" ht="15" customHeight="1" x14ac:dyDescent="0.25">
      <c r="A684" s="9"/>
      <c r="B684" s="106"/>
      <c r="C684" s="9"/>
      <c r="D684" s="74"/>
      <c r="E684" s="73"/>
      <c r="F684" s="73"/>
      <c r="G684" s="74"/>
      <c r="H684" s="73"/>
      <c r="I684" s="73"/>
      <c r="J684" s="3"/>
      <c r="K684" s="3"/>
      <c r="L684" s="3"/>
    </row>
    <row r="685" spans="1:12" ht="15" customHeight="1" x14ac:dyDescent="0.25">
      <c r="A685" s="9"/>
      <c r="B685" s="106"/>
      <c r="C685" s="9"/>
      <c r="D685" s="74"/>
      <c r="E685" s="73"/>
      <c r="F685" s="73"/>
      <c r="G685" s="74"/>
      <c r="H685" s="73"/>
      <c r="I685" s="73"/>
      <c r="J685" s="3"/>
      <c r="K685" s="3"/>
      <c r="L685" s="3"/>
    </row>
    <row r="686" spans="1:12" ht="15" customHeight="1" x14ac:dyDescent="0.25">
      <c r="A686" s="9"/>
      <c r="B686" s="104"/>
      <c r="C686" s="9"/>
      <c r="D686" s="74"/>
      <c r="E686" s="73"/>
      <c r="F686" s="73"/>
      <c r="G686" s="74"/>
      <c r="H686" s="73"/>
      <c r="I686" s="73"/>
      <c r="J686" s="3"/>
      <c r="K686" s="3"/>
      <c r="L686" s="3"/>
    </row>
    <row r="687" spans="1:12" ht="15" customHeight="1" x14ac:dyDescent="0.25">
      <c r="A687" s="9"/>
      <c r="B687" s="105"/>
      <c r="C687" s="9"/>
      <c r="D687" s="74"/>
      <c r="E687" s="73"/>
      <c r="F687" s="73"/>
      <c r="G687" s="74"/>
      <c r="H687" s="73"/>
      <c r="I687" s="73"/>
      <c r="J687" s="3"/>
      <c r="K687" s="3"/>
      <c r="L687" s="3"/>
    </row>
    <row r="688" spans="1:12" ht="15" customHeight="1" x14ac:dyDescent="0.25">
      <c r="A688" s="9"/>
      <c r="B688" s="106"/>
      <c r="C688" s="9"/>
      <c r="D688" s="74"/>
      <c r="E688" s="73"/>
      <c r="F688" s="73"/>
      <c r="G688" s="74"/>
      <c r="H688" s="73"/>
      <c r="I688" s="73"/>
      <c r="J688" s="3"/>
      <c r="K688" s="3"/>
      <c r="L688" s="3"/>
    </row>
    <row r="689" spans="1:12" ht="15" customHeight="1" x14ac:dyDescent="0.25">
      <c r="A689" s="9"/>
      <c r="B689" s="104"/>
      <c r="C689" s="9"/>
      <c r="D689" s="74"/>
      <c r="E689" s="73"/>
      <c r="F689" s="73"/>
      <c r="G689" s="74"/>
      <c r="H689" s="73"/>
      <c r="I689" s="3"/>
      <c r="J689" s="3"/>
      <c r="K689" s="3"/>
      <c r="L689" s="3"/>
    </row>
    <row r="690" spans="1:12" ht="15" customHeight="1" x14ac:dyDescent="0.25">
      <c r="A690" s="9"/>
      <c r="B690" s="102"/>
      <c r="C690" s="76"/>
      <c r="D690" s="3"/>
      <c r="E690" s="3"/>
      <c r="F690" s="73"/>
      <c r="G690" s="75"/>
      <c r="H690" s="73"/>
      <c r="I690" s="3"/>
      <c r="J690" s="3"/>
      <c r="K690" s="3"/>
      <c r="L690" s="3"/>
    </row>
    <row r="691" spans="1:12" ht="15" customHeight="1" x14ac:dyDescent="0.25">
      <c r="A691" s="9"/>
      <c r="B691" s="99"/>
      <c r="C691" s="9"/>
      <c r="D691" s="74"/>
      <c r="E691" s="73"/>
      <c r="F691" s="73"/>
      <c r="G691" s="74"/>
      <c r="H691" s="73"/>
      <c r="I691" s="3"/>
      <c r="J691" s="3"/>
      <c r="K691" s="3"/>
      <c r="L691" s="3"/>
    </row>
    <row r="692" spans="1:12" ht="15" customHeight="1" x14ac:dyDescent="0.25">
      <c r="A692" s="9"/>
      <c r="B692" s="99"/>
      <c r="C692" s="9"/>
      <c r="D692" s="74"/>
      <c r="E692" s="73"/>
      <c r="F692" s="73"/>
      <c r="G692" s="74"/>
      <c r="H692" s="73"/>
      <c r="I692" s="3"/>
      <c r="J692" s="3"/>
      <c r="K692" s="3"/>
      <c r="L692" s="3"/>
    </row>
    <row r="693" spans="1:12" ht="15" customHeight="1" x14ac:dyDescent="0.25">
      <c r="A693" s="9"/>
      <c r="B693" s="101"/>
      <c r="C693" s="9"/>
      <c r="D693" s="74"/>
      <c r="E693" s="73"/>
      <c r="F693" s="73"/>
      <c r="G693" s="74"/>
      <c r="H693" s="73"/>
      <c r="I693" s="3"/>
      <c r="J693" s="3"/>
      <c r="K693" s="3"/>
      <c r="L693" s="3"/>
    </row>
    <row r="694" spans="1:12" ht="15" customHeight="1" x14ac:dyDescent="0.25">
      <c r="A694" s="131" t="s">
        <v>411</v>
      </c>
      <c r="B694" s="132"/>
      <c r="C694" s="132"/>
      <c r="D694" s="132"/>
      <c r="E694" s="132"/>
      <c r="F694" s="133"/>
      <c r="G694" s="3" t="s">
        <v>412</v>
      </c>
      <c r="H694" s="141"/>
      <c r="I694" s="142"/>
      <c r="J694" s="134" t="s">
        <v>409</v>
      </c>
      <c r="K694" s="135"/>
      <c r="L694" s="136"/>
    </row>
    <row r="695" spans="1:12" ht="15" customHeight="1" x14ac:dyDescent="0.25">
      <c r="A695" s="127" t="s">
        <v>0</v>
      </c>
      <c r="B695" s="127" t="s">
        <v>1</v>
      </c>
      <c r="C695" s="129" t="s">
        <v>2</v>
      </c>
      <c r="D695" s="129" t="s">
        <v>3</v>
      </c>
      <c r="E695" s="129" t="s">
        <v>4</v>
      </c>
      <c r="F695" s="129" t="s">
        <v>410</v>
      </c>
      <c r="G695" s="139" t="s">
        <v>216</v>
      </c>
      <c r="H695" s="139" t="s">
        <v>6</v>
      </c>
      <c r="I695" s="139" t="s">
        <v>7</v>
      </c>
      <c r="J695" s="137" t="s">
        <v>8</v>
      </c>
      <c r="K695" s="138" t="s">
        <v>9</v>
      </c>
      <c r="L695" s="138"/>
    </row>
    <row r="696" spans="1:12" ht="15" customHeight="1" x14ac:dyDescent="0.25">
      <c r="A696" s="128"/>
      <c r="B696" s="128"/>
      <c r="C696" s="130"/>
      <c r="D696" s="130"/>
      <c r="E696" s="130"/>
      <c r="F696" s="130"/>
      <c r="G696" s="140"/>
      <c r="H696" s="140"/>
      <c r="I696" s="140"/>
      <c r="J696" s="137"/>
      <c r="K696" s="78" t="s">
        <v>10</v>
      </c>
      <c r="L696" s="78" t="s">
        <v>11</v>
      </c>
    </row>
    <row r="697" spans="1:12" ht="15" customHeight="1" x14ac:dyDescent="0.25">
      <c r="A697" s="76"/>
      <c r="B697" s="101"/>
      <c r="C697" s="9"/>
      <c r="D697" s="73"/>
      <c r="E697" s="73"/>
      <c r="F697" s="73"/>
      <c r="G697" s="74"/>
      <c r="H697" s="74"/>
      <c r="I697" s="73"/>
      <c r="J697" s="3"/>
      <c r="K697" s="3"/>
      <c r="L697" s="3"/>
    </row>
    <row r="698" spans="1:12" x14ac:dyDescent="0.25">
      <c r="A698" s="9"/>
      <c r="B698" s="97"/>
      <c r="C698" s="9"/>
      <c r="D698" s="73"/>
      <c r="E698" s="73"/>
      <c r="F698" s="73"/>
      <c r="G698" s="74"/>
      <c r="H698" s="74"/>
      <c r="I698" s="73"/>
      <c r="J698" s="3"/>
      <c r="K698" s="3"/>
      <c r="L698" s="3"/>
    </row>
    <row r="699" spans="1:12" x14ac:dyDescent="0.25">
      <c r="A699" s="9"/>
      <c r="B699" s="97"/>
      <c r="C699" s="9"/>
      <c r="D699" s="73"/>
      <c r="E699" s="73"/>
      <c r="F699" s="73"/>
      <c r="G699" s="74"/>
      <c r="H699" s="74"/>
      <c r="I699" s="73"/>
      <c r="J699" s="3"/>
      <c r="K699" s="3"/>
      <c r="L699" s="3"/>
    </row>
    <row r="700" spans="1:12" x14ac:dyDescent="0.25">
      <c r="A700" s="9"/>
      <c r="B700" s="97"/>
      <c r="C700" s="9"/>
      <c r="D700" s="73"/>
      <c r="E700" s="73"/>
      <c r="F700" s="73"/>
      <c r="G700" s="74"/>
      <c r="H700" s="74"/>
      <c r="I700" s="73"/>
      <c r="J700" s="3"/>
      <c r="K700" s="3"/>
      <c r="L700" s="3"/>
    </row>
    <row r="701" spans="1:12" x14ac:dyDescent="0.25">
      <c r="A701" s="9"/>
      <c r="B701" s="98"/>
      <c r="C701" s="9"/>
      <c r="D701" s="73"/>
      <c r="E701" s="73"/>
      <c r="F701" s="73"/>
      <c r="G701" s="74"/>
      <c r="H701" s="74"/>
      <c r="I701" s="73"/>
      <c r="J701" s="3"/>
      <c r="K701" s="3"/>
      <c r="L701" s="3"/>
    </row>
    <row r="702" spans="1:12" x14ac:dyDescent="0.25">
      <c r="A702" s="9"/>
      <c r="B702" s="98"/>
      <c r="C702" s="9"/>
      <c r="D702" s="73"/>
      <c r="E702" s="73"/>
      <c r="F702" s="73"/>
      <c r="G702" s="74"/>
      <c r="H702" s="74"/>
      <c r="I702" s="73"/>
      <c r="J702" s="3"/>
      <c r="K702" s="3"/>
      <c r="L702" s="3"/>
    </row>
    <row r="703" spans="1:12" ht="15" customHeight="1" x14ac:dyDescent="0.25">
      <c r="A703" s="76"/>
      <c r="B703" s="99"/>
      <c r="C703" s="9"/>
      <c r="D703" s="73"/>
      <c r="E703" s="73"/>
      <c r="F703" s="73"/>
      <c r="G703" s="74"/>
      <c r="H703" s="74"/>
      <c r="I703" s="73"/>
      <c r="J703" s="3"/>
      <c r="K703" s="3"/>
      <c r="L703" s="3"/>
    </row>
    <row r="704" spans="1:12" ht="15" customHeight="1" x14ac:dyDescent="0.25">
      <c r="A704" s="76"/>
      <c r="B704" s="98"/>
      <c r="C704" s="9"/>
      <c r="D704" s="73"/>
      <c r="E704" s="73"/>
      <c r="F704" s="73"/>
      <c r="G704" s="74"/>
      <c r="H704" s="74"/>
      <c r="I704" s="73"/>
      <c r="J704" s="3"/>
      <c r="K704" s="3"/>
      <c r="L704" s="3"/>
    </row>
    <row r="705" spans="1:12" ht="15" customHeight="1" x14ac:dyDescent="0.25">
      <c r="A705" s="76"/>
      <c r="B705" s="98"/>
      <c r="C705" s="9"/>
      <c r="D705" s="73"/>
      <c r="E705" s="73"/>
      <c r="F705" s="73"/>
      <c r="G705" s="74"/>
      <c r="H705" s="74"/>
      <c r="I705" s="73"/>
      <c r="J705" s="3"/>
      <c r="K705" s="3"/>
      <c r="L705" s="3"/>
    </row>
    <row r="706" spans="1:12" ht="15" customHeight="1" x14ac:dyDescent="0.25">
      <c r="A706" s="76"/>
      <c r="B706" s="98"/>
      <c r="C706" s="9"/>
      <c r="D706" s="73"/>
      <c r="E706" s="73"/>
      <c r="F706" s="73"/>
      <c r="G706" s="74"/>
      <c r="H706" s="74"/>
      <c r="I706" s="73"/>
      <c r="J706" s="3"/>
      <c r="K706" s="3"/>
      <c r="L706" s="3"/>
    </row>
    <row r="707" spans="1:12" x14ac:dyDescent="0.25">
      <c r="A707" s="76"/>
      <c r="B707" s="98"/>
      <c r="C707" s="9"/>
      <c r="D707" s="73"/>
      <c r="E707" s="73"/>
      <c r="F707" s="73"/>
      <c r="G707" s="74"/>
      <c r="H707" s="74"/>
      <c r="I707" s="73"/>
      <c r="J707" s="3"/>
      <c r="K707" s="3"/>
      <c r="L707" s="3"/>
    </row>
    <row r="708" spans="1:12" x14ac:dyDescent="0.25">
      <c r="A708" s="76"/>
      <c r="B708" s="98"/>
      <c r="C708" s="9"/>
      <c r="D708" s="73"/>
      <c r="E708" s="73"/>
      <c r="F708" s="73"/>
      <c r="G708" s="74"/>
      <c r="H708" s="74"/>
      <c r="I708" s="73"/>
      <c r="J708" s="3"/>
      <c r="K708" s="3"/>
      <c r="L708" s="3"/>
    </row>
    <row r="709" spans="1:12" x14ac:dyDescent="0.25">
      <c r="A709" s="76"/>
      <c r="B709" s="98"/>
      <c r="C709" s="9"/>
      <c r="D709" s="73"/>
      <c r="E709" s="73"/>
      <c r="F709" s="73"/>
      <c r="G709" s="74"/>
      <c r="H709" s="74"/>
      <c r="I709" s="73"/>
      <c r="J709" s="3"/>
      <c r="K709" s="3"/>
      <c r="L709" s="3"/>
    </row>
    <row r="710" spans="1:12" x14ac:dyDescent="0.25">
      <c r="A710" s="76"/>
      <c r="B710" s="98"/>
      <c r="C710" s="9"/>
      <c r="D710" s="73"/>
      <c r="E710" s="73"/>
      <c r="F710" s="73"/>
      <c r="G710" s="74"/>
      <c r="H710" s="74"/>
      <c r="I710" s="73"/>
      <c r="J710" s="3"/>
      <c r="K710" s="3"/>
      <c r="L710" s="3"/>
    </row>
    <row r="711" spans="1:12" x14ac:dyDescent="0.25">
      <c r="A711" s="76"/>
      <c r="B711" s="98"/>
      <c r="C711" s="9"/>
      <c r="D711" s="73"/>
      <c r="E711" s="73"/>
      <c r="F711" s="73"/>
      <c r="G711" s="74"/>
      <c r="H711" s="74"/>
      <c r="I711" s="73"/>
      <c r="J711" s="3"/>
      <c r="K711" s="3"/>
      <c r="L711" s="3"/>
    </row>
    <row r="712" spans="1:12" x14ac:dyDescent="0.25">
      <c r="A712" s="76"/>
      <c r="B712" s="98"/>
      <c r="C712" s="9"/>
      <c r="D712" s="73"/>
      <c r="E712" s="73"/>
      <c r="F712" s="73"/>
      <c r="G712" s="74"/>
      <c r="H712" s="74"/>
      <c r="I712" s="73"/>
      <c r="J712" s="3"/>
      <c r="K712" s="3"/>
      <c r="L712" s="3"/>
    </row>
    <row r="713" spans="1:12" ht="15" customHeight="1" x14ac:dyDescent="0.25">
      <c r="A713" s="76"/>
      <c r="B713" s="97"/>
      <c r="C713" s="9"/>
      <c r="D713" s="73"/>
      <c r="E713" s="73"/>
      <c r="F713" s="73"/>
      <c r="G713" s="74"/>
      <c r="H713" s="74"/>
      <c r="I713" s="73"/>
      <c r="J713" s="3"/>
      <c r="K713" s="3"/>
      <c r="L713" s="3"/>
    </row>
    <row r="714" spans="1:12" ht="15" customHeight="1" x14ac:dyDescent="0.25">
      <c r="A714" s="76"/>
      <c r="B714" s="98"/>
      <c r="C714" s="9"/>
      <c r="D714" s="73"/>
      <c r="E714" s="73"/>
      <c r="F714" s="73"/>
      <c r="G714" s="74"/>
      <c r="H714" s="74"/>
      <c r="I714" s="73"/>
      <c r="J714" s="3"/>
      <c r="K714" s="3"/>
      <c r="L714" s="3"/>
    </row>
    <row r="715" spans="1:12" ht="15" customHeight="1" x14ac:dyDescent="0.25">
      <c r="A715" s="76"/>
      <c r="B715" s="98"/>
      <c r="C715" s="9"/>
      <c r="D715" s="73"/>
      <c r="E715" s="73"/>
      <c r="F715" s="73"/>
      <c r="G715" s="74"/>
      <c r="H715" s="74"/>
      <c r="I715" s="73"/>
      <c r="J715" s="3"/>
      <c r="K715" s="3"/>
      <c r="L715" s="3"/>
    </row>
    <row r="716" spans="1:12" ht="15" customHeight="1" x14ac:dyDescent="0.25">
      <c r="A716" s="76"/>
      <c r="B716" s="98"/>
      <c r="C716" s="9"/>
      <c r="D716" s="73"/>
      <c r="E716" s="73"/>
      <c r="F716" s="73"/>
      <c r="G716" s="74"/>
      <c r="H716" s="74"/>
      <c r="I716" s="73"/>
      <c r="J716" s="3"/>
      <c r="K716" s="3"/>
      <c r="L716" s="3"/>
    </row>
    <row r="717" spans="1:12" ht="15" customHeight="1" x14ac:dyDescent="0.25">
      <c r="A717" s="76"/>
      <c r="B717" s="98"/>
      <c r="C717" s="9"/>
      <c r="D717" s="73"/>
      <c r="E717" s="73"/>
      <c r="F717" s="73"/>
      <c r="G717" s="74"/>
      <c r="H717" s="74"/>
      <c r="I717" s="73"/>
      <c r="J717" s="3"/>
      <c r="K717" s="3"/>
      <c r="L717" s="3"/>
    </row>
    <row r="718" spans="1:12" ht="15" customHeight="1" x14ac:dyDescent="0.25">
      <c r="A718" s="76"/>
      <c r="B718" s="97"/>
      <c r="C718" s="9"/>
      <c r="D718" s="73"/>
      <c r="E718" s="73"/>
      <c r="F718" s="73"/>
      <c r="G718" s="74"/>
      <c r="H718" s="74"/>
      <c r="I718" s="73"/>
      <c r="J718" s="3"/>
      <c r="K718" s="3"/>
      <c r="L718" s="3"/>
    </row>
    <row r="719" spans="1:12" ht="15" customHeight="1" x14ac:dyDescent="0.25">
      <c r="A719" s="76"/>
      <c r="B719" s="3"/>
      <c r="C719" s="9"/>
      <c r="D719" s="73"/>
      <c r="E719" s="73"/>
      <c r="F719" s="73"/>
      <c r="G719" s="74"/>
      <c r="H719" s="73"/>
      <c r="I719" s="73"/>
      <c r="J719" s="3"/>
      <c r="K719" s="3"/>
      <c r="L719" s="3"/>
    </row>
    <row r="720" spans="1:12" ht="15" customHeight="1" x14ac:dyDescent="0.25">
      <c r="A720" s="76"/>
      <c r="B720" s="100"/>
      <c r="C720" s="9"/>
      <c r="D720" s="73"/>
      <c r="E720" s="73"/>
      <c r="F720" s="73"/>
      <c r="G720" s="74"/>
      <c r="H720" s="73"/>
      <c r="I720" s="73"/>
      <c r="J720" s="3"/>
      <c r="K720" s="3"/>
      <c r="L720" s="3"/>
    </row>
    <row r="721" spans="1:12" ht="15" customHeight="1" x14ac:dyDescent="0.25">
      <c r="A721" s="76"/>
      <c r="B721" s="100"/>
      <c r="C721" s="9"/>
      <c r="D721" s="73"/>
      <c r="E721" s="73"/>
      <c r="F721" s="73"/>
      <c r="G721" s="74"/>
      <c r="H721" s="73"/>
      <c r="I721" s="73"/>
      <c r="J721" s="3"/>
      <c r="K721" s="3"/>
      <c r="L721" s="3"/>
    </row>
    <row r="722" spans="1:12" ht="15" customHeight="1" x14ac:dyDescent="0.25">
      <c r="A722" s="76"/>
      <c r="B722" s="97"/>
      <c r="C722" s="9"/>
      <c r="D722" s="73"/>
      <c r="E722" s="73"/>
      <c r="F722" s="73"/>
      <c r="G722" s="74"/>
      <c r="H722" s="73"/>
      <c r="I722" s="73"/>
      <c r="J722" s="3"/>
      <c r="K722" s="3"/>
      <c r="L722" s="3"/>
    </row>
    <row r="723" spans="1:12" ht="15" customHeight="1" x14ac:dyDescent="0.25">
      <c r="A723" s="76"/>
      <c r="B723" s="100"/>
      <c r="C723" s="9"/>
      <c r="D723" s="73"/>
      <c r="E723" s="73"/>
      <c r="F723" s="73"/>
      <c r="G723" s="74"/>
      <c r="H723" s="73"/>
      <c r="I723" s="73"/>
      <c r="J723" s="3"/>
      <c r="K723" s="3"/>
      <c r="L723" s="3"/>
    </row>
    <row r="724" spans="1:12" ht="15" customHeight="1" x14ac:dyDescent="0.25">
      <c r="A724" s="76"/>
      <c r="B724" s="97"/>
      <c r="C724" s="9"/>
      <c r="D724" s="73"/>
      <c r="E724" s="73"/>
      <c r="F724" s="73"/>
      <c r="G724" s="74"/>
      <c r="H724" s="73"/>
      <c r="I724" s="73"/>
      <c r="J724" s="3"/>
      <c r="K724" s="3"/>
      <c r="L724" s="3"/>
    </row>
    <row r="725" spans="1:12" ht="15" customHeight="1" x14ac:dyDescent="0.25">
      <c r="A725" s="76"/>
      <c r="B725" s="97"/>
      <c r="C725" s="9"/>
      <c r="D725" s="73"/>
      <c r="E725" s="73"/>
      <c r="F725" s="73"/>
      <c r="G725" s="74"/>
      <c r="H725" s="73"/>
      <c r="I725" s="3"/>
      <c r="J725" s="3"/>
      <c r="K725" s="3"/>
      <c r="L725" s="3"/>
    </row>
    <row r="726" spans="1:12" ht="15" customHeight="1" x14ac:dyDescent="0.25">
      <c r="A726" s="76"/>
      <c r="B726" s="97"/>
      <c r="C726" s="9"/>
      <c r="D726" s="73"/>
      <c r="E726" s="73"/>
      <c r="F726" s="73"/>
      <c r="G726" s="74"/>
      <c r="H726" s="73"/>
      <c r="I726" s="3"/>
      <c r="J726" s="3"/>
      <c r="K726" s="3"/>
      <c r="L726" s="3"/>
    </row>
    <row r="727" spans="1:12" ht="15" customHeight="1" x14ac:dyDescent="0.25">
      <c r="A727" s="76"/>
      <c r="B727" s="97"/>
      <c r="C727" s="9"/>
      <c r="D727" s="74"/>
      <c r="E727" s="73"/>
      <c r="F727" s="73"/>
      <c r="G727" s="74"/>
      <c r="H727" s="73"/>
      <c r="I727" s="3"/>
      <c r="J727" s="3"/>
      <c r="K727" s="3"/>
      <c r="L727" s="3"/>
    </row>
    <row r="728" spans="1:12" ht="15" customHeight="1" x14ac:dyDescent="0.25">
      <c r="A728" s="76"/>
      <c r="B728" s="97"/>
      <c r="C728" s="9"/>
      <c r="D728" s="74"/>
      <c r="E728" s="73"/>
      <c r="F728" s="73"/>
      <c r="G728" s="74"/>
      <c r="H728" s="73"/>
      <c r="I728" s="3"/>
      <c r="J728" s="3"/>
      <c r="K728" s="3"/>
      <c r="L728" s="3"/>
    </row>
    <row r="729" spans="1:12" ht="15" customHeight="1" x14ac:dyDescent="0.25">
      <c r="A729" s="76"/>
      <c r="B729" s="97"/>
      <c r="C729" s="9"/>
      <c r="D729" s="73"/>
      <c r="E729" s="73"/>
      <c r="F729" s="73"/>
      <c r="G729" s="74"/>
      <c r="H729" s="3"/>
      <c r="I729" s="3"/>
      <c r="J729" s="3"/>
      <c r="K729" s="3"/>
      <c r="L729" s="3"/>
    </row>
    <row r="730" spans="1:12" ht="15" customHeight="1" x14ac:dyDescent="0.25">
      <c r="A730" s="76"/>
      <c r="B730" s="97"/>
      <c r="C730" s="9"/>
      <c r="D730" s="73"/>
      <c r="E730" s="73"/>
      <c r="F730" s="73"/>
      <c r="G730" s="74"/>
      <c r="H730" s="3"/>
      <c r="I730" s="3"/>
      <c r="J730" s="3"/>
      <c r="K730" s="3"/>
      <c r="L730" s="3"/>
    </row>
    <row r="731" spans="1:12" ht="15" customHeight="1" x14ac:dyDescent="0.25">
      <c r="A731" s="76"/>
      <c r="B731" s="97"/>
      <c r="C731" s="9"/>
      <c r="D731" s="73"/>
      <c r="E731" s="73"/>
      <c r="F731" s="73"/>
      <c r="G731" s="74"/>
      <c r="H731" s="22"/>
      <c r="I731" s="22"/>
      <c r="J731" s="22"/>
      <c r="K731" s="22"/>
      <c r="L731" s="22"/>
    </row>
    <row r="732" spans="1:12" ht="15.75" customHeight="1" x14ac:dyDescent="0.25">
      <c r="A732" s="76"/>
      <c r="B732" s="97"/>
      <c r="C732" s="9"/>
      <c r="D732" s="73"/>
      <c r="E732" s="73"/>
      <c r="F732" s="73"/>
      <c r="G732" s="96"/>
      <c r="H732" s="73"/>
      <c r="I732" s="3"/>
      <c r="J732" s="3"/>
      <c r="K732" s="3"/>
      <c r="L732" s="3"/>
    </row>
    <row r="733" spans="1:12" ht="15.75" customHeight="1" x14ac:dyDescent="0.25">
      <c r="A733" s="76"/>
      <c r="B733" s="97"/>
      <c r="C733" s="9"/>
      <c r="D733" s="73"/>
      <c r="E733" s="73"/>
      <c r="F733" s="73"/>
      <c r="G733" s="96"/>
      <c r="H733" s="73"/>
      <c r="I733" s="3"/>
      <c r="J733" s="3"/>
      <c r="K733" s="3"/>
      <c r="L733" s="3"/>
    </row>
    <row r="734" spans="1:12" ht="15.75" customHeight="1" x14ac:dyDescent="0.25">
      <c r="A734" s="76"/>
      <c r="B734" s="97"/>
      <c r="C734" s="9"/>
      <c r="D734" s="73"/>
      <c r="E734" s="73"/>
      <c r="F734" s="73"/>
      <c r="G734" s="96"/>
      <c r="H734" s="3"/>
      <c r="I734" s="3"/>
      <c r="J734" s="3"/>
      <c r="K734" s="3"/>
      <c r="L734" s="3"/>
    </row>
    <row r="735" spans="1:12" ht="15.75" customHeight="1" x14ac:dyDescent="0.25">
      <c r="A735" s="76"/>
      <c r="B735" s="97"/>
      <c r="C735" s="9"/>
      <c r="D735" s="73"/>
      <c r="E735" s="73"/>
      <c r="F735" s="73"/>
      <c r="G735" s="96"/>
      <c r="H735" s="3"/>
      <c r="I735" s="3"/>
      <c r="J735" s="3"/>
      <c r="K735" s="3"/>
      <c r="L735" s="3"/>
    </row>
    <row r="736" spans="1:12" ht="15" customHeight="1" x14ac:dyDescent="0.25">
      <c r="A736" s="131" t="s">
        <v>411</v>
      </c>
      <c r="B736" s="132"/>
      <c r="C736" s="132"/>
      <c r="D736" s="132"/>
      <c r="E736" s="132"/>
      <c r="F736" s="133"/>
      <c r="G736" s="3" t="s">
        <v>412</v>
      </c>
      <c r="H736" s="141"/>
      <c r="I736" s="142"/>
      <c r="J736" s="134" t="s">
        <v>409</v>
      </c>
      <c r="K736" s="135"/>
      <c r="L736" s="136"/>
    </row>
    <row r="737" spans="1:12" ht="15" customHeight="1" x14ac:dyDescent="0.25">
      <c r="A737" s="127" t="s">
        <v>0</v>
      </c>
      <c r="B737" s="127" t="s">
        <v>1</v>
      </c>
      <c r="C737" s="129" t="s">
        <v>2</v>
      </c>
      <c r="D737" s="129" t="s">
        <v>3</v>
      </c>
      <c r="E737" s="129" t="s">
        <v>4</v>
      </c>
      <c r="F737" s="129" t="s">
        <v>410</v>
      </c>
      <c r="G737" s="139" t="s">
        <v>216</v>
      </c>
      <c r="H737" s="139" t="s">
        <v>6</v>
      </c>
      <c r="I737" s="139" t="s">
        <v>7</v>
      </c>
      <c r="J737" s="137" t="s">
        <v>8</v>
      </c>
      <c r="K737" s="138" t="s">
        <v>9</v>
      </c>
      <c r="L737" s="138"/>
    </row>
    <row r="738" spans="1:12" ht="15" customHeight="1" x14ac:dyDescent="0.25">
      <c r="A738" s="128"/>
      <c r="B738" s="128"/>
      <c r="C738" s="130"/>
      <c r="D738" s="130"/>
      <c r="E738" s="130"/>
      <c r="F738" s="130"/>
      <c r="G738" s="140"/>
      <c r="H738" s="140"/>
      <c r="I738" s="140"/>
      <c r="J738" s="137"/>
      <c r="K738" s="78" t="s">
        <v>10</v>
      </c>
      <c r="L738" s="78" t="s">
        <v>11</v>
      </c>
    </row>
    <row r="739" spans="1:12" ht="15" customHeight="1" x14ac:dyDescent="0.25">
      <c r="A739" s="82"/>
      <c r="B739" s="108"/>
      <c r="C739" s="83"/>
      <c r="D739" s="84"/>
      <c r="E739" s="84"/>
      <c r="F739" s="84"/>
      <c r="G739" s="91"/>
      <c r="H739" s="85"/>
      <c r="I739" s="3"/>
      <c r="J739" s="3"/>
      <c r="K739" s="3"/>
      <c r="L739" s="3"/>
    </row>
    <row r="740" spans="1:12" x14ac:dyDescent="0.25">
      <c r="A740" s="82"/>
      <c r="B740" s="108"/>
      <c r="C740" s="83"/>
      <c r="D740" s="73"/>
      <c r="E740" s="84"/>
      <c r="F740" s="74"/>
      <c r="G740" s="91"/>
      <c r="H740" s="86"/>
      <c r="I740" s="3"/>
      <c r="J740" s="3"/>
      <c r="K740" s="3"/>
      <c r="L740" s="3"/>
    </row>
    <row r="741" spans="1:12" x14ac:dyDescent="0.25">
      <c r="A741" s="82"/>
      <c r="B741" s="108"/>
      <c r="C741" s="83"/>
      <c r="D741" s="73"/>
      <c r="E741" s="84"/>
      <c r="F741" s="74"/>
      <c r="G741" s="91"/>
      <c r="H741" s="86"/>
      <c r="I741" s="3"/>
      <c r="J741" s="3"/>
      <c r="K741" s="3"/>
      <c r="L741" s="3"/>
    </row>
    <row r="742" spans="1:12" x14ac:dyDescent="0.25">
      <c r="A742" s="82"/>
      <c r="B742" s="108"/>
      <c r="C742" s="83"/>
      <c r="D742" s="73"/>
      <c r="E742" s="84"/>
      <c r="F742" s="74"/>
      <c r="G742" s="91"/>
      <c r="H742" s="86"/>
      <c r="I742" s="3"/>
      <c r="J742" s="3"/>
      <c r="K742" s="3"/>
      <c r="L742" s="3"/>
    </row>
    <row r="743" spans="1:12" x14ac:dyDescent="0.25">
      <c r="A743" s="82"/>
      <c r="B743" s="109"/>
      <c r="C743" s="87"/>
      <c r="D743" s="73"/>
      <c r="E743" s="89"/>
      <c r="F743" s="74"/>
      <c r="G743" s="88"/>
      <c r="H743" s="74"/>
      <c r="I743" s="3"/>
      <c r="J743" s="3"/>
      <c r="K743" s="3"/>
      <c r="L743" s="3"/>
    </row>
    <row r="744" spans="1:12" x14ac:dyDescent="0.25">
      <c r="A744" s="82"/>
      <c r="B744" s="109"/>
      <c r="C744" s="87"/>
      <c r="D744" s="73"/>
      <c r="E744" s="89"/>
      <c r="F744" s="74"/>
      <c r="G744" s="88"/>
      <c r="H744" s="74"/>
      <c r="I744" s="3"/>
      <c r="J744" s="3"/>
      <c r="K744" s="3"/>
      <c r="L744" s="3"/>
    </row>
    <row r="745" spans="1:12" x14ac:dyDescent="0.25">
      <c r="A745" s="82"/>
      <c r="B745" s="101"/>
      <c r="C745" s="9"/>
      <c r="D745" s="73"/>
      <c r="E745" s="73"/>
      <c r="F745" s="74"/>
      <c r="G745" s="74"/>
      <c r="H745" s="74"/>
      <c r="I745" s="3"/>
      <c r="J745" s="3"/>
      <c r="K745" s="3"/>
      <c r="L745" s="3"/>
    </row>
    <row r="746" spans="1:12" x14ac:dyDescent="0.25">
      <c r="A746" s="82"/>
      <c r="B746" s="101"/>
      <c r="C746" s="9"/>
      <c r="D746" s="73"/>
      <c r="E746" s="73"/>
      <c r="F746" s="74"/>
      <c r="G746" s="74"/>
      <c r="H746" s="74"/>
      <c r="I746" s="3"/>
      <c r="J746" s="3"/>
      <c r="K746" s="3"/>
      <c r="L746" s="3"/>
    </row>
    <row r="747" spans="1:12" x14ac:dyDescent="0.25">
      <c r="A747" s="82"/>
      <c r="B747" s="101"/>
      <c r="C747" s="9"/>
      <c r="D747" s="73"/>
      <c r="E747" s="73"/>
      <c r="F747" s="74"/>
      <c r="G747" s="74"/>
      <c r="H747" s="74"/>
      <c r="I747" s="3"/>
      <c r="J747" s="3"/>
      <c r="K747" s="3"/>
      <c r="L747" s="3"/>
    </row>
    <row r="748" spans="1:12" x14ac:dyDescent="0.25">
      <c r="A748" s="82"/>
      <c r="B748" s="101"/>
      <c r="C748" s="9"/>
      <c r="D748" s="73"/>
      <c r="E748" s="73"/>
      <c r="F748" s="74"/>
      <c r="G748" s="74"/>
      <c r="H748" s="74"/>
      <c r="I748" s="3"/>
      <c r="J748" s="3"/>
      <c r="K748" s="3"/>
      <c r="L748" s="3"/>
    </row>
    <row r="749" spans="1:12" x14ac:dyDescent="0.25">
      <c r="A749" s="82"/>
      <c r="B749" s="101"/>
      <c r="C749" s="9"/>
      <c r="D749" s="73"/>
      <c r="E749" s="73"/>
      <c r="F749" s="74"/>
      <c r="G749" s="74"/>
      <c r="H749" s="74"/>
      <c r="I749" s="3"/>
      <c r="J749" s="3"/>
      <c r="K749" s="3"/>
      <c r="L749" s="3"/>
    </row>
    <row r="750" spans="1:12" x14ac:dyDescent="0.25">
      <c r="A750" s="82"/>
      <c r="B750" s="101"/>
      <c r="C750" s="9"/>
      <c r="D750" s="73"/>
      <c r="E750" s="73"/>
      <c r="F750" s="74"/>
      <c r="G750" s="74"/>
      <c r="H750" s="74"/>
      <c r="I750" s="3"/>
      <c r="J750" s="3"/>
      <c r="K750" s="3"/>
      <c r="L750" s="3"/>
    </row>
    <row r="751" spans="1:12" x14ac:dyDescent="0.25">
      <c r="A751" s="82"/>
      <c r="B751" s="101"/>
      <c r="C751" s="9"/>
      <c r="D751" s="73"/>
      <c r="E751" s="73"/>
      <c r="F751" s="74"/>
      <c r="G751" s="74"/>
      <c r="H751" s="74"/>
      <c r="I751" s="3"/>
      <c r="J751" s="3"/>
      <c r="K751" s="3"/>
      <c r="L751" s="3"/>
    </row>
    <row r="752" spans="1:12" x14ac:dyDescent="0.25">
      <c r="A752" s="82"/>
      <c r="B752" s="101"/>
      <c r="C752" s="9"/>
      <c r="D752" s="73"/>
      <c r="E752" s="73"/>
      <c r="F752" s="74"/>
      <c r="G752" s="74"/>
      <c r="H752" s="74"/>
      <c r="I752" s="3"/>
      <c r="J752" s="3"/>
      <c r="K752" s="3"/>
      <c r="L752" s="3"/>
    </row>
    <row r="753" spans="1:12" x14ac:dyDescent="0.25">
      <c r="A753" s="82"/>
      <c r="B753" s="101"/>
      <c r="C753" s="9"/>
      <c r="D753" s="73"/>
      <c r="E753" s="73"/>
      <c r="F753" s="74"/>
      <c r="G753" s="74"/>
      <c r="H753" s="74"/>
      <c r="I753" s="3"/>
      <c r="J753" s="3"/>
      <c r="K753" s="3"/>
      <c r="L753" s="3"/>
    </row>
    <row r="754" spans="1:12" x14ac:dyDescent="0.25">
      <c r="A754" s="82"/>
      <c r="B754" s="101"/>
      <c r="C754" s="9"/>
      <c r="D754" s="73"/>
      <c r="E754" s="73"/>
      <c r="F754" s="74"/>
      <c r="G754" s="74"/>
      <c r="H754" s="74"/>
      <c r="I754" s="3"/>
      <c r="J754" s="3"/>
      <c r="K754" s="3"/>
      <c r="L754" s="3"/>
    </row>
    <row r="755" spans="1:12" ht="15" customHeight="1" x14ac:dyDescent="0.25">
      <c r="A755" s="82"/>
      <c r="B755" s="101"/>
      <c r="C755" s="9"/>
      <c r="D755" s="74"/>
      <c r="E755" s="73"/>
      <c r="F755" s="73"/>
      <c r="G755" s="74"/>
      <c r="H755" s="74"/>
      <c r="I755" s="3"/>
      <c r="J755" s="3"/>
      <c r="K755" s="3"/>
      <c r="L755" s="3"/>
    </row>
    <row r="756" spans="1:12" ht="15" customHeight="1" x14ac:dyDescent="0.25">
      <c r="A756" s="82"/>
      <c r="B756" s="99"/>
      <c r="C756" s="9"/>
      <c r="D756" s="74"/>
      <c r="E756" s="73"/>
      <c r="F756" s="73"/>
      <c r="G756" s="74"/>
      <c r="H756" s="74"/>
      <c r="I756" s="3"/>
      <c r="J756" s="3"/>
      <c r="K756" s="3"/>
      <c r="L756" s="3"/>
    </row>
    <row r="757" spans="1:12" ht="15" customHeight="1" x14ac:dyDescent="0.25">
      <c r="A757" s="82"/>
      <c r="B757" s="101"/>
      <c r="C757" s="9"/>
      <c r="D757" s="74"/>
      <c r="E757" s="73"/>
      <c r="F757" s="73"/>
      <c r="G757" s="74"/>
      <c r="H757" s="74"/>
      <c r="I757" s="3"/>
      <c r="J757" s="3"/>
      <c r="K757" s="3"/>
      <c r="L757" s="3"/>
    </row>
    <row r="758" spans="1:12" ht="15" customHeight="1" x14ac:dyDescent="0.25">
      <c r="A758" s="82"/>
      <c r="B758" s="101"/>
      <c r="C758" s="9"/>
      <c r="D758" s="74"/>
      <c r="E758" s="73"/>
      <c r="F758" s="73"/>
      <c r="G758" s="74"/>
      <c r="H758" s="74"/>
      <c r="I758" s="3"/>
      <c r="J758" s="3"/>
      <c r="K758" s="3"/>
      <c r="L758" s="3"/>
    </row>
    <row r="759" spans="1:12" ht="15" customHeight="1" x14ac:dyDescent="0.25">
      <c r="A759" s="82"/>
      <c r="B759" s="101"/>
      <c r="C759" s="9"/>
      <c r="D759" s="74"/>
      <c r="E759" s="73"/>
      <c r="F759" s="73"/>
      <c r="G759" s="74"/>
      <c r="H759" s="74"/>
      <c r="I759" s="3"/>
      <c r="J759" s="3"/>
      <c r="K759" s="3"/>
      <c r="L759" s="3"/>
    </row>
    <row r="760" spans="1:12" ht="15" customHeight="1" x14ac:dyDescent="0.25">
      <c r="A760" s="82"/>
      <c r="B760" s="99"/>
      <c r="C760" s="9"/>
      <c r="D760" s="74"/>
      <c r="E760" s="73"/>
      <c r="F760" s="73"/>
      <c r="G760" s="74"/>
      <c r="H760" s="74"/>
      <c r="I760" s="3"/>
      <c r="J760" s="3"/>
      <c r="K760" s="3"/>
      <c r="L760" s="3"/>
    </row>
    <row r="761" spans="1:12" ht="15" customHeight="1" x14ac:dyDescent="0.25">
      <c r="A761" s="82"/>
      <c r="B761" s="101"/>
      <c r="C761" s="9"/>
      <c r="D761" s="74"/>
      <c r="E761" s="73"/>
      <c r="F761" s="73"/>
      <c r="G761" s="74"/>
      <c r="H761" s="74"/>
      <c r="I761" s="3"/>
      <c r="J761" s="3"/>
      <c r="K761" s="3"/>
      <c r="L761" s="3"/>
    </row>
    <row r="762" spans="1:12" ht="15" customHeight="1" x14ac:dyDescent="0.25">
      <c r="A762" s="82"/>
      <c r="B762" s="101"/>
      <c r="C762" s="9"/>
      <c r="D762" s="74"/>
      <c r="E762" s="73"/>
      <c r="F762" s="73"/>
      <c r="G762" s="74"/>
      <c r="H762" s="74"/>
      <c r="I762" s="3"/>
      <c r="J762" s="3"/>
      <c r="K762" s="3"/>
      <c r="L762" s="3"/>
    </row>
    <row r="763" spans="1:12" ht="15" customHeight="1" x14ac:dyDescent="0.25">
      <c r="A763" s="82"/>
      <c r="B763" s="107"/>
      <c r="C763" s="9"/>
      <c r="D763" s="74"/>
      <c r="E763" s="73"/>
      <c r="F763" s="73"/>
      <c r="G763" s="74"/>
      <c r="H763" s="74"/>
      <c r="I763" s="3"/>
      <c r="J763" s="3"/>
      <c r="K763" s="3"/>
      <c r="L763" s="3"/>
    </row>
    <row r="764" spans="1:12" ht="15" customHeight="1" x14ac:dyDescent="0.25">
      <c r="A764" s="82"/>
      <c r="B764" s="99"/>
      <c r="C764" s="9"/>
      <c r="D764" s="74"/>
      <c r="E764" s="73"/>
      <c r="F764" s="73"/>
      <c r="G764" s="74"/>
      <c r="H764" s="74"/>
      <c r="I764" s="3"/>
      <c r="J764" s="3"/>
      <c r="K764" s="3"/>
      <c r="L764" s="3"/>
    </row>
    <row r="765" spans="1:12" ht="15" customHeight="1" x14ac:dyDescent="0.25">
      <c r="A765" s="9"/>
      <c r="B765" s="99"/>
      <c r="C765" s="9"/>
      <c r="D765" s="73"/>
      <c r="E765" s="73"/>
      <c r="F765" s="73"/>
      <c r="G765" s="74"/>
      <c r="H765" s="74"/>
      <c r="I765" s="3"/>
      <c r="J765" s="3"/>
      <c r="K765" s="3"/>
      <c r="L765" s="3"/>
    </row>
    <row r="766" spans="1:12" ht="15" customHeight="1" x14ac:dyDescent="0.25">
      <c r="A766" s="9"/>
      <c r="B766" s="99"/>
      <c r="C766" s="9"/>
      <c r="D766" s="73"/>
      <c r="E766" s="73"/>
      <c r="F766" s="73"/>
      <c r="G766" s="74"/>
      <c r="H766" s="74"/>
      <c r="I766" s="3"/>
      <c r="J766" s="3"/>
      <c r="K766" s="3"/>
      <c r="L766" s="3"/>
    </row>
    <row r="767" spans="1:12" ht="15" customHeight="1" x14ac:dyDescent="0.25">
      <c r="A767" s="9"/>
      <c r="B767" s="99"/>
      <c r="C767" s="9"/>
      <c r="D767" s="73"/>
      <c r="E767" s="73"/>
      <c r="F767" s="73"/>
      <c r="G767" s="74"/>
      <c r="H767" s="74"/>
      <c r="I767" s="3"/>
      <c r="J767" s="3"/>
      <c r="K767" s="3"/>
      <c r="L767" s="3"/>
    </row>
    <row r="768" spans="1:12" ht="15" customHeight="1" x14ac:dyDescent="0.25">
      <c r="A768" s="9"/>
      <c r="B768" s="101"/>
      <c r="C768" s="9"/>
      <c r="D768" s="73"/>
      <c r="E768" s="73"/>
      <c r="F768" s="73"/>
      <c r="G768" s="74"/>
      <c r="H768" s="74"/>
      <c r="I768" s="3"/>
      <c r="J768" s="3"/>
      <c r="K768" s="3"/>
      <c r="L768" s="3"/>
    </row>
    <row r="769" spans="1:12" ht="15" customHeight="1" x14ac:dyDescent="0.25">
      <c r="A769" s="9"/>
      <c r="B769" s="99"/>
      <c r="C769" s="9"/>
      <c r="D769" s="73"/>
      <c r="E769" s="73"/>
      <c r="F769" s="73"/>
      <c r="G769" s="74"/>
      <c r="H769" s="74"/>
      <c r="I769" s="3"/>
      <c r="J769" s="3"/>
      <c r="K769" s="3"/>
      <c r="L769" s="3"/>
    </row>
    <row r="770" spans="1:12" ht="15" customHeight="1" x14ac:dyDescent="0.25">
      <c r="A770" s="131" t="s">
        <v>411</v>
      </c>
      <c r="B770" s="132"/>
      <c r="C770" s="132"/>
      <c r="D770" s="132"/>
      <c r="E770" s="132"/>
      <c r="F770" s="133"/>
      <c r="G770" s="3" t="s">
        <v>412</v>
      </c>
      <c r="H770" s="141"/>
      <c r="I770" s="142"/>
      <c r="J770" s="134" t="s">
        <v>409</v>
      </c>
      <c r="K770" s="135"/>
      <c r="L770" s="136"/>
    </row>
    <row r="771" spans="1:12" ht="15" customHeight="1" x14ac:dyDescent="0.25">
      <c r="A771" s="127" t="s">
        <v>0</v>
      </c>
      <c r="B771" s="127" t="s">
        <v>1</v>
      </c>
      <c r="C771" s="129" t="s">
        <v>2</v>
      </c>
      <c r="D771" s="129" t="s">
        <v>3</v>
      </c>
      <c r="E771" s="129" t="s">
        <v>4</v>
      </c>
      <c r="F771" s="129" t="s">
        <v>410</v>
      </c>
      <c r="G771" s="139" t="s">
        <v>216</v>
      </c>
      <c r="H771" s="139" t="s">
        <v>6</v>
      </c>
      <c r="I771" s="139" t="s">
        <v>7</v>
      </c>
      <c r="J771" s="137" t="s">
        <v>8</v>
      </c>
      <c r="K771" s="138" t="s">
        <v>9</v>
      </c>
      <c r="L771" s="138"/>
    </row>
    <row r="772" spans="1:12" ht="15" customHeight="1" x14ac:dyDescent="0.25">
      <c r="A772" s="128"/>
      <c r="B772" s="128"/>
      <c r="C772" s="130"/>
      <c r="D772" s="130"/>
      <c r="E772" s="130"/>
      <c r="F772" s="130"/>
      <c r="G772" s="140"/>
      <c r="H772" s="140"/>
      <c r="I772" s="140"/>
      <c r="J772" s="137"/>
      <c r="K772" s="78" t="s">
        <v>10</v>
      </c>
      <c r="L772" s="78" t="s">
        <v>11</v>
      </c>
    </row>
    <row r="773" spans="1:12" ht="15" customHeight="1" x14ac:dyDescent="0.25">
      <c r="A773" s="76"/>
      <c r="B773" s="108"/>
      <c r="C773" s="9"/>
      <c r="D773" s="73"/>
      <c r="E773" s="73"/>
      <c r="F773" s="73"/>
      <c r="G773" s="74"/>
      <c r="H773" s="74"/>
      <c r="I773" s="73"/>
      <c r="J773" s="3"/>
      <c r="K773" s="3"/>
      <c r="L773" s="3"/>
    </row>
    <row r="774" spans="1:12" x14ac:dyDescent="0.25">
      <c r="A774" s="82"/>
      <c r="B774" s="101"/>
      <c r="C774" s="9"/>
      <c r="D774" s="73"/>
      <c r="E774" s="73"/>
      <c r="F774" s="73"/>
      <c r="G774" s="74"/>
      <c r="H774" s="74"/>
      <c r="I774" s="73"/>
      <c r="J774" s="3"/>
      <c r="K774" s="3"/>
      <c r="L774" s="3"/>
    </row>
    <row r="775" spans="1:12" x14ac:dyDescent="0.25">
      <c r="A775" s="82"/>
      <c r="B775" s="99"/>
      <c r="C775" s="9"/>
      <c r="D775" s="73"/>
      <c r="E775" s="73"/>
      <c r="F775" s="73"/>
      <c r="G775" s="74"/>
      <c r="H775" s="74"/>
      <c r="I775" s="73"/>
      <c r="J775" s="3"/>
      <c r="K775" s="3"/>
      <c r="L775" s="3"/>
    </row>
    <row r="776" spans="1:12" x14ac:dyDescent="0.25">
      <c r="A776" s="82"/>
      <c r="B776" s="101"/>
      <c r="C776" s="9"/>
      <c r="D776" s="73"/>
      <c r="E776" s="73"/>
      <c r="F776" s="73"/>
      <c r="G776" s="74"/>
      <c r="H776" s="74"/>
      <c r="I776" s="73"/>
      <c r="J776" s="3"/>
      <c r="K776" s="3"/>
      <c r="L776" s="3"/>
    </row>
    <row r="777" spans="1:12" x14ac:dyDescent="0.25">
      <c r="A777" s="82"/>
      <c r="B777" s="101"/>
      <c r="C777" s="9"/>
      <c r="D777" s="73"/>
      <c r="E777" s="73"/>
      <c r="F777" s="73"/>
      <c r="G777" s="74"/>
      <c r="H777" s="74"/>
      <c r="I777" s="73"/>
      <c r="J777" s="3"/>
      <c r="K777" s="3"/>
      <c r="L777" s="3"/>
    </row>
    <row r="778" spans="1:12" x14ac:dyDescent="0.25">
      <c r="A778" s="82"/>
      <c r="B778" s="101"/>
      <c r="C778" s="9"/>
      <c r="D778" s="73"/>
      <c r="E778" s="73"/>
      <c r="F778" s="73"/>
      <c r="G778" s="74"/>
      <c r="H778" s="74"/>
      <c r="I778" s="73"/>
      <c r="J778" s="3"/>
      <c r="K778" s="3"/>
      <c r="L778" s="3"/>
    </row>
    <row r="779" spans="1:12" x14ac:dyDescent="0.25">
      <c r="A779" s="82"/>
      <c r="B779" s="99"/>
      <c r="C779" s="9"/>
      <c r="D779" s="73"/>
      <c r="E779" s="73"/>
      <c r="F779" s="73"/>
      <c r="G779" s="74"/>
      <c r="H779" s="74"/>
      <c r="I779" s="73"/>
      <c r="J779" s="3"/>
      <c r="K779" s="3"/>
      <c r="L779" s="3"/>
    </row>
    <row r="780" spans="1:12" x14ac:dyDescent="0.25">
      <c r="A780" s="82"/>
      <c r="B780" s="101"/>
      <c r="C780" s="9"/>
      <c r="D780" s="73"/>
      <c r="E780" s="73"/>
      <c r="F780" s="73"/>
      <c r="G780" s="74"/>
      <c r="H780" s="74"/>
      <c r="I780" s="73"/>
      <c r="J780" s="3"/>
      <c r="K780" s="3"/>
      <c r="L780" s="3"/>
    </row>
    <row r="781" spans="1:12" x14ac:dyDescent="0.25">
      <c r="A781" s="82"/>
      <c r="B781" s="101"/>
      <c r="C781" s="9"/>
      <c r="D781" s="73"/>
      <c r="E781" s="73"/>
      <c r="F781" s="73"/>
      <c r="G781" s="74"/>
      <c r="H781" s="74"/>
      <c r="I781" s="73"/>
      <c r="J781" s="3"/>
      <c r="K781" s="3"/>
      <c r="L781" s="3"/>
    </row>
    <row r="782" spans="1:12" x14ac:dyDescent="0.25">
      <c r="A782" s="82"/>
      <c r="B782" s="107"/>
      <c r="C782" s="9"/>
      <c r="D782" s="73"/>
      <c r="E782" s="73"/>
      <c r="F782" s="73"/>
      <c r="G782" s="74"/>
      <c r="H782" s="74"/>
      <c r="I782" s="73"/>
      <c r="J782" s="3"/>
      <c r="K782" s="3"/>
      <c r="L782" s="3"/>
    </row>
    <row r="783" spans="1:12" x14ac:dyDescent="0.25">
      <c r="A783" s="82"/>
      <c r="B783" s="99"/>
      <c r="C783" s="9"/>
      <c r="D783" s="73"/>
      <c r="E783" s="73"/>
      <c r="F783" s="73"/>
      <c r="G783" s="74"/>
      <c r="H783" s="74"/>
      <c r="I783" s="73"/>
      <c r="J783" s="3"/>
      <c r="K783" s="3"/>
      <c r="L783" s="3"/>
    </row>
    <row r="784" spans="1:12" ht="15" customHeight="1" x14ac:dyDescent="0.25">
      <c r="A784" s="82"/>
      <c r="B784" s="99"/>
      <c r="C784" s="9"/>
      <c r="D784" s="74"/>
      <c r="E784" s="73"/>
      <c r="F784" s="73"/>
      <c r="G784" s="74"/>
      <c r="H784" s="74"/>
      <c r="I784" s="73"/>
      <c r="J784" s="3"/>
      <c r="K784" s="3"/>
      <c r="L784" s="3"/>
    </row>
    <row r="785" spans="1:12" ht="15" customHeight="1" x14ac:dyDescent="0.25">
      <c r="A785" s="82"/>
      <c r="B785" s="99"/>
      <c r="C785" s="9"/>
      <c r="D785" s="74"/>
      <c r="E785" s="73"/>
      <c r="F785" s="73"/>
      <c r="G785" s="74"/>
      <c r="H785" s="74"/>
      <c r="I785" s="73"/>
      <c r="J785" s="3"/>
      <c r="K785" s="3"/>
      <c r="L785" s="3"/>
    </row>
    <row r="786" spans="1:12" ht="15" customHeight="1" x14ac:dyDescent="0.25">
      <c r="A786" s="82"/>
      <c r="B786" s="99"/>
      <c r="C786" s="9"/>
      <c r="D786" s="74"/>
      <c r="E786" s="73"/>
      <c r="F786" s="73"/>
      <c r="G786" s="74"/>
      <c r="H786" s="74"/>
      <c r="I786" s="73"/>
      <c r="J786" s="3"/>
      <c r="K786" s="3"/>
      <c r="L786" s="3"/>
    </row>
    <row r="787" spans="1:12" ht="15" customHeight="1" x14ac:dyDescent="0.25">
      <c r="A787" s="82"/>
      <c r="B787" s="99"/>
      <c r="C787" s="9"/>
      <c r="D787" s="74"/>
      <c r="E787" s="73"/>
      <c r="F787" s="73"/>
      <c r="G787" s="74"/>
      <c r="H787" s="74"/>
      <c r="I787" s="73"/>
      <c r="J787" s="3"/>
      <c r="K787" s="3"/>
      <c r="L787" s="3"/>
    </row>
    <row r="788" spans="1:12" ht="15" customHeight="1" x14ac:dyDescent="0.25">
      <c r="A788" s="82"/>
      <c r="B788" s="99"/>
      <c r="C788" s="9"/>
      <c r="D788" s="74"/>
      <c r="E788" s="73"/>
      <c r="F788" s="73"/>
      <c r="G788" s="74"/>
      <c r="H788" s="74"/>
      <c r="I788" s="73"/>
      <c r="J788" s="3"/>
      <c r="K788" s="3"/>
      <c r="L788" s="3"/>
    </row>
    <row r="789" spans="1:12" ht="15" customHeight="1" x14ac:dyDescent="0.25">
      <c r="A789" s="82"/>
      <c r="B789" s="99"/>
      <c r="C789" s="9"/>
      <c r="D789" s="74"/>
      <c r="E789" s="73"/>
      <c r="F789" s="73"/>
      <c r="G789" s="74"/>
      <c r="H789" s="74"/>
      <c r="I789" s="73"/>
      <c r="J789" s="3"/>
      <c r="K789" s="3"/>
      <c r="L789" s="3"/>
    </row>
    <row r="790" spans="1:12" ht="15" customHeight="1" x14ac:dyDescent="0.25">
      <c r="A790" s="82"/>
      <c r="B790" s="99"/>
      <c r="C790" s="9"/>
      <c r="D790" s="74"/>
      <c r="E790" s="73"/>
      <c r="F790" s="73"/>
      <c r="G790" s="74"/>
      <c r="H790" s="74"/>
      <c r="I790" s="73"/>
      <c r="J790" s="3"/>
      <c r="K790" s="3"/>
      <c r="L790" s="3"/>
    </row>
    <row r="791" spans="1:12" ht="15" customHeight="1" x14ac:dyDescent="0.25">
      <c r="A791" s="82"/>
      <c r="B791" s="99"/>
      <c r="C791" s="9"/>
      <c r="D791" s="74"/>
      <c r="E791" s="73"/>
      <c r="F791" s="73"/>
      <c r="G791" s="74"/>
      <c r="H791" s="74"/>
      <c r="I791" s="73"/>
      <c r="J791" s="3"/>
      <c r="K791" s="3"/>
      <c r="L791" s="3"/>
    </row>
    <row r="792" spans="1:12" ht="15" customHeight="1" x14ac:dyDescent="0.25">
      <c r="A792" s="82"/>
      <c r="B792" s="99"/>
      <c r="C792" s="9"/>
      <c r="D792" s="74"/>
      <c r="E792" s="73"/>
      <c r="F792" s="73"/>
      <c r="G792" s="74"/>
      <c r="H792" s="74"/>
      <c r="I792" s="73"/>
      <c r="J792" s="3"/>
      <c r="K792" s="3"/>
      <c r="L792" s="3"/>
    </row>
    <row r="793" spans="1:12" ht="15" customHeight="1" x14ac:dyDescent="0.25">
      <c r="A793" s="82"/>
      <c r="B793" s="99"/>
      <c r="C793" s="9"/>
      <c r="D793" s="74"/>
      <c r="E793" s="73"/>
      <c r="F793" s="73"/>
      <c r="G793" s="74"/>
      <c r="H793" s="74"/>
      <c r="I793" s="73"/>
      <c r="J793" s="3"/>
      <c r="K793" s="3"/>
      <c r="L793" s="3"/>
    </row>
    <row r="794" spans="1:12" ht="15" customHeight="1" x14ac:dyDescent="0.25">
      <c r="A794" s="82"/>
      <c r="B794" s="99"/>
      <c r="C794" s="9"/>
      <c r="D794" s="74"/>
      <c r="E794" s="73"/>
      <c r="F794" s="73"/>
      <c r="G794" s="74"/>
      <c r="H794" s="74"/>
      <c r="I794" s="73"/>
      <c r="J794" s="3"/>
      <c r="K794" s="3"/>
      <c r="L794" s="3"/>
    </row>
    <row r="795" spans="1:12" ht="15" customHeight="1" x14ac:dyDescent="0.25">
      <c r="A795" s="82"/>
      <c r="B795" s="99"/>
      <c r="C795" s="9"/>
      <c r="D795" s="74"/>
      <c r="E795" s="73"/>
      <c r="F795" s="73"/>
      <c r="G795" s="74"/>
      <c r="H795" s="74"/>
      <c r="I795" s="73"/>
      <c r="J795" s="3"/>
      <c r="K795" s="3"/>
      <c r="L795" s="3"/>
    </row>
    <row r="796" spans="1:12" ht="15" customHeight="1" x14ac:dyDescent="0.25">
      <c r="A796" s="82"/>
      <c r="B796" s="99"/>
      <c r="C796" s="9"/>
      <c r="D796" s="74"/>
      <c r="E796" s="73"/>
      <c r="F796" s="73"/>
      <c r="G796" s="74"/>
      <c r="H796" s="74"/>
      <c r="I796" s="73"/>
      <c r="J796" s="3"/>
      <c r="K796" s="3"/>
      <c r="L796" s="3"/>
    </row>
    <row r="797" spans="1:12" ht="15" customHeight="1" x14ac:dyDescent="0.25">
      <c r="A797" s="82"/>
      <c r="B797" s="99"/>
      <c r="C797" s="9"/>
      <c r="D797" s="74"/>
      <c r="E797" s="73"/>
      <c r="F797" s="73"/>
      <c r="G797" s="74"/>
      <c r="H797" s="74"/>
      <c r="I797" s="73"/>
      <c r="J797" s="3"/>
      <c r="K797" s="3"/>
      <c r="L797" s="3"/>
    </row>
    <row r="798" spans="1:12" ht="15" customHeight="1" x14ac:dyDescent="0.25">
      <c r="A798" s="9"/>
      <c r="B798" s="99"/>
      <c r="C798" s="9"/>
      <c r="D798" s="73"/>
      <c r="E798" s="73"/>
      <c r="F798" s="73"/>
      <c r="G798" s="74"/>
      <c r="H798" s="74"/>
      <c r="I798" s="73"/>
      <c r="J798" s="3"/>
      <c r="K798" s="3"/>
      <c r="L798" s="3"/>
    </row>
    <row r="799" spans="1:12" ht="15" customHeight="1" x14ac:dyDescent="0.25">
      <c r="A799" s="9"/>
      <c r="B799" s="98"/>
      <c r="C799" s="9"/>
      <c r="D799" s="73"/>
      <c r="E799" s="73"/>
      <c r="F799" s="73"/>
      <c r="G799" s="74"/>
      <c r="H799" s="74"/>
      <c r="I799" s="73"/>
      <c r="J799" s="3"/>
      <c r="K799" s="3"/>
      <c r="L799" s="3"/>
    </row>
    <row r="800" spans="1:12" ht="15" customHeight="1" x14ac:dyDescent="0.25">
      <c r="A800" s="9"/>
      <c r="B800" s="98"/>
      <c r="C800" s="9"/>
      <c r="D800" s="73"/>
      <c r="E800" s="73"/>
      <c r="F800" s="73"/>
      <c r="G800" s="74"/>
      <c r="H800" s="74"/>
      <c r="I800" s="73"/>
      <c r="J800" s="3"/>
      <c r="K800" s="3"/>
      <c r="L800" s="3"/>
    </row>
    <row r="801" spans="1:12" ht="15" customHeight="1" x14ac:dyDescent="0.25">
      <c r="A801" s="9"/>
      <c r="B801" s="98"/>
      <c r="C801" s="9"/>
      <c r="D801" s="73"/>
      <c r="E801" s="73"/>
      <c r="F801" s="73"/>
      <c r="G801" s="74"/>
      <c r="H801" s="74"/>
      <c r="I801" s="73"/>
      <c r="J801" s="3"/>
      <c r="K801" s="3"/>
      <c r="L801" s="3"/>
    </row>
    <row r="802" spans="1:12" ht="15" customHeight="1" x14ac:dyDescent="0.25">
      <c r="A802" s="76"/>
      <c r="B802" s="98"/>
      <c r="C802" s="9"/>
      <c r="D802" s="73"/>
      <c r="E802" s="73"/>
      <c r="F802" s="73"/>
      <c r="G802" s="74"/>
      <c r="H802" s="74"/>
      <c r="I802" s="73"/>
      <c r="J802" s="3"/>
      <c r="K802" s="3"/>
      <c r="L802" s="3"/>
    </row>
    <row r="803" spans="1:12" ht="15" customHeight="1" x14ac:dyDescent="0.25">
      <c r="A803" s="76"/>
      <c r="B803" s="97"/>
      <c r="C803" s="9"/>
      <c r="D803" s="73"/>
      <c r="E803" s="73"/>
      <c r="F803" s="73"/>
      <c r="G803" s="74"/>
      <c r="H803" s="74"/>
      <c r="I803" s="73"/>
      <c r="J803" s="3"/>
      <c r="K803" s="3"/>
      <c r="L803" s="3"/>
    </row>
    <row r="804" spans="1:12" ht="15" customHeight="1" x14ac:dyDescent="0.25">
      <c r="A804" s="131" t="s">
        <v>411</v>
      </c>
      <c r="B804" s="132"/>
      <c r="C804" s="132"/>
      <c r="D804" s="132"/>
      <c r="E804" s="132"/>
      <c r="F804" s="133"/>
      <c r="G804" s="3" t="s">
        <v>412</v>
      </c>
      <c r="H804" s="141"/>
      <c r="I804" s="142"/>
      <c r="J804" s="134" t="s">
        <v>409</v>
      </c>
      <c r="K804" s="135"/>
      <c r="L804" s="136"/>
    </row>
    <row r="805" spans="1:12" ht="15" customHeight="1" x14ac:dyDescent="0.25">
      <c r="A805" s="127" t="s">
        <v>0</v>
      </c>
      <c r="B805" s="127" t="s">
        <v>1</v>
      </c>
      <c r="C805" s="129" t="s">
        <v>2</v>
      </c>
      <c r="D805" s="129" t="s">
        <v>3</v>
      </c>
      <c r="E805" s="129" t="s">
        <v>4</v>
      </c>
      <c r="F805" s="129" t="s">
        <v>410</v>
      </c>
      <c r="G805" s="139" t="s">
        <v>216</v>
      </c>
      <c r="H805" s="139" t="s">
        <v>6</v>
      </c>
      <c r="I805" s="139" t="s">
        <v>7</v>
      </c>
      <c r="J805" s="137" t="s">
        <v>8</v>
      </c>
      <c r="K805" s="138" t="s">
        <v>9</v>
      </c>
      <c r="L805" s="138"/>
    </row>
    <row r="806" spans="1:12" ht="15" customHeight="1" x14ac:dyDescent="0.25">
      <c r="A806" s="128"/>
      <c r="B806" s="128"/>
      <c r="C806" s="130"/>
      <c r="D806" s="130"/>
      <c r="E806" s="130"/>
      <c r="F806" s="130"/>
      <c r="G806" s="140"/>
      <c r="H806" s="140"/>
      <c r="I806" s="140"/>
      <c r="J806" s="137"/>
      <c r="K806" s="78" t="s">
        <v>10</v>
      </c>
      <c r="L806" s="78" t="s">
        <v>11</v>
      </c>
    </row>
    <row r="807" spans="1:12" ht="15" customHeight="1" x14ac:dyDescent="0.25">
      <c r="A807" s="76"/>
      <c r="B807" s="101"/>
      <c r="C807" s="9"/>
      <c r="D807" s="73"/>
      <c r="E807" s="73"/>
      <c r="F807" s="73"/>
      <c r="G807" s="74"/>
      <c r="H807" s="74"/>
      <c r="I807" s="73"/>
      <c r="J807" s="3"/>
      <c r="K807" s="3"/>
      <c r="L807" s="3"/>
    </row>
    <row r="808" spans="1:12" x14ac:dyDescent="0.25">
      <c r="A808" s="9"/>
      <c r="B808" s="97"/>
      <c r="C808" s="9"/>
      <c r="D808" s="73"/>
      <c r="E808" s="73"/>
      <c r="F808" s="74"/>
      <c r="G808" s="74"/>
      <c r="H808" s="74"/>
      <c r="I808" s="73"/>
      <c r="J808" s="3"/>
      <c r="K808" s="3"/>
      <c r="L808" s="3"/>
    </row>
    <row r="809" spans="1:12" x14ac:dyDescent="0.25">
      <c r="A809" s="9"/>
      <c r="B809" s="97"/>
      <c r="C809" s="9"/>
      <c r="D809" s="73"/>
      <c r="E809" s="73"/>
      <c r="F809" s="74"/>
      <c r="G809" s="74"/>
      <c r="H809" s="74"/>
      <c r="I809" s="73"/>
      <c r="J809" s="3"/>
      <c r="K809" s="3"/>
      <c r="L809" s="3"/>
    </row>
    <row r="810" spans="1:12" x14ac:dyDescent="0.25">
      <c r="A810" s="9"/>
      <c r="B810" s="97"/>
      <c r="C810" s="9"/>
      <c r="D810" s="73"/>
      <c r="E810" s="73"/>
      <c r="F810" s="74"/>
      <c r="G810" s="74"/>
      <c r="H810" s="74"/>
      <c r="I810" s="73"/>
      <c r="J810" s="3"/>
      <c r="K810" s="3"/>
      <c r="L810" s="3"/>
    </row>
    <row r="811" spans="1:12" x14ac:dyDescent="0.25">
      <c r="A811" s="9"/>
      <c r="B811" s="98"/>
      <c r="C811" s="9"/>
      <c r="D811" s="73"/>
      <c r="E811" s="73"/>
      <c r="F811" s="74"/>
      <c r="G811" s="74"/>
      <c r="H811" s="74"/>
      <c r="I811" s="73"/>
      <c r="J811" s="3"/>
      <c r="K811" s="3"/>
      <c r="L811" s="3"/>
    </row>
    <row r="812" spans="1:12" x14ac:dyDescent="0.25">
      <c r="A812" s="9"/>
      <c r="B812" s="98"/>
      <c r="C812" s="9"/>
      <c r="D812" s="73"/>
      <c r="E812" s="73"/>
      <c r="F812" s="74"/>
      <c r="G812" s="74"/>
      <c r="H812" s="74"/>
      <c r="I812" s="73"/>
      <c r="J812" s="3"/>
      <c r="K812" s="3"/>
      <c r="L812" s="3"/>
    </row>
    <row r="813" spans="1:12" x14ac:dyDescent="0.25">
      <c r="A813" s="9"/>
      <c r="B813" s="99"/>
      <c r="C813" s="9"/>
      <c r="D813" s="73"/>
      <c r="E813" s="73"/>
      <c r="F813" s="74"/>
      <c r="G813" s="74"/>
      <c r="H813" s="74"/>
      <c r="I813" s="73"/>
      <c r="J813" s="3"/>
      <c r="K813" s="3"/>
      <c r="L813" s="3"/>
    </row>
    <row r="814" spans="1:12" x14ac:dyDescent="0.25">
      <c r="A814" s="9"/>
      <c r="B814" s="98"/>
      <c r="C814" s="9"/>
      <c r="D814" s="73"/>
      <c r="E814" s="73"/>
      <c r="F814" s="74"/>
      <c r="G814" s="74"/>
      <c r="H814" s="74"/>
      <c r="I814" s="73"/>
      <c r="J814" s="3"/>
      <c r="K814" s="3"/>
      <c r="L814" s="3"/>
    </row>
    <row r="815" spans="1:12" x14ac:dyDescent="0.25">
      <c r="A815" s="9"/>
      <c r="B815" s="98"/>
      <c r="C815" s="9"/>
      <c r="D815" s="73"/>
      <c r="E815" s="73"/>
      <c r="F815" s="74"/>
      <c r="G815" s="74"/>
      <c r="H815" s="74"/>
      <c r="I815" s="73"/>
      <c r="J815" s="3"/>
      <c r="K815" s="3"/>
      <c r="L815" s="3"/>
    </row>
    <row r="816" spans="1:12" x14ac:dyDescent="0.25">
      <c r="A816" s="9"/>
      <c r="B816" s="98"/>
      <c r="C816" s="9"/>
      <c r="D816" s="73"/>
      <c r="E816" s="73"/>
      <c r="F816" s="74"/>
      <c r="G816" s="74"/>
      <c r="H816" s="74"/>
      <c r="I816" s="73"/>
      <c r="J816" s="3"/>
      <c r="K816" s="3"/>
      <c r="L816" s="3"/>
    </row>
    <row r="817" spans="1:12" x14ac:dyDescent="0.25">
      <c r="A817" s="9"/>
      <c r="B817" s="98"/>
      <c r="C817" s="9"/>
      <c r="D817" s="73"/>
      <c r="E817" s="73"/>
      <c r="F817" s="74"/>
      <c r="G817" s="74"/>
      <c r="H817" s="74"/>
      <c r="I817" s="73"/>
      <c r="J817" s="3"/>
      <c r="K817" s="3"/>
      <c r="L817" s="3"/>
    </row>
    <row r="818" spans="1:12" x14ac:dyDescent="0.25">
      <c r="A818" s="9"/>
      <c r="B818" s="98"/>
      <c r="C818" s="9"/>
      <c r="D818" s="73"/>
      <c r="E818" s="73"/>
      <c r="F818" s="74"/>
      <c r="G818" s="74"/>
      <c r="H818" s="74"/>
      <c r="I818" s="73"/>
      <c r="J818" s="3"/>
      <c r="K818" s="3"/>
      <c r="L818" s="3"/>
    </row>
    <row r="819" spans="1:12" x14ac:dyDescent="0.25">
      <c r="A819" s="9"/>
      <c r="B819" s="98"/>
      <c r="C819" s="9"/>
      <c r="D819" s="73"/>
      <c r="E819" s="73"/>
      <c r="F819" s="74"/>
      <c r="G819" s="74"/>
      <c r="H819" s="74"/>
      <c r="I819" s="73"/>
      <c r="J819" s="3"/>
      <c r="K819" s="3"/>
      <c r="L819" s="3"/>
    </row>
    <row r="820" spans="1:12" x14ac:dyDescent="0.25">
      <c r="A820" s="9"/>
      <c r="B820" s="98"/>
      <c r="C820" s="9"/>
      <c r="D820" s="73"/>
      <c r="E820" s="73"/>
      <c r="F820" s="74"/>
      <c r="G820" s="74"/>
      <c r="H820" s="74"/>
      <c r="I820" s="73"/>
      <c r="J820" s="3"/>
      <c r="K820" s="3"/>
      <c r="L820" s="3"/>
    </row>
    <row r="821" spans="1:12" x14ac:dyDescent="0.25">
      <c r="A821" s="9"/>
      <c r="B821" s="98"/>
      <c r="C821" s="9"/>
      <c r="D821" s="73"/>
      <c r="E821" s="73"/>
      <c r="F821" s="74"/>
      <c r="G821" s="74"/>
      <c r="H821" s="74"/>
      <c r="I821" s="73"/>
      <c r="J821" s="3"/>
      <c r="K821" s="3"/>
      <c r="L821" s="3"/>
    </row>
    <row r="822" spans="1:12" ht="15" customHeight="1" x14ac:dyDescent="0.25">
      <c r="A822" s="76"/>
      <c r="B822" s="98"/>
      <c r="C822" s="9"/>
      <c r="D822" s="73"/>
      <c r="E822" s="73"/>
      <c r="F822" s="73"/>
      <c r="G822" s="74"/>
      <c r="H822" s="74"/>
      <c r="I822" s="73"/>
      <c r="J822" s="3"/>
      <c r="K822" s="3"/>
      <c r="L822" s="3"/>
    </row>
    <row r="823" spans="1:12" ht="15" customHeight="1" x14ac:dyDescent="0.25">
      <c r="A823" s="76"/>
      <c r="B823" s="97"/>
      <c r="C823" s="9"/>
      <c r="D823" s="73"/>
      <c r="E823" s="73"/>
      <c r="F823" s="73"/>
      <c r="G823" s="74"/>
      <c r="H823" s="74"/>
      <c r="I823" s="73"/>
      <c r="J823" s="3"/>
      <c r="K823" s="3"/>
      <c r="L823" s="3"/>
    </row>
    <row r="824" spans="1:12" ht="15" customHeight="1" x14ac:dyDescent="0.25">
      <c r="A824" s="76"/>
      <c r="B824" s="98"/>
      <c r="C824" s="9"/>
      <c r="D824" s="73"/>
      <c r="E824" s="73"/>
      <c r="F824" s="73"/>
      <c r="G824" s="74"/>
      <c r="H824" s="74"/>
      <c r="I824" s="73"/>
      <c r="J824" s="3"/>
      <c r="K824" s="3"/>
      <c r="L824" s="3"/>
    </row>
    <row r="825" spans="1:12" ht="15" customHeight="1" x14ac:dyDescent="0.25">
      <c r="A825" s="76"/>
      <c r="B825" s="98"/>
      <c r="C825" s="9"/>
      <c r="D825" s="73"/>
      <c r="E825" s="73"/>
      <c r="F825" s="73"/>
      <c r="G825" s="74"/>
      <c r="H825" s="74"/>
      <c r="I825" s="73"/>
      <c r="J825" s="3"/>
      <c r="K825" s="3"/>
      <c r="L825" s="3"/>
    </row>
    <row r="826" spans="1:12" ht="15" customHeight="1" x14ac:dyDescent="0.25">
      <c r="A826" s="76"/>
      <c r="B826" s="98"/>
      <c r="C826" s="9"/>
      <c r="D826" s="73"/>
      <c r="E826" s="73"/>
      <c r="F826" s="73"/>
      <c r="G826" s="74"/>
      <c r="H826" s="74"/>
      <c r="I826" s="73"/>
      <c r="J826" s="3"/>
      <c r="K826" s="3"/>
      <c r="L826" s="3"/>
    </row>
    <row r="827" spans="1:12" ht="15" customHeight="1" x14ac:dyDescent="0.25">
      <c r="A827" s="76"/>
      <c r="B827" s="98"/>
      <c r="C827" s="9"/>
      <c r="D827" s="73"/>
      <c r="E827" s="73"/>
      <c r="F827" s="73"/>
      <c r="G827" s="74"/>
      <c r="H827" s="74"/>
      <c r="I827" s="73"/>
      <c r="J827" s="3"/>
      <c r="K827" s="3"/>
      <c r="L827" s="3"/>
    </row>
    <row r="828" spans="1:12" ht="15" customHeight="1" x14ac:dyDescent="0.25">
      <c r="A828" s="76"/>
      <c r="B828" s="97"/>
      <c r="C828" s="9"/>
      <c r="D828" s="73"/>
      <c r="E828" s="73"/>
      <c r="F828" s="73"/>
      <c r="G828" s="74"/>
      <c r="H828" s="74"/>
      <c r="I828" s="73"/>
      <c r="J828" s="3"/>
      <c r="K828" s="3"/>
      <c r="L828" s="3"/>
    </row>
    <row r="829" spans="1:12" ht="15" customHeight="1" x14ac:dyDescent="0.25">
      <c r="A829" s="76"/>
      <c r="B829" s="3"/>
      <c r="C829" s="9"/>
      <c r="D829" s="73"/>
      <c r="E829" s="73"/>
      <c r="F829" s="73"/>
      <c r="G829" s="74"/>
      <c r="H829" s="73"/>
      <c r="I829" s="73"/>
      <c r="J829" s="3"/>
      <c r="K829" s="3"/>
      <c r="L829" s="3"/>
    </row>
    <row r="830" spans="1:12" ht="15" customHeight="1" x14ac:dyDescent="0.25">
      <c r="A830" s="76"/>
      <c r="B830" s="100"/>
      <c r="C830" s="9"/>
      <c r="D830" s="73"/>
      <c r="E830" s="73"/>
      <c r="F830" s="73"/>
      <c r="G830" s="74"/>
      <c r="H830" s="73"/>
      <c r="I830" s="73"/>
      <c r="J830" s="3"/>
      <c r="K830" s="3"/>
      <c r="L830" s="3"/>
    </row>
    <row r="831" spans="1:12" ht="15" customHeight="1" x14ac:dyDescent="0.25">
      <c r="A831" s="76"/>
      <c r="B831" s="97"/>
      <c r="C831" s="9"/>
      <c r="D831" s="73"/>
      <c r="E831" s="73"/>
      <c r="F831" s="73"/>
      <c r="G831" s="74"/>
      <c r="H831" s="73"/>
      <c r="I831" s="73"/>
      <c r="J831" s="3"/>
      <c r="K831" s="3"/>
      <c r="L831" s="3"/>
    </row>
    <row r="832" spans="1:12" ht="15" customHeight="1" x14ac:dyDescent="0.25">
      <c r="A832" s="76"/>
      <c r="B832" s="100"/>
      <c r="C832" s="9"/>
      <c r="D832" s="73"/>
      <c r="E832" s="73"/>
      <c r="F832" s="73"/>
      <c r="G832" s="74"/>
      <c r="H832" s="73"/>
      <c r="I832" s="73"/>
      <c r="J832" s="3"/>
      <c r="K832" s="3"/>
      <c r="L832" s="3"/>
    </row>
    <row r="833" spans="1:12" ht="15" customHeight="1" x14ac:dyDescent="0.25">
      <c r="A833" s="76"/>
      <c r="B833" s="97"/>
      <c r="C833" s="9"/>
      <c r="D833" s="73"/>
      <c r="E833" s="73"/>
      <c r="F833" s="73"/>
      <c r="G833" s="74"/>
      <c r="H833" s="73"/>
      <c r="I833" s="73"/>
      <c r="J833" s="3"/>
      <c r="K833" s="3"/>
      <c r="L833" s="3"/>
    </row>
    <row r="834" spans="1:12" ht="15" customHeight="1" x14ac:dyDescent="0.25">
      <c r="A834" s="76"/>
      <c r="B834" s="97"/>
      <c r="C834" s="9"/>
      <c r="D834" s="73"/>
      <c r="E834" s="73"/>
      <c r="F834" s="73"/>
      <c r="G834" s="74"/>
      <c r="H834" s="73"/>
      <c r="I834" s="3"/>
      <c r="J834" s="3"/>
      <c r="K834" s="3"/>
      <c r="L834" s="3"/>
    </row>
    <row r="835" spans="1:12" ht="15" customHeight="1" x14ac:dyDescent="0.25">
      <c r="A835" s="76"/>
      <c r="B835" s="97"/>
      <c r="C835" s="9"/>
      <c r="D835" s="73"/>
      <c r="E835" s="73"/>
      <c r="F835" s="73"/>
      <c r="G835" s="74"/>
      <c r="H835" s="73"/>
      <c r="I835" s="3"/>
      <c r="J835" s="3"/>
      <c r="K835" s="3"/>
      <c r="L835" s="3"/>
    </row>
    <row r="836" spans="1:12" ht="15" customHeight="1" x14ac:dyDescent="0.25">
      <c r="A836" s="76"/>
      <c r="B836" s="97"/>
      <c r="C836" s="9"/>
      <c r="D836" s="74"/>
      <c r="E836" s="73"/>
      <c r="F836" s="73"/>
      <c r="G836" s="74"/>
      <c r="H836" s="73"/>
      <c r="I836" s="3"/>
      <c r="J836" s="3"/>
      <c r="K836" s="3"/>
      <c r="L836" s="3"/>
    </row>
    <row r="837" spans="1:12" ht="15" customHeight="1" x14ac:dyDescent="0.25">
      <c r="A837" s="76"/>
      <c r="B837" s="97"/>
      <c r="C837" s="9"/>
      <c r="D837" s="73"/>
      <c r="E837" s="73"/>
      <c r="F837" s="73"/>
      <c r="G837" s="74"/>
      <c r="H837" s="3"/>
      <c r="I837" s="3"/>
      <c r="J837" s="3"/>
      <c r="K837" s="3"/>
      <c r="L837" s="3"/>
    </row>
    <row r="838" spans="1:12" ht="15" customHeight="1" x14ac:dyDescent="0.25">
      <c r="A838" s="76"/>
      <c r="B838" s="97"/>
      <c r="C838" s="9"/>
      <c r="D838" s="73"/>
      <c r="E838" s="73"/>
      <c r="F838" s="73"/>
      <c r="G838" s="74"/>
      <c r="H838" s="3"/>
      <c r="I838" s="3"/>
      <c r="J838" s="3"/>
      <c r="K838" s="3"/>
      <c r="L838" s="3"/>
    </row>
    <row r="839" spans="1:12" ht="15" customHeight="1" x14ac:dyDescent="0.25">
      <c r="A839" s="76"/>
      <c r="B839" s="97"/>
      <c r="C839" s="9"/>
      <c r="D839" s="73"/>
      <c r="E839" s="73"/>
      <c r="F839" s="73"/>
      <c r="G839" s="74"/>
      <c r="H839" s="22"/>
      <c r="I839" s="22"/>
      <c r="J839" s="22"/>
      <c r="K839" s="22"/>
      <c r="L839" s="22"/>
    </row>
    <row r="840" spans="1:12" ht="15.75" customHeight="1" x14ac:dyDescent="0.25">
      <c r="A840" s="76"/>
      <c r="B840" s="97"/>
      <c r="C840" s="9"/>
      <c r="D840" s="73"/>
      <c r="E840" s="73"/>
      <c r="F840" s="79"/>
      <c r="G840" s="96"/>
      <c r="H840" s="76"/>
      <c r="I840" s="76"/>
      <c r="J840" s="76"/>
      <c r="K840" s="76"/>
      <c r="L840" s="76"/>
    </row>
    <row r="841" spans="1:12" ht="15" customHeight="1" x14ac:dyDescent="0.25">
      <c r="A841" s="131" t="s">
        <v>411</v>
      </c>
      <c r="B841" s="132"/>
      <c r="C841" s="132"/>
      <c r="D841" s="132"/>
      <c r="E841" s="132"/>
      <c r="F841" s="133"/>
      <c r="G841" s="3" t="s">
        <v>412</v>
      </c>
      <c r="H841" s="141"/>
      <c r="I841" s="142"/>
      <c r="J841" s="134" t="s">
        <v>409</v>
      </c>
      <c r="K841" s="135"/>
      <c r="L841" s="136"/>
    </row>
  </sheetData>
  <sheetProtection selectLockedCells="1" autoFilter="0"/>
  <autoFilter ref="A1:G847" xr:uid="{058A4F0C-2404-4282-BD24-252B5FDB98D1}"/>
  <mergeCells count="336">
    <mergeCell ref="A841:F841"/>
    <mergeCell ref="H841:I841"/>
    <mergeCell ref="A582:F582"/>
    <mergeCell ref="H582:I582"/>
    <mergeCell ref="A617:F617"/>
    <mergeCell ref="H617:I617"/>
    <mergeCell ref="A658:F658"/>
    <mergeCell ref="H658:I658"/>
    <mergeCell ref="A694:F694"/>
    <mergeCell ref="H694:I694"/>
    <mergeCell ref="A736:F736"/>
    <mergeCell ref="H736:I736"/>
    <mergeCell ref="G737:G738"/>
    <mergeCell ref="H737:H738"/>
    <mergeCell ref="I737:I738"/>
    <mergeCell ref="G771:G772"/>
    <mergeCell ref="H771:H772"/>
    <mergeCell ref="I771:I772"/>
    <mergeCell ref="G805:G806"/>
    <mergeCell ref="H805:H806"/>
    <mergeCell ref="I805:I806"/>
    <mergeCell ref="H770:I770"/>
    <mergeCell ref="H804:I804"/>
    <mergeCell ref="G618:G619"/>
    <mergeCell ref="H509:I509"/>
    <mergeCell ref="G400:G401"/>
    <mergeCell ref="H400:H401"/>
    <mergeCell ref="I400:I401"/>
    <mergeCell ref="G439:G440"/>
    <mergeCell ref="H439:H440"/>
    <mergeCell ref="I439:I440"/>
    <mergeCell ref="G475:G476"/>
    <mergeCell ref="H475:H476"/>
    <mergeCell ref="I475:I476"/>
    <mergeCell ref="B253:B254"/>
    <mergeCell ref="C253:C254"/>
    <mergeCell ref="D253:D254"/>
    <mergeCell ref="E253:E254"/>
    <mergeCell ref="A399:F399"/>
    <mergeCell ref="H399:I399"/>
    <mergeCell ref="A438:F438"/>
    <mergeCell ref="H438:I438"/>
    <mergeCell ref="A474:F474"/>
    <mergeCell ref="H474:I474"/>
    <mergeCell ref="A400:A401"/>
    <mergeCell ref="B400:B401"/>
    <mergeCell ref="C400:C401"/>
    <mergeCell ref="D400:D401"/>
    <mergeCell ref="E400:E401"/>
    <mergeCell ref="F400:F401"/>
    <mergeCell ref="A439:A440"/>
    <mergeCell ref="A367:A368"/>
    <mergeCell ref="B367:B368"/>
    <mergeCell ref="C367:C368"/>
    <mergeCell ref="D367:D368"/>
    <mergeCell ref="E367:E368"/>
    <mergeCell ref="F367:F368"/>
    <mergeCell ref="A366:F366"/>
    <mergeCell ref="D30:D31"/>
    <mergeCell ref="E30:E31"/>
    <mergeCell ref="A119:A120"/>
    <mergeCell ref="B119:B120"/>
    <mergeCell ref="C119:C120"/>
    <mergeCell ref="A185:F185"/>
    <mergeCell ref="H185:I185"/>
    <mergeCell ref="A219:F219"/>
    <mergeCell ref="H219:I219"/>
    <mergeCell ref="B186:B187"/>
    <mergeCell ref="A59:F59"/>
    <mergeCell ref="H59:I59"/>
    <mergeCell ref="A85:F85"/>
    <mergeCell ref="H85:I85"/>
    <mergeCell ref="A118:F118"/>
    <mergeCell ref="H118:I118"/>
    <mergeCell ref="A155:F155"/>
    <mergeCell ref="H155:I155"/>
    <mergeCell ref="D119:D120"/>
    <mergeCell ref="E119:E120"/>
    <mergeCell ref="F119:F120"/>
    <mergeCell ref="F156:F157"/>
    <mergeCell ref="A156:A157"/>
    <mergeCell ref="B156:B157"/>
    <mergeCell ref="H618:H619"/>
    <mergeCell ref="I618:I619"/>
    <mergeCell ref="G659:G660"/>
    <mergeCell ref="H659:H660"/>
    <mergeCell ref="I659:I660"/>
    <mergeCell ref="G695:G696"/>
    <mergeCell ref="H695:H696"/>
    <mergeCell ref="I695:I696"/>
    <mergeCell ref="G510:G511"/>
    <mergeCell ref="H510:H511"/>
    <mergeCell ref="I510:I511"/>
    <mergeCell ref="G548:G549"/>
    <mergeCell ref="H548:H549"/>
    <mergeCell ref="I548:I549"/>
    <mergeCell ref="G583:G584"/>
    <mergeCell ref="H583:H584"/>
    <mergeCell ref="I583:I584"/>
    <mergeCell ref="H547:I547"/>
    <mergeCell ref="G86:G87"/>
    <mergeCell ref="H86:H87"/>
    <mergeCell ref="I86:I87"/>
    <mergeCell ref="G119:G120"/>
    <mergeCell ref="H119:H120"/>
    <mergeCell ref="I119:I120"/>
    <mergeCell ref="G156:G157"/>
    <mergeCell ref="H156:H157"/>
    <mergeCell ref="I156:I157"/>
    <mergeCell ref="J695:J696"/>
    <mergeCell ref="K695:L695"/>
    <mergeCell ref="J736:L736"/>
    <mergeCell ref="J659:J660"/>
    <mergeCell ref="K659:L659"/>
    <mergeCell ref="J694:L694"/>
    <mergeCell ref="J220:J221"/>
    <mergeCell ref="F186:F187"/>
    <mergeCell ref="F253:F254"/>
    <mergeCell ref="G186:G187"/>
    <mergeCell ref="H186:H187"/>
    <mergeCell ref="I186:I187"/>
    <mergeCell ref="G220:G221"/>
    <mergeCell ref="K439:L439"/>
    <mergeCell ref="J219:L219"/>
    <mergeCell ref="J253:J254"/>
    <mergeCell ref="K253:L253"/>
    <mergeCell ref="G327:G328"/>
    <mergeCell ref="J290:J291"/>
    <mergeCell ref="K290:L290"/>
    <mergeCell ref="K220:L220"/>
    <mergeCell ref="J252:L252"/>
    <mergeCell ref="J289:L289"/>
    <mergeCell ref="H327:H328"/>
    <mergeCell ref="J60:J61"/>
    <mergeCell ref="K60:L60"/>
    <mergeCell ref="J86:J87"/>
    <mergeCell ref="K86:L86"/>
    <mergeCell ref="C1:C2"/>
    <mergeCell ref="D1:D2"/>
    <mergeCell ref="E1:E2"/>
    <mergeCell ref="C60:C61"/>
    <mergeCell ref="D60:D61"/>
    <mergeCell ref="E60:E61"/>
    <mergeCell ref="C86:C87"/>
    <mergeCell ref="D86:D87"/>
    <mergeCell ref="E86:E87"/>
    <mergeCell ref="A29:F29"/>
    <mergeCell ref="A1:A2"/>
    <mergeCell ref="B1:B2"/>
    <mergeCell ref="A30:A31"/>
    <mergeCell ref="B30:B31"/>
    <mergeCell ref="A60:A61"/>
    <mergeCell ref="B60:B61"/>
    <mergeCell ref="C30:C31"/>
    <mergeCell ref="A86:A87"/>
    <mergeCell ref="B86:B87"/>
    <mergeCell ref="H29:I29"/>
    <mergeCell ref="J119:J120"/>
    <mergeCell ref="K119:L119"/>
    <mergeCell ref="J155:L155"/>
    <mergeCell ref="F30:F31"/>
    <mergeCell ref="F60:F61"/>
    <mergeCell ref="H1:H2"/>
    <mergeCell ref="I1:I2"/>
    <mergeCell ref="G1:G2"/>
    <mergeCell ref="G30:G31"/>
    <mergeCell ref="H30:H31"/>
    <mergeCell ref="I30:I31"/>
    <mergeCell ref="G60:G61"/>
    <mergeCell ref="H60:H61"/>
    <mergeCell ref="I60:I61"/>
    <mergeCell ref="J29:L29"/>
    <mergeCell ref="J59:L59"/>
    <mergeCell ref="J85:L85"/>
    <mergeCell ref="J118:L118"/>
    <mergeCell ref="K30:L30"/>
    <mergeCell ref="J1:J2"/>
    <mergeCell ref="K1:L1"/>
    <mergeCell ref="J30:J31"/>
    <mergeCell ref="F1:F2"/>
    <mergeCell ref="F86:F87"/>
    <mergeCell ref="J156:J157"/>
    <mergeCell ref="K156:L156"/>
    <mergeCell ref="J186:J187"/>
    <mergeCell ref="K186:L186"/>
    <mergeCell ref="C156:C157"/>
    <mergeCell ref="D156:D157"/>
    <mergeCell ref="E156:E157"/>
    <mergeCell ref="C186:C187"/>
    <mergeCell ref="D186:D187"/>
    <mergeCell ref="E186:E187"/>
    <mergeCell ref="J185:L185"/>
    <mergeCell ref="A186:A187"/>
    <mergeCell ref="F220:F221"/>
    <mergeCell ref="J326:L326"/>
    <mergeCell ref="J366:L366"/>
    <mergeCell ref="J327:J328"/>
    <mergeCell ref="K327:L327"/>
    <mergeCell ref="A327:A328"/>
    <mergeCell ref="B327:B328"/>
    <mergeCell ref="C327:C328"/>
    <mergeCell ref="D327:D328"/>
    <mergeCell ref="E327:E328"/>
    <mergeCell ref="F327:F328"/>
    <mergeCell ref="I327:I328"/>
    <mergeCell ref="H220:H221"/>
    <mergeCell ref="I220:I221"/>
    <mergeCell ref="G253:G254"/>
    <mergeCell ref="H253:H254"/>
    <mergeCell ref="H366:I366"/>
    <mergeCell ref="A252:F252"/>
    <mergeCell ref="H252:I252"/>
    <mergeCell ref="A289:F289"/>
    <mergeCell ref="H289:I289"/>
    <mergeCell ref="A326:F326"/>
    <mergeCell ref="H326:I326"/>
    <mergeCell ref="K548:L548"/>
    <mergeCell ref="J582:L582"/>
    <mergeCell ref="J510:J511"/>
    <mergeCell ref="J475:J476"/>
    <mergeCell ref="K475:L475"/>
    <mergeCell ref="A220:A221"/>
    <mergeCell ref="B220:B221"/>
    <mergeCell ref="C220:C221"/>
    <mergeCell ref="D220:D221"/>
    <mergeCell ref="E220:E221"/>
    <mergeCell ref="G367:G368"/>
    <mergeCell ref="H367:H368"/>
    <mergeCell ref="I367:I368"/>
    <mergeCell ref="I253:I254"/>
    <mergeCell ref="G290:G291"/>
    <mergeCell ref="H290:H291"/>
    <mergeCell ref="I290:I291"/>
    <mergeCell ref="A290:A291"/>
    <mergeCell ref="B290:B291"/>
    <mergeCell ref="C290:C291"/>
    <mergeCell ref="D290:D291"/>
    <mergeCell ref="E290:E291"/>
    <mergeCell ref="F290:F291"/>
    <mergeCell ref="A253:A254"/>
    <mergeCell ref="J367:J368"/>
    <mergeCell ref="J547:L547"/>
    <mergeCell ref="K510:L510"/>
    <mergeCell ref="J509:L509"/>
    <mergeCell ref="J400:J401"/>
    <mergeCell ref="K400:L400"/>
    <mergeCell ref="K367:L367"/>
    <mergeCell ref="J439:J440"/>
    <mergeCell ref="J841:L841"/>
    <mergeCell ref="J737:J738"/>
    <mergeCell ref="K737:L737"/>
    <mergeCell ref="J770:L770"/>
    <mergeCell ref="J771:J772"/>
    <mergeCell ref="K771:L771"/>
    <mergeCell ref="J618:J619"/>
    <mergeCell ref="K618:L618"/>
    <mergeCell ref="J658:L658"/>
    <mergeCell ref="J399:L399"/>
    <mergeCell ref="J438:L438"/>
    <mergeCell ref="J474:L474"/>
    <mergeCell ref="J583:J584"/>
    <mergeCell ref="K583:L583"/>
    <mergeCell ref="J617:L617"/>
    <mergeCell ref="J548:J549"/>
    <mergeCell ref="A805:A806"/>
    <mergeCell ref="B805:B806"/>
    <mergeCell ref="C805:C806"/>
    <mergeCell ref="D805:D806"/>
    <mergeCell ref="E805:E806"/>
    <mergeCell ref="F805:F806"/>
    <mergeCell ref="J804:L804"/>
    <mergeCell ref="J805:J806"/>
    <mergeCell ref="K805:L805"/>
    <mergeCell ref="A804:F804"/>
    <mergeCell ref="A509:F509"/>
    <mergeCell ref="A548:A549"/>
    <mergeCell ref="B548:B549"/>
    <mergeCell ref="C548:C549"/>
    <mergeCell ref="D548:D549"/>
    <mergeCell ref="E548:E549"/>
    <mergeCell ref="F548:F549"/>
    <mergeCell ref="A547:F547"/>
    <mergeCell ref="B439:B440"/>
    <mergeCell ref="C439:C440"/>
    <mergeCell ref="D439:D440"/>
    <mergeCell ref="E439:E440"/>
    <mergeCell ref="F439:F440"/>
    <mergeCell ref="A475:A476"/>
    <mergeCell ref="B475:B476"/>
    <mergeCell ref="C475:C476"/>
    <mergeCell ref="D475:D476"/>
    <mergeCell ref="E475:E476"/>
    <mergeCell ref="F475:F476"/>
    <mergeCell ref="A659:A660"/>
    <mergeCell ref="B659:B660"/>
    <mergeCell ref="C659:C660"/>
    <mergeCell ref="D659:D660"/>
    <mergeCell ref="E659:E660"/>
    <mergeCell ref="F659:F660"/>
    <mergeCell ref="A510:A511"/>
    <mergeCell ref="B510:B511"/>
    <mergeCell ref="C510:C511"/>
    <mergeCell ref="D510:D511"/>
    <mergeCell ref="E510:E511"/>
    <mergeCell ref="F510:F511"/>
    <mergeCell ref="A583:A584"/>
    <mergeCell ref="B583:B584"/>
    <mergeCell ref="C583:C584"/>
    <mergeCell ref="D583:D584"/>
    <mergeCell ref="E583:E584"/>
    <mergeCell ref="F583:F584"/>
    <mergeCell ref="A618:A619"/>
    <mergeCell ref="B618:B619"/>
    <mergeCell ref="C618:C619"/>
    <mergeCell ref="D618:D619"/>
    <mergeCell ref="E618:E619"/>
    <mergeCell ref="F618:F619"/>
    <mergeCell ref="A771:A772"/>
    <mergeCell ref="B771:B772"/>
    <mergeCell ref="C771:C772"/>
    <mergeCell ref="D771:D772"/>
    <mergeCell ref="E771:E772"/>
    <mergeCell ref="F771:F772"/>
    <mergeCell ref="A770:F770"/>
    <mergeCell ref="A695:A696"/>
    <mergeCell ref="B695:B696"/>
    <mergeCell ref="C695:C696"/>
    <mergeCell ref="D695:D696"/>
    <mergeCell ref="E695:E696"/>
    <mergeCell ref="F695:F696"/>
    <mergeCell ref="A737:A738"/>
    <mergeCell ref="B737:B738"/>
    <mergeCell ref="C737:C738"/>
    <mergeCell ref="D737:D738"/>
    <mergeCell ref="E737:E738"/>
    <mergeCell ref="F737:F738"/>
  </mergeCells>
  <dataValidations count="1">
    <dataValidation type="list" allowBlank="1" showInputMessage="1" showErrorMessage="1" sqref="B771 B367 B30 B1 B60 B119 B286:B288 B253 B292 B327 B400 B19 B245:B251 B223:B225 B316:B320 B296:B310 B294 B418:B437 B439 B111:B117 B230 B124 B39:B40 B33:B36 B88:B103 B3:B4 B66:B75 B27:B28 B77:B84 B42 B9 B105:B109 B21:B25 B151:B154 B138:B139 B813 B831 B782:B798 B779 B775:B776 B156 B191:B198 B188:B189 B200:B218 B186 B279:B282 B277 B284 B220 B313 B256:B265 B268 B322 B324:B325 B290 B330:B332 B394 B335 B397:B398 B228 B372 B454:B473 B406:B407 B242:B243 B14 B16:B17 B162 B341:B365 B441 B475 B510 B548 B620:B657 B519 B550:B552 B521:B522 B524:B546 B477:B481 B672:B676 B583 B662:B664 B686 B667:B670 B689:B693 B713 B618 B698:B700 B703 B722 B718 B763:B767 B659 B760 B756:B757 B743:B744 B769 B724:B735 B695 B828 B823 B803 B842:B1048576 B737 B833:B840 B808:B810 B86 B53:B58 B12 B170:B171 B180:B184 B134:B136 B141:B142 B178 B805 B159:B160 B144:B149 B132 B121:B122 B449:B452 B444 B494:B508 B491 B485:B486 B513 B517 B570:B581 B555 B567 B585:B591 B610:B616 B605 B594" xr:uid="{2B3A81AC-1607-4EA9-9DD4-47D1966BB4DA}">
      <formula1>Location</formula1>
    </dataValidation>
  </dataValidations>
  <pageMargins left="0.7" right="0.7" top="0.75" bottom="0.75" header="0.3" footer="0.3"/>
  <pageSetup paperSize="9" scale="85" fitToWidth="0" fitToHeight="0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C1F84FB-8613-4A85-8857-5EB46041AB29}">
          <x14:formula1>
            <xm:f>'Audit sheet validation'!$E$2:$E$20</xm:f>
          </x14:formula1>
          <xm:sqref>E455 E842:F1048576 E461:E473 M216:CN217 E497:E508 E204:E218 E422:E437 E77:E81 E21:E28 E102:E117 E251 E83:E84 E150:E154 E16:E17 E67:E75 E98:E99 E3:E11 E166:E184 E90 E32:E51 F158 E419 E341:E365 E62:E64 E54:E58 E525:E526 E533:E546</xm:sqref>
        </x14:dataValidation>
        <x14:dataValidation type="list" allowBlank="1" showInputMessage="1" showErrorMessage="1" xr:uid="{77A33997-493F-4528-BF84-37ED6B758F80}">
          <x14:formula1>
            <xm:f>'Audit sheet validation'!$D$513:$D$783</xm:f>
          </x14:formula1>
          <xm:sqref>D235:D251 D270:D288 D311:D325 D341:D365 D387:D398 D418:D437 D449:D473 D497:D508 D533:D546 D570:D581 D618:D657 D659:D693 D695:D735 D737:D769 D771:D803 D805:D840 D842:D1048576 D156:D157 D166:D181 D119:D120 D30:D32 D58 D86:D117 D150:D154 D183:D184 D220:D221 D204:D218 D60:D69 D74:D84 D1:D17 D22:D27 D39:D55 D186:D187 D253:D254 D290:D291 D327:D328 D367:D368 D400:D401 D439:D440 D475:D476 D510:D511 D525:D526 D548:D549 D583:D585 D610:D616</xm:sqref>
        </x14:dataValidation>
        <x14:dataValidation type="list" allowBlank="1" showInputMessage="1" showErrorMessage="1" xr:uid="{C4854608-9F27-4778-ACEB-40E05FC4DCEE}">
          <x14:formula1>
            <xm:f>'Audit sheet validation'!$C$3:$C$13</xm:f>
          </x14:formula1>
          <xm:sqref>C1:C120 C150:C157 C166:C187 C204:C221 C235:C254 C270:C291 C311:C328 C341:C368 C387:C401 C418:C440 C449:C476 C497:C511 C525:C526 C533:C549 C570:C585 C610:C1048576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000C73-02F7-47B2-9AF8-63219FB009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20</vt:i4>
      </vt:variant>
    </vt:vector>
  </HeadingPairs>
  <TitlesOfParts>
    <vt:vector size="22" baseType="lpstr">
      <vt:lpstr>Audit sheet validation</vt:lpstr>
      <vt:lpstr>Audit sheet</vt:lpstr>
      <vt:lpstr>Area</vt:lpstr>
      <vt:lpstr>CABIN___STUDY</vt:lpstr>
      <vt:lpstr>Compass_at_helm_position</vt:lpstr>
      <vt:lpstr>DECK_FITTINGS</vt:lpstr>
      <vt:lpstr>Description</vt:lpstr>
      <vt:lpstr>Discipine_Area</vt:lpstr>
      <vt:lpstr>Discipline_Areas</vt:lpstr>
      <vt:lpstr>Discipline_No.</vt:lpstr>
      <vt:lpstr>Discipline_Number</vt:lpstr>
      <vt:lpstr>ENGINE___CONTROLS</vt:lpstr>
      <vt:lpstr>Failure</vt:lpstr>
      <vt:lpstr>GALLEY_QC</vt:lpstr>
      <vt:lpstr>HEADS_COMPARTMENTS__ALL_CABINS</vt:lpstr>
      <vt:lpstr>Location</vt:lpstr>
      <vt:lpstr>MAST__RIGGING___SAILS</vt:lpstr>
      <vt:lpstr>NAVIGATION_CONSOLE_QC</vt:lpstr>
      <vt:lpstr>PLUMBING_INSTALLATION</vt:lpstr>
      <vt:lpstr>RUDDER___STEERING_SYSTEM_QC</vt:lpstr>
      <vt:lpstr>RUNNING_RIGGING_QC</vt:lpstr>
      <vt:lpstr>SALOON_QC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qcharbour@robertsonandcaine.com</dc:creator>
  <cp:lastModifiedBy>RAC - QC Harbour 1</cp:lastModifiedBy>
  <cp:lastPrinted>2026-08-20T06:21:04Z</cp:lastPrinted>
  <dcterms:created xsi:type="dcterms:W3CDTF">2019-06-19T08:58:14Z</dcterms:created>
  <dcterms:modified xsi:type="dcterms:W3CDTF">2026-08-21T08:10:01Z</dcterms:modified>
</cp:coreProperties>
</file>