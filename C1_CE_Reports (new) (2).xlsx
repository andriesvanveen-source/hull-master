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obcaine-my.sharepoint.com/personal/andriesvanveen_robertsonandcaine_com/Documents/Desktop/C1/"/>
    </mc:Choice>
  </mc:AlternateContent>
  <xr:revisionPtr revIDLastSave="629" documentId="8_{8EFAF8D4-7719-4DE9-AFC6-1060A1007D4A}" xr6:coauthVersionLast="47" xr6:coauthVersionMax="47" xr10:uidLastSave="{E0D8217D-1ABC-4EE0-BB8C-7F07C71B5B66}"/>
  <workbookProtection workbookAlgorithmName="SHA-512" workbookHashValue="NMI/NtlZy/w2iDzPyhnP+L+ps7thfUJlLkhciIN6SPE82HwjJswVlF48mDNcPdln1qIPc7j8oT09SBtiw8BmcA==" workbookSaltValue="kAmFdIVHhtGm7sIW3nXeZw==" workbookSpinCount="100000" lockStructure="1"/>
  <bookViews>
    <workbookView xWindow="-120" yWindow="-16320" windowWidth="29040" windowHeight="15720" xr2:uid="{F1420684-A453-4EA4-981D-699534A96068}"/>
  </bookViews>
  <sheets>
    <sheet name="C1019" sheetId="19" r:id="rId1"/>
    <sheet name="C1018" sheetId="18" r:id="rId2"/>
    <sheet name="C1013" sheetId="17" r:id="rId3"/>
    <sheet name="C1017" sheetId="16" r:id="rId4"/>
    <sheet name="C1015" sheetId="15" r:id="rId5"/>
    <sheet name="C1012" sheetId="14" r:id="rId6"/>
    <sheet name="C1016" sheetId="11" r:id="rId7"/>
    <sheet name="C1010" sheetId="10" r:id="rId8"/>
    <sheet name="C1009" sheetId="9" r:id="rId9"/>
    <sheet name="C1008" sheetId="8" r:id="rId10"/>
    <sheet name="C1007" sheetId="7" r:id="rId11"/>
    <sheet name="C1006" sheetId="5" r:id="rId12"/>
    <sheet name="C1005" sheetId="4" r:id="rId13"/>
    <sheet name="C1004" sheetId="3" r:id="rId14"/>
    <sheet name="C1003" sheetId="1" r:id="rId15"/>
    <sheet name="Common_Defect_List" sheetId="6" r:id="rId16"/>
    <sheet name="Breakdown of areas" sheetId="12" r:id="rId17"/>
  </sheets>
  <definedNames>
    <definedName name="_xlnm._FilterDatabase" localSheetId="16" hidden="1">'Breakdown of areas'!$A$1:$A$1</definedName>
    <definedName name="_xlnm.Print_Area" localSheetId="14">'C1003'!$A$1:$Z$290</definedName>
    <definedName name="_xlnm.Print_Area" localSheetId="13">'C1004'!$A$1:$Z$267</definedName>
    <definedName name="_xlnm.Print_Area" localSheetId="12">'C1005'!$A$1:$Z$293</definedName>
    <definedName name="_xlnm.Print_Area" localSheetId="11">'C1006'!$A$1:$Z$293</definedName>
    <definedName name="_xlnm.Print_Area" localSheetId="10">'C1007'!$A$1:$Z$291</definedName>
    <definedName name="_xlnm.Print_Area" localSheetId="9">'C1008'!$A$1:$Z$291</definedName>
    <definedName name="_xlnm.Print_Area" localSheetId="8">'C1009'!$A$1:$Z$291</definedName>
    <definedName name="_xlnm.Print_Area" localSheetId="7">'C1010'!$A$1:$Z$291</definedName>
    <definedName name="_xlnm.Print_Area" localSheetId="5">'C1012'!$A$1:$Z$291</definedName>
    <definedName name="_xlnm.Print_Area" localSheetId="2">'C1013'!$A$1:$Z$282</definedName>
    <definedName name="_xlnm.Print_Area" localSheetId="4">'C1015'!$A$1:$Z$282</definedName>
    <definedName name="_xlnm.Print_Area" localSheetId="6">'C1016'!$A$1:$Z$291</definedName>
    <definedName name="_xlnm.Print_Area" localSheetId="3">'C1017'!$A$1:$Z$282</definedName>
    <definedName name="_xlnm.Print_Area" localSheetId="1">'C1018'!$A$1:$Z$282</definedName>
    <definedName name="_xlnm.Print_Area" localSheetId="0">'C1019'!$A$1:$Z$282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1" i="19" l="1"/>
  <c r="C276" i="19"/>
  <c r="C269" i="19"/>
  <c r="C268" i="19"/>
  <c r="C267" i="19"/>
  <c r="C266" i="19"/>
  <c r="C265" i="19"/>
  <c r="C264" i="19"/>
  <c r="C263" i="19"/>
  <c r="C262" i="19"/>
  <c r="C261" i="19"/>
  <c r="C247" i="19"/>
  <c r="C246" i="19"/>
  <c r="C237" i="19"/>
  <c r="M231" i="19"/>
  <c r="K225" i="19"/>
  <c r="C220" i="19"/>
  <c r="C219" i="19"/>
  <c r="C218" i="19"/>
  <c r="C217" i="19"/>
  <c r="C216" i="19"/>
  <c r="C215" i="19"/>
  <c r="C214" i="19"/>
  <c r="C213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M178" i="19"/>
  <c r="K172" i="19"/>
  <c r="C167" i="19"/>
  <c r="C166" i="19"/>
  <c r="C165" i="19"/>
  <c r="C164" i="19"/>
  <c r="C163" i="19"/>
  <c r="C162" i="19"/>
  <c r="C161" i="19"/>
  <c r="C160" i="19"/>
  <c r="C155" i="19"/>
  <c r="C154" i="19"/>
  <c r="C153" i="19"/>
  <c r="C152" i="19"/>
  <c r="C151" i="19"/>
  <c r="C137" i="19"/>
  <c r="C136" i="19"/>
  <c r="C135" i="19"/>
  <c r="C134" i="19"/>
  <c r="C133" i="19"/>
  <c r="C132" i="19"/>
  <c r="C131" i="19"/>
  <c r="C130" i="19"/>
  <c r="M117" i="19"/>
  <c r="K111" i="19"/>
  <c r="C106" i="19"/>
  <c r="C105" i="19"/>
  <c r="C104" i="19"/>
  <c r="C103" i="19"/>
  <c r="C102" i="19"/>
  <c r="C91" i="19"/>
  <c r="C90" i="19"/>
  <c r="C89" i="19"/>
  <c r="C88" i="19"/>
  <c r="C87" i="19"/>
  <c r="C86" i="19"/>
  <c r="C85" i="19"/>
  <c r="M63" i="19"/>
  <c r="K58" i="19"/>
  <c r="K56" i="19"/>
  <c r="K279" i="19" s="1"/>
  <c r="C53" i="19"/>
  <c r="C52" i="19"/>
  <c r="C51" i="19"/>
  <c r="C50" i="19"/>
  <c r="C49" i="19"/>
  <c r="AC11" i="19"/>
  <c r="AC10" i="19"/>
  <c r="AC9" i="19"/>
  <c r="C186" i="18"/>
  <c r="C190" i="18" s="1"/>
  <c r="C187" i="18"/>
  <c r="C189" i="18" s="1"/>
  <c r="C188" i="18"/>
  <c r="C193" i="18"/>
  <c r="C185" i="18"/>
  <c r="C85" i="18"/>
  <c r="C86" i="18"/>
  <c r="C87" i="18"/>
  <c r="C88" i="18"/>
  <c r="C89" i="18"/>
  <c r="C90" i="18"/>
  <c r="K281" i="18"/>
  <c r="C276" i="18"/>
  <c r="C247" i="18"/>
  <c r="C237" i="18"/>
  <c r="M231" i="18"/>
  <c r="K225" i="18"/>
  <c r="C220" i="18"/>
  <c r="C219" i="18"/>
  <c r="C218" i="18"/>
  <c r="C217" i="18"/>
  <c r="C216" i="18"/>
  <c r="C205" i="18"/>
  <c r="C204" i="18"/>
  <c r="C203" i="18"/>
  <c r="C202" i="18"/>
  <c r="C201" i="18"/>
  <c r="C200" i="18"/>
  <c r="C199" i="18"/>
  <c r="C198" i="18"/>
  <c r="C197" i="18"/>
  <c r="M178" i="18"/>
  <c r="K172" i="18"/>
  <c r="C167" i="18"/>
  <c r="C166" i="18"/>
  <c r="C165" i="18"/>
  <c r="C164" i="18"/>
  <c r="C163" i="18"/>
  <c r="C162" i="18"/>
  <c r="C161" i="18"/>
  <c r="C160" i="18"/>
  <c r="C155" i="18"/>
  <c r="C154" i="18"/>
  <c r="C153" i="18"/>
  <c r="C152" i="18"/>
  <c r="C137" i="18"/>
  <c r="C136" i="18"/>
  <c r="C135" i="18"/>
  <c r="C134" i="18"/>
  <c r="C133" i="18"/>
  <c r="C132" i="18"/>
  <c r="C131" i="18"/>
  <c r="C130" i="18"/>
  <c r="M117" i="18"/>
  <c r="K111" i="18"/>
  <c r="C106" i="18"/>
  <c r="C105" i="18"/>
  <c r="C91" i="18"/>
  <c r="AC10" i="18"/>
  <c r="M63" i="18"/>
  <c r="K58" i="18"/>
  <c r="K56" i="18"/>
  <c r="K279" i="18" s="1"/>
  <c r="C53" i="18"/>
  <c r="C52" i="18"/>
  <c r="C51" i="18"/>
  <c r="C50" i="18"/>
  <c r="C49" i="18"/>
  <c r="C49" i="17"/>
  <c r="C50" i="17"/>
  <c r="C51" i="17"/>
  <c r="C52" i="17"/>
  <c r="C53" i="17"/>
  <c r="C80" i="17"/>
  <c r="C81" i="17"/>
  <c r="C82" i="17"/>
  <c r="C83" i="17"/>
  <c r="C90" i="17"/>
  <c r="C91" i="17"/>
  <c r="K281" i="17"/>
  <c r="C237" i="17"/>
  <c r="M231" i="17"/>
  <c r="K225" i="17"/>
  <c r="C220" i="17"/>
  <c r="C219" i="17"/>
  <c r="C218" i="17"/>
  <c r="C217" i="17"/>
  <c r="C216" i="17"/>
  <c r="C205" i="17"/>
  <c r="C204" i="17"/>
  <c r="C203" i="17"/>
  <c r="C202" i="17"/>
  <c r="C201" i="17"/>
  <c r="C200" i="17"/>
  <c r="C199" i="17"/>
  <c r="C198" i="17"/>
  <c r="C197" i="17"/>
  <c r="M178" i="17"/>
  <c r="K172" i="17"/>
  <c r="C167" i="17"/>
  <c r="C166" i="17"/>
  <c r="C165" i="17"/>
  <c r="C164" i="17"/>
  <c r="C155" i="17"/>
  <c r="C154" i="17"/>
  <c r="V139" i="17"/>
  <c r="C137" i="17"/>
  <c r="C136" i="17"/>
  <c r="C135" i="17"/>
  <c r="C134" i="17"/>
  <c r="C133" i="17"/>
  <c r="C132" i="17"/>
  <c r="C131" i="17"/>
  <c r="C130" i="17"/>
  <c r="C129" i="17"/>
  <c r="M117" i="17"/>
  <c r="K111" i="17"/>
  <c r="V84" i="17"/>
  <c r="M63" i="17"/>
  <c r="K58" i="17"/>
  <c r="K56" i="17"/>
  <c r="K279" i="17" s="1"/>
  <c r="V28" i="17"/>
  <c r="V22" i="17"/>
  <c r="V21" i="17"/>
  <c r="V16" i="17"/>
  <c r="V12" i="17"/>
  <c r="V187" i="16"/>
  <c r="K281" i="16"/>
  <c r="C276" i="16"/>
  <c r="C269" i="16"/>
  <c r="C268" i="16"/>
  <c r="C267" i="16"/>
  <c r="C266" i="16"/>
  <c r="C254" i="16"/>
  <c r="C253" i="16"/>
  <c r="C252" i="16"/>
  <c r="C237" i="16"/>
  <c r="M231" i="16"/>
  <c r="K225" i="16"/>
  <c r="V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M178" i="16"/>
  <c r="K172" i="16"/>
  <c r="C167" i="16"/>
  <c r="C166" i="16"/>
  <c r="C165" i="16"/>
  <c r="C164" i="16"/>
  <c r="V156" i="16"/>
  <c r="C155" i="16"/>
  <c r="C154" i="16"/>
  <c r="V139" i="16"/>
  <c r="C137" i="16"/>
  <c r="C136" i="16"/>
  <c r="C135" i="16"/>
  <c r="C134" i="16"/>
  <c r="M117" i="16"/>
  <c r="K111" i="16"/>
  <c r="V97" i="16"/>
  <c r="V84" i="16"/>
  <c r="M63" i="16"/>
  <c r="K58" i="16"/>
  <c r="K56" i="16"/>
  <c r="K279" i="16" s="1"/>
  <c r="C53" i="16"/>
  <c r="C52" i="16"/>
  <c r="C51" i="16"/>
  <c r="C50" i="16"/>
  <c r="C49" i="16"/>
  <c r="C48" i="16"/>
  <c r="C47" i="16"/>
  <c r="V28" i="16"/>
  <c r="V22" i="16"/>
  <c r="V21" i="16"/>
  <c r="V16" i="16"/>
  <c r="V12" i="16"/>
  <c r="V260" i="15"/>
  <c r="V261" i="15"/>
  <c r="V241" i="15"/>
  <c r="V244" i="15"/>
  <c r="V209" i="15"/>
  <c r="V215" i="15"/>
  <c r="V216" i="15"/>
  <c r="V207" i="15"/>
  <c r="V185" i="15"/>
  <c r="V28" i="15"/>
  <c r="C31" i="15"/>
  <c r="C32" i="15"/>
  <c r="V156" i="15"/>
  <c r="V141" i="15"/>
  <c r="V144" i="15"/>
  <c r="V145" i="15"/>
  <c r="V146" i="15"/>
  <c r="V147" i="15"/>
  <c r="V148" i="15"/>
  <c r="V150" i="15"/>
  <c r="V129" i="15"/>
  <c r="V130" i="15"/>
  <c r="V131" i="15"/>
  <c r="V132" i="15"/>
  <c r="V133" i="15"/>
  <c r="V95" i="15"/>
  <c r="V97" i="15"/>
  <c r="V100" i="15"/>
  <c r="V101" i="15"/>
  <c r="V102" i="15"/>
  <c r="V103" i="15"/>
  <c r="V104" i="15"/>
  <c r="V84" i="15"/>
  <c r="V87" i="15"/>
  <c r="V88" i="15"/>
  <c r="V91" i="15"/>
  <c r="V94" i="15"/>
  <c r="V75" i="15"/>
  <c r="V76" i="15"/>
  <c r="V77" i="15"/>
  <c r="V78" i="15"/>
  <c r="C266" i="15"/>
  <c r="C267" i="15"/>
  <c r="C268" i="15"/>
  <c r="C269" i="15"/>
  <c r="C251" i="15"/>
  <c r="C197" i="15"/>
  <c r="C198" i="15"/>
  <c r="C199" i="15"/>
  <c r="C200" i="15"/>
  <c r="C201" i="15"/>
  <c r="C202" i="15"/>
  <c r="C203" i="15"/>
  <c r="C204" i="15"/>
  <c r="C205" i="15"/>
  <c r="C194" i="15"/>
  <c r="C195" i="15"/>
  <c r="C196" i="15"/>
  <c r="C161" i="15"/>
  <c r="C162" i="15"/>
  <c r="C163" i="15"/>
  <c r="C151" i="15"/>
  <c r="C134" i="15"/>
  <c r="C135" i="15"/>
  <c r="C136" i="15"/>
  <c r="C137" i="15"/>
  <c r="C106" i="15"/>
  <c r="V12" i="15"/>
  <c r="V16" i="15"/>
  <c r="V18" i="15"/>
  <c r="V20" i="15"/>
  <c r="V21" i="15"/>
  <c r="V22" i="15"/>
  <c r="AC11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K281" i="15"/>
  <c r="C276" i="15"/>
  <c r="C254" i="15"/>
  <c r="C253" i="15"/>
  <c r="C252" i="15"/>
  <c r="C237" i="15"/>
  <c r="M231" i="15"/>
  <c r="K225" i="15"/>
  <c r="V206" i="15"/>
  <c r="M178" i="15"/>
  <c r="K172" i="15"/>
  <c r="C167" i="15"/>
  <c r="C166" i="15"/>
  <c r="C165" i="15"/>
  <c r="C164" i="15"/>
  <c r="C155" i="15"/>
  <c r="C154" i="15"/>
  <c r="C153" i="15"/>
  <c r="V140" i="15"/>
  <c r="V139" i="15"/>
  <c r="M117" i="15"/>
  <c r="K111" i="15"/>
  <c r="C83" i="15"/>
  <c r="V70" i="15"/>
  <c r="M63" i="15"/>
  <c r="K58" i="15"/>
  <c r="K56" i="15"/>
  <c r="K279" i="15" s="1"/>
  <c r="C53" i="15"/>
  <c r="C52" i="15"/>
  <c r="C51" i="15"/>
  <c r="C50" i="15"/>
  <c r="C12" i="15"/>
  <c r="V250" i="14"/>
  <c r="V253" i="14"/>
  <c r="V211" i="14"/>
  <c r="V215" i="14"/>
  <c r="V218" i="14"/>
  <c r="V224" i="14"/>
  <c r="V140" i="14"/>
  <c r="V143" i="14"/>
  <c r="V144" i="14"/>
  <c r="V145" i="14"/>
  <c r="V146" i="14"/>
  <c r="V148" i="14"/>
  <c r="V149" i="14"/>
  <c r="V155" i="14"/>
  <c r="V156" i="14"/>
  <c r="V157" i="14"/>
  <c r="V160" i="14"/>
  <c r="V161" i="14"/>
  <c r="V165" i="14"/>
  <c r="V167" i="14"/>
  <c r="V136" i="14"/>
  <c r="V102" i="14"/>
  <c r="V103" i="14"/>
  <c r="V104" i="14"/>
  <c r="V111" i="14"/>
  <c r="V112" i="14"/>
  <c r="V85" i="14"/>
  <c r="V86" i="14"/>
  <c r="V87" i="14"/>
  <c r="V79" i="14"/>
  <c r="V24" i="14"/>
  <c r="V30" i="14"/>
  <c r="V12" i="14"/>
  <c r="V13" i="14"/>
  <c r="V14" i="14"/>
  <c r="V15" i="14"/>
  <c r="V16" i="14"/>
  <c r="V17" i="14"/>
  <c r="V19" i="14"/>
  <c r="V20" i="14"/>
  <c r="V21" i="14"/>
  <c r="V22" i="14"/>
  <c r="V11" i="14"/>
  <c r="C172" i="14"/>
  <c r="C173" i="14"/>
  <c r="C174" i="14"/>
  <c r="C175" i="14"/>
  <c r="L2" i="12" a="1"/>
  <c r="L2" i="12" s="1"/>
  <c r="K2" i="12" a="1"/>
  <c r="K2" i="12" s="1"/>
  <c r="J2" i="12" a="1"/>
  <c r="J2" i="12" s="1"/>
  <c r="I2" i="12" a="1"/>
  <c r="I2" i="12" s="1"/>
  <c r="H2" i="12" a="1"/>
  <c r="H2" i="12" s="1"/>
  <c r="G2" i="12" a="1"/>
  <c r="G2" i="12" s="1"/>
  <c r="F2" i="12" a="1"/>
  <c r="F2" i="12" s="1"/>
  <c r="E2" i="12" a="1"/>
  <c r="E2" i="12" s="1"/>
  <c r="D2" i="12" a="1"/>
  <c r="D2" i="12" s="1"/>
  <c r="C2" i="12" a="1"/>
  <c r="C2" i="12" s="1"/>
  <c r="B2" i="12" a="1"/>
  <c r="B2" i="12" s="1"/>
  <c r="A2" i="12" a="1"/>
  <c r="A2" i="12" s="1"/>
  <c r="K290" i="14"/>
  <c r="C285" i="14"/>
  <c r="C284" i="14"/>
  <c r="C283" i="14"/>
  <c r="C246" i="14"/>
  <c r="M240" i="14"/>
  <c r="K234" i="14"/>
  <c r="C214" i="14"/>
  <c r="M187" i="14"/>
  <c r="K181" i="14"/>
  <c r="M126" i="14"/>
  <c r="K120" i="14"/>
  <c r="C115" i="14"/>
  <c r="C114" i="14"/>
  <c r="C92" i="14"/>
  <c r="C91" i="14"/>
  <c r="C90" i="14"/>
  <c r="C89" i="14"/>
  <c r="C88" i="14"/>
  <c r="M72" i="14"/>
  <c r="K67" i="14"/>
  <c r="K65" i="14"/>
  <c r="K288" i="14" s="1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12" i="14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6" i="1"/>
  <c r="C265" i="1"/>
  <c r="C264" i="1"/>
  <c r="C263" i="1"/>
  <c r="C262" i="1"/>
  <c r="C256" i="1"/>
  <c r="C255" i="1"/>
  <c r="C254" i="1"/>
  <c r="C253" i="1"/>
  <c r="C252" i="1"/>
  <c r="C251" i="1"/>
  <c r="C250" i="1"/>
  <c r="C249" i="1"/>
  <c r="M24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M189" i="1"/>
  <c r="C178" i="1"/>
  <c r="C177" i="1"/>
  <c r="C176" i="1"/>
  <c r="C175" i="1"/>
  <c r="C174" i="1"/>
  <c r="C173" i="1"/>
  <c r="C172" i="1"/>
  <c r="C171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M128" i="1"/>
  <c r="C117" i="1"/>
  <c r="C116" i="1"/>
  <c r="C115" i="1"/>
  <c r="C114" i="1"/>
  <c r="C113" i="1"/>
  <c r="C112" i="1"/>
  <c r="C111" i="1"/>
  <c r="C110" i="1"/>
  <c r="C109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89" i="1"/>
  <c r="C88" i="1"/>
  <c r="C87" i="1"/>
  <c r="C86" i="1"/>
  <c r="C85" i="1"/>
  <c r="C84" i="1"/>
  <c r="C83" i="1"/>
  <c r="C82" i="1"/>
  <c r="C81" i="1"/>
  <c r="M72" i="1"/>
  <c r="K64" i="1"/>
  <c r="K287" i="1" s="1"/>
  <c r="C61" i="1"/>
  <c r="C60" i="1"/>
  <c r="C59" i="1"/>
  <c r="C58" i="1"/>
  <c r="C57" i="1"/>
  <c r="C56" i="1"/>
  <c r="C55" i="1"/>
  <c r="C54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M219" i="3"/>
  <c r="M166" i="3"/>
  <c r="M112" i="3"/>
  <c r="M58" i="3"/>
  <c r="C287" i="4"/>
  <c r="C286" i="4"/>
  <c r="C285" i="4"/>
  <c r="C284" i="4"/>
  <c r="C283" i="4"/>
  <c r="C282" i="4"/>
  <c r="C277" i="4"/>
  <c r="C275" i="4"/>
  <c r="C274" i="4"/>
  <c r="C273" i="4"/>
  <c r="C272" i="4"/>
  <c r="C271" i="4"/>
  <c r="C270" i="4"/>
  <c r="C269" i="4"/>
  <c r="C268" i="4"/>
  <c r="C267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M242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M189" i="4"/>
  <c r="C178" i="4"/>
  <c r="C177" i="4"/>
  <c r="C176" i="4"/>
  <c r="C175" i="4"/>
  <c r="C174" i="4"/>
  <c r="C173" i="4"/>
  <c r="C172" i="4"/>
  <c r="C171" i="4"/>
  <c r="C170" i="4"/>
  <c r="C169" i="4"/>
  <c r="C167" i="4"/>
  <c r="C166" i="4"/>
  <c r="C165" i="4"/>
  <c r="C164" i="4"/>
  <c r="C163" i="4"/>
  <c r="C162" i="4"/>
  <c r="C161" i="4"/>
  <c r="C160" i="4"/>
  <c r="C159" i="4"/>
  <c r="C156" i="4"/>
  <c r="C155" i="4"/>
  <c r="C151" i="4"/>
  <c r="C150" i="4"/>
  <c r="C149" i="4"/>
  <c r="C148" i="4"/>
  <c r="C147" i="4"/>
  <c r="C146" i="4"/>
  <c r="C145" i="4"/>
  <c r="C144" i="4"/>
  <c r="C143" i="4"/>
  <c r="C141" i="4"/>
  <c r="C140" i="4"/>
  <c r="C139" i="4"/>
  <c r="C138" i="4"/>
  <c r="C137" i="4"/>
  <c r="C136" i="4"/>
  <c r="C135" i="4"/>
  <c r="M128" i="4"/>
  <c r="C117" i="4"/>
  <c r="C116" i="4"/>
  <c r="C115" i="4"/>
  <c r="C114" i="4"/>
  <c r="C112" i="4"/>
  <c r="C111" i="4"/>
  <c r="C110" i="4"/>
  <c r="C109" i="4"/>
  <c r="C108" i="4"/>
  <c r="C107" i="4"/>
  <c r="C106" i="4"/>
  <c r="C105" i="4"/>
  <c r="C104" i="4"/>
  <c r="C103" i="4"/>
  <c r="C97" i="4"/>
  <c r="C96" i="4"/>
  <c r="C94" i="4"/>
  <c r="C93" i="4"/>
  <c r="C92" i="4"/>
  <c r="C91" i="4"/>
  <c r="C90" i="4"/>
  <c r="C89" i="4"/>
  <c r="C88" i="4"/>
  <c r="C87" i="4"/>
  <c r="C86" i="4"/>
  <c r="C85" i="4"/>
  <c r="C84" i="4"/>
  <c r="M72" i="4"/>
  <c r="K65" i="4"/>
  <c r="K120" i="4" s="1"/>
  <c r="C60" i="4"/>
  <c r="C59" i="4"/>
  <c r="C58" i="4"/>
  <c r="C57" i="4"/>
  <c r="C56" i="4"/>
  <c r="C55" i="4"/>
  <c r="C54" i="4"/>
  <c r="C53" i="4"/>
  <c r="C52" i="4"/>
  <c r="C51" i="4"/>
  <c r="C50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287" i="5"/>
  <c r="C286" i="5"/>
  <c r="C285" i="5"/>
  <c r="C284" i="5"/>
  <c r="C283" i="5"/>
  <c r="C282" i="5"/>
  <c r="C281" i="5"/>
  <c r="C280" i="5"/>
  <c r="C279" i="5"/>
  <c r="C278" i="5"/>
  <c r="C277" i="5"/>
  <c r="C275" i="5"/>
  <c r="C274" i="5"/>
  <c r="C273" i="5"/>
  <c r="C272" i="5"/>
  <c r="C271" i="5"/>
  <c r="C270" i="5"/>
  <c r="C269" i="5"/>
  <c r="C268" i="5"/>
  <c r="C267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M242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M18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48" i="5"/>
  <c r="C147" i="5"/>
  <c r="C146" i="5"/>
  <c r="C145" i="5"/>
  <c r="C144" i="5"/>
  <c r="C143" i="5"/>
  <c r="C142" i="5"/>
  <c r="C140" i="5"/>
  <c r="C139" i="5"/>
  <c r="C138" i="5"/>
  <c r="C137" i="5"/>
  <c r="C136" i="5"/>
  <c r="M12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M72" i="5"/>
  <c r="K65" i="5"/>
  <c r="K290" i="5" s="1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M240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M187" i="7"/>
  <c r="C176" i="7"/>
  <c r="C175" i="7"/>
  <c r="C174" i="7"/>
  <c r="C172" i="7"/>
  <c r="C171" i="7"/>
  <c r="C170" i="7"/>
  <c r="C169" i="7"/>
  <c r="C168" i="7"/>
  <c r="C167" i="7"/>
  <c r="C166" i="7"/>
  <c r="C165" i="7"/>
  <c r="C164" i="7"/>
  <c r="C163" i="7"/>
  <c r="C162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M126" i="7"/>
  <c r="C115" i="7"/>
  <c r="C114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M72" i="7"/>
  <c r="K65" i="7"/>
  <c r="K288" i="7" s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AC9" i="7"/>
  <c r="K290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M240" i="8"/>
  <c r="K234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M187" i="8"/>
  <c r="K181" i="8"/>
  <c r="C176" i="8"/>
  <c r="C175" i="8"/>
  <c r="C174" i="8"/>
  <c r="C173" i="8"/>
  <c r="C172" i="8"/>
  <c r="C171" i="8"/>
  <c r="C170" i="8"/>
  <c r="C168" i="8"/>
  <c r="C167" i="8"/>
  <c r="C166" i="8"/>
  <c r="C165" i="8"/>
  <c r="C164" i="8"/>
  <c r="C163" i="8"/>
  <c r="C162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M126" i="8"/>
  <c r="K120" i="8"/>
  <c r="C115" i="8"/>
  <c r="C114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M72" i="8"/>
  <c r="K67" i="8"/>
  <c r="K65" i="8"/>
  <c r="K118" i="8" s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AC9" i="8"/>
  <c r="K290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M240" i="9"/>
  <c r="K234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M187" i="9"/>
  <c r="K181" i="9"/>
  <c r="C176" i="9"/>
  <c r="C175" i="9"/>
  <c r="C174" i="9"/>
  <c r="C173" i="9"/>
  <c r="C172" i="9"/>
  <c r="C171" i="9"/>
  <c r="C170" i="9"/>
  <c r="C168" i="9"/>
  <c r="C167" i="9"/>
  <c r="C166" i="9"/>
  <c r="C165" i="9"/>
  <c r="C164" i="9"/>
  <c r="C163" i="9"/>
  <c r="C162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M126" i="9"/>
  <c r="K120" i="9"/>
  <c r="C115" i="9"/>
  <c r="C114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M72" i="9"/>
  <c r="K67" i="9"/>
  <c r="K65" i="9"/>
  <c r="K179" i="9" s="1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AC9" i="9"/>
  <c r="K290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M240" i="10"/>
  <c r="K234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M187" i="10"/>
  <c r="K181" i="10"/>
  <c r="C176" i="10"/>
  <c r="C175" i="10"/>
  <c r="C174" i="10"/>
  <c r="C173" i="10"/>
  <c r="C172" i="10"/>
  <c r="C171" i="10"/>
  <c r="C170" i="10"/>
  <c r="C169" i="10"/>
  <c r="C168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M126" i="10"/>
  <c r="K120" i="10"/>
  <c r="C115" i="10"/>
  <c r="C114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M72" i="10"/>
  <c r="K67" i="10"/>
  <c r="K65" i="10"/>
  <c r="K179" i="10" s="1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AC9" i="10"/>
  <c r="K290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M240" i="11"/>
  <c r="K234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M187" i="11"/>
  <c r="K181" i="11"/>
  <c r="C176" i="11"/>
  <c r="C175" i="11"/>
  <c r="C174" i="11"/>
  <c r="C173" i="11"/>
  <c r="C172" i="11"/>
  <c r="C171" i="11"/>
  <c r="C170" i="11"/>
  <c r="C169" i="11"/>
  <c r="C168" i="11"/>
  <c r="C167" i="11"/>
  <c r="C166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M126" i="11"/>
  <c r="K120" i="11"/>
  <c r="C115" i="11"/>
  <c r="C114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M72" i="11"/>
  <c r="K67" i="11"/>
  <c r="K65" i="11"/>
  <c r="K288" i="11" s="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AC9" i="11"/>
  <c r="K109" i="19" l="1"/>
  <c r="K223" i="19"/>
  <c r="K170" i="19"/>
  <c r="C70" i="19"/>
  <c r="C192" i="18"/>
  <c r="C191" i="18"/>
  <c r="AC9" i="18"/>
  <c r="K170" i="18"/>
  <c r="AC11" i="18"/>
  <c r="K223" i="18"/>
  <c r="K109" i="18"/>
  <c r="C70" i="18"/>
  <c r="AC9" i="17"/>
  <c r="K109" i="17"/>
  <c r="AC11" i="17"/>
  <c r="K170" i="17"/>
  <c r="K223" i="17"/>
  <c r="AC10" i="17"/>
  <c r="K109" i="16"/>
  <c r="AC11" i="16"/>
  <c r="K223" i="16"/>
  <c r="AC9" i="16"/>
  <c r="K170" i="16"/>
  <c r="AC10" i="16"/>
  <c r="AC10" i="15"/>
  <c r="AC9" i="15"/>
  <c r="K170" i="15"/>
  <c r="C13" i="15"/>
  <c r="C14" i="15" s="1"/>
  <c r="C15" i="15" s="1"/>
  <c r="K223" i="15"/>
  <c r="K109" i="15"/>
  <c r="C79" i="14"/>
  <c r="AC9" i="14"/>
  <c r="K179" i="14"/>
  <c r="C13" i="14"/>
  <c r="K118" i="14"/>
  <c r="C14" i="14"/>
  <c r="K232" i="14"/>
  <c r="K181" i="1"/>
  <c r="K181" i="5"/>
  <c r="K181" i="4"/>
  <c r="K118" i="11"/>
  <c r="K232" i="11"/>
  <c r="K179" i="11"/>
  <c r="K120" i="5"/>
  <c r="K234" i="1"/>
  <c r="K118" i="10"/>
  <c r="K232" i="8"/>
  <c r="K290" i="4"/>
  <c r="K118" i="7"/>
  <c r="K118" i="9"/>
  <c r="K179" i="8"/>
  <c r="K232" i="7"/>
  <c r="K288" i="10"/>
  <c r="K234" i="5"/>
  <c r="K232" i="10"/>
  <c r="K288" i="8"/>
  <c r="K179" i="7"/>
  <c r="K234" i="4"/>
  <c r="K120" i="1"/>
  <c r="K232" i="9"/>
  <c r="K288" i="9"/>
  <c r="C71" i="19" l="1"/>
  <c r="C71" i="18"/>
  <c r="C16" i="15"/>
  <c r="C17" i="15" s="1"/>
  <c r="C18" i="15" s="1"/>
  <c r="C15" i="14"/>
  <c r="C72" i="19" l="1"/>
  <c r="C73" i="19" s="1"/>
  <c r="C74" i="19" s="1"/>
  <c r="C72" i="18"/>
  <c r="C73" i="18"/>
  <c r="C19" i="15"/>
  <c r="C20" i="15"/>
  <c r="C19" i="14"/>
  <c r="C17" i="14"/>
  <c r="C18" i="14"/>
  <c r="C16" i="14"/>
  <c r="C75" i="19" l="1"/>
  <c r="C76" i="19"/>
  <c r="C74" i="18"/>
  <c r="C21" i="15"/>
  <c r="C20" i="14"/>
  <c r="C78" i="19" l="1"/>
  <c r="C79" i="19" s="1"/>
  <c r="C80" i="19" s="1"/>
  <c r="C77" i="19"/>
  <c r="C75" i="18"/>
  <c r="C22" i="15"/>
  <c r="C21" i="14"/>
  <c r="C81" i="19" l="1"/>
  <c r="C82" i="19" s="1"/>
  <c r="C83" i="19" s="1"/>
  <c r="C76" i="18"/>
  <c r="C77" i="18" s="1"/>
  <c r="C23" i="15"/>
  <c r="C24" i="15" s="1"/>
  <c r="C25" i="15" s="1"/>
  <c r="C26" i="15" s="1"/>
  <c r="C27" i="15" s="1"/>
  <c r="C28" i="15" s="1"/>
  <c r="C22" i="14"/>
  <c r="C23" i="14"/>
  <c r="C84" i="19" l="1"/>
  <c r="C93" i="19" s="1"/>
  <c r="C94" i="19" s="1"/>
  <c r="C95" i="19" s="1"/>
  <c r="C78" i="18"/>
  <c r="C79" i="18" s="1"/>
  <c r="C80" i="18" s="1"/>
  <c r="C81" i="18" s="1"/>
  <c r="C82" i="18" s="1"/>
  <c r="C83" i="18" s="1"/>
  <c r="C84" i="18" s="1"/>
  <c r="C29" i="15"/>
  <c r="C30" i="15" s="1"/>
  <c r="C24" i="14"/>
  <c r="C96" i="19" l="1"/>
  <c r="C97" i="19" s="1"/>
  <c r="C98" i="19" s="1"/>
  <c r="C99" i="19" s="1"/>
  <c r="C100" i="19" s="1"/>
  <c r="C101" i="19" s="1"/>
  <c r="C124" i="19" s="1"/>
  <c r="C125" i="19" s="1"/>
  <c r="C126" i="19" s="1"/>
  <c r="C127" i="19" s="1"/>
  <c r="C128" i="19" s="1"/>
  <c r="C129" i="19" s="1"/>
  <c r="C140" i="19" s="1"/>
  <c r="C141" i="19" s="1"/>
  <c r="C142" i="19" s="1"/>
  <c r="C143" i="19" s="1"/>
  <c r="C144" i="19" s="1"/>
  <c r="C145" i="19" s="1"/>
  <c r="C146" i="19" s="1"/>
  <c r="C147" i="19" s="1"/>
  <c r="C148" i="19" s="1"/>
  <c r="C149" i="19" s="1"/>
  <c r="C150" i="19" s="1"/>
  <c r="C157" i="19" s="1"/>
  <c r="C158" i="19" s="1"/>
  <c r="C159" i="19" s="1"/>
  <c r="C185" i="19" s="1"/>
  <c r="C186" i="19" s="1"/>
  <c r="C187" i="19" s="1"/>
  <c r="C188" i="19" s="1"/>
  <c r="C275" i="19"/>
  <c r="C93" i="18"/>
  <c r="C94" i="18" s="1"/>
  <c r="C25" i="14"/>
  <c r="C189" i="19" l="1"/>
  <c r="C190" i="19" s="1"/>
  <c r="C191" i="19" s="1"/>
  <c r="C192" i="19" s="1"/>
  <c r="C95" i="18"/>
  <c r="C96" i="18" s="1"/>
  <c r="C97" i="18" s="1"/>
  <c r="C98" i="18" s="1"/>
  <c r="C99" i="18" s="1"/>
  <c r="C70" i="15"/>
  <c r="C26" i="14"/>
  <c r="C27" i="14" s="1"/>
  <c r="C28" i="14" s="1"/>
  <c r="C29" i="14" s="1"/>
  <c r="C30" i="14" s="1"/>
  <c r="C31" i="14" s="1"/>
  <c r="C32" i="14" s="1"/>
  <c r="C33" i="14" s="1"/>
  <c r="C34" i="14" s="1"/>
  <c r="C35" i="14" s="1"/>
  <c r="C80" i="14" s="1"/>
  <c r="C193" i="19" l="1"/>
  <c r="C207" i="19" s="1"/>
  <c r="C208" i="19" s="1"/>
  <c r="C209" i="19" s="1"/>
  <c r="C210" i="19" s="1"/>
  <c r="C211" i="19" s="1"/>
  <c r="C100" i="18"/>
  <c r="C101" i="18" s="1"/>
  <c r="C102" i="18" s="1"/>
  <c r="C103" i="18" s="1"/>
  <c r="C104" i="18" s="1"/>
  <c r="C124" i="18" s="1"/>
  <c r="C71" i="15"/>
  <c r="C81" i="14"/>
  <c r="C82" i="14" s="1"/>
  <c r="C83" i="14" s="1"/>
  <c r="C176" i="14"/>
  <c r="C212" i="19" l="1"/>
  <c r="C238" i="19" s="1"/>
  <c r="C239" i="19" s="1"/>
  <c r="C240" i="19" s="1"/>
  <c r="C241" i="19" s="1"/>
  <c r="C242" i="19" s="1"/>
  <c r="C243" i="19" s="1"/>
  <c r="C244" i="19" s="1"/>
  <c r="C245" i="19" s="1"/>
  <c r="C249" i="19" s="1"/>
  <c r="C250" i="19" s="1"/>
  <c r="C251" i="19" s="1"/>
  <c r="C252" i="19" s="1"/>
  <c r="C253" i="19" s="1"/>
  <c r="C254" i="19" s="1"/>
  <c r="C255" i="19" s="1"/>
  <c r="C256" i="19" s="1"/>
  <c r="C257" i="19" s="1"/>
  <c r="C258" i="19" s="1"/>
  <c r="C259" i="19" s="1"/>
  <c r="C260" i="19" s="1"/>
  <c r="C125" i="18"/>
  <c r="C126" i="18" s="1"/>
  <c r="C127" i="18" s="1"/>
  <c r="C128" i="18" s="1"/>
  <c r="C72" i="15"/>
  <c r="C73" i="15" s="1"/>
  <c r="C74" i="15" s="1"/>
  <c r="C84" i="14"/>
  <c r="C85" i="14" s="1"/>
  <c r="C86" i="14" s="1"/>
  <c r="C87" i="14" s="1"/>
  <c r="C271" i="19" l="1"/>
  <c r="C272" i="19" s="1"/>
  <c r="C129" i="18"/>
  <c r="C140" i="18" s="1"/>
  <c r="C141" i="18" s="1"/>
  <c r="C142" i="18" s="1"/>
  <c r="C143" i="18" s="1"/>
  <c r="C144" i="18" s="1"/>
  <c r="C145" i="18" s="1"/>
  <c r="C146" i="18" s="1"/>
  <c r="C147" i="18" s="1"/>
  <c r="C75" i="15"/>
  <c r="C76" i="15" s="1"/>
  <c r="C94" i="14"/>
  <c r="C95" i="14" s="1"/>
  <c r="C273" i="19" l="1"/>
  <c r="C274" i="19" s="1"/>
  <c r="C148" i="18"/>
  <c r="C149" i="18" s="1"/>
  <c r="C150" i="18" s="1"/>
  <c r="C151" i="18" s="1"/>
  <c r="C77" i="15"/>
  <c r="C96" i="14"/>
  <c r="C97" i="14" s="1"/>
  <c r="C98" i="14" s="1"/>
  <c r="C99" i="14" s="1"/>
  <c r="C100" i="14" s="1"/>
  <c r="C101" i="14" s="1"/>
  <c r="AC8" i="19" l="1"/>
  <c r="AC12" i="19" s="1"/>
  <c r="C157" i="18"/>
  <c r="C158" i="18" s="1"/>
  <c r="C78" i="15"/>
  <c r="C79" i="15" s="1"/>
  <c r="C80" i="15" s="1"/>
  <c r="C81" i="15" s="1"/>
  <c r="C82" i="15" s="1"/>
  <c r="C102" i="14"/>
  <c r="C103" i="14" s="1"/>
  <c r="C105" i="14" s="1"/>
  <c r="C159" i="18" l="1"/>
  <c r="C85" i="15"/>
  <c r="C86" i="15" s="1"/>
  <c r="C87" i="15" s="1"/>
  <c r="C106" i="14"/>
  <c r="C107" i="14" s="1"/>
  <c r="C108" i="14" s="1"/>
  <c r="C109" i="14" s="1"/>
  <c r="C110" i="14" s="1"/>
  <c r="C111" i="14" s="1"/>
  <c r="C112" i="14" s="1"/>
  <c r="C133" i="14" s="1"/>
  <c r="C88" i="15" l="1"/>
  <c r="C89" i="15" s="1"/>
  <c r="C134" i="14"/>
  <c r="C135" i="14" s="1"/>
  <c r="C136" i="14" s="1"/>
  <c r="C137" i="14" s="1"/>
  <c r="C138" i="14" s="1"/>
  <c r="C139" i="14" s="1"/>
  <c r="C140" i="14" s="1"/>
  <c r="C141" i="14" s="1"/>
  <c r="C142" i="14" s="1"/>
  <c r="C143" i="14" s="1"/>
  <c r="C194" i="18" l="1"/>
  <c r="C195" i="18" s="1"/>
  <c r="C196" i="18" s="1"/>
  <c r="C90" i="15"/>
  <c r="C91" i="15" s="1"/>
  <c r="C144" i="14"/>
  <c r="C145" i="14" s="1"/>
  <c r="C146" i="14" s="1"/>
  <c r="C92" i="15" l="1"/>
  <c r="C93" i="15" s="1"/>
  <c r="C94" i="15" s="1"/>
  <c r="C96" i="15" s="1"/>
  <c r="C149" i="14"/>
  <c r="C150" i="14" s="1"/>
  <c r="C151" i="14" s="1"/>
  <c r="C152" i="14" s="1"/>
  <c r="C153" i="14" s="1"/>
  <c r="C154" i="14" s="1"/>
  <c r="C97" i="15" l="1"/>
  <c r="C98" i="15" s="1"/>
  <c r="C99" i="15" s="1"/>
  <c r="C100" i="15" s="1"/>
  <c r="C101" i="15" s="1"/>
  <c r="C102" i="15" s="1"/>
  <c r="C103" i="15" s="1"/>
  <c r="C104" i="15" s="1"/>
  <c r="C105" i="15" s="1"/>
  <c r="C124" i="15" s="1"/>
  <c r="C155" i="14"/>
  <c r="C156" i="14" s="1"/>
  <c r="C157" i="14" s="1"/>
  <c r="C158" i="14" s="1"/>
  <c r="C159" i="14" s="1"/>
  <c r="C160" i="14" s="1"/>
  <c r="C161" i="14" s="1"/>
  <c r="C162" i="14" s="1"/>
  <c r="C163" i="14" s="1"/>
  <c r="C164" i="14" s="1"/>
  <c r="C125" i="15" l="1"/>
  <c r="C126" i="15" s="1"/>
  <c r="C152" i="15"/>
  <c r="C166" i="14"/>
  <c r="C167" i="14" s="1"/>
  <c r="C168" i="14" s="1"/>
  <c r="C169" i="14" s="1"/>
  <c r="C127" i="15" l="1"/>
  <c r="C128" i="15" s="1"/>
  <c r="C170" i="14"/>
  <c r="C171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129" i="15" l="1"/>
  <c r="C204" i="14"/>
  <c r="C205" i="14" s="1"/>
  <c r="C206" i="14" s="1"/>
  <c r="C207" i="14" s="1"/>
  <c r="C208" i="14" s="1"/>
  <c r="C209" i="14" s="1"/>
  <c r="C210" i="14" s="1"/>
  <c r="C130" i="15" l="1"/>
  <c r="C131" i="15" s="1"/>
  <c r="C132" i="15" s="1"/>
  <c r="C211" i="14"/>
  <c r="C212" i="14" s="1"/>
  <c r="C213" i="14" s="1"/>
  <c r="C133" i="15" l="1"/>
  <c r="C140" i="15" s="1"/>
  <c r="C216" i="14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80" i="14" s="1"/>
  <c r="C281" i="14" s="1"/>
  <c r="C282" i="14" s="1"/>
  <c r="C141" i="15" l="1"/>
  <c r="C142" i="15" l="1"/>
  <c r="C143" i="15" l="1"/>
  <c r="C144" i="15" l="1"/>
  <c r="C145" i="15" l="1"/>
  <c r="C146" i="15" l="1"/>
  <c r="C147" i="15" l="1"/>
  <c r="C148" i="15" l="1"/>
  <c r="C149" i="15" l="1"/>
  <c r="C150" i="15" l="1"/>
  <c r="C157" i="15" l="1"/>
  <c r="C158" i="15" s="1"/>
  <c r="C159" i="15" s="1"/>
  <c r="C160" i="15" s="1"/>
  <c r="C185" i="15" s="1"/>
  <c r="C186" i="15" s="1"/>
  <c r="C187" i="15" s="1"/>
  <c r="C188" i="15" s="1"/>
  <c r="C189" i="15" s="1"/>
  <c r="C190" i="15" s="1"/>
  <c r="C191" i="15" s="1"/>
  <c r="C192" i="15" s="1"/>
  <c r="C193" i="15" l="1"/>
  <c r="C207" i="15" s="1"/>
  <c r="C208" i="15" s="1"/>
  <c r="C209" i="15" s="1"/>
  <c r="C210" i="15" s="1"/>
  <c r="C211" i="15" s="1"/>
  <c r="C212" i="15" s="1"/>
  <c r="C213" i="15" s="1"/>
  <c r="C214" i="15" s="1"/>
  <c r="C215" i="15" s="1"/>
  <c r="C216" i="15" s="1"/>
  <c r="C217" i="15" s="1"/>
  <c r="C218" i="15" s="1"/>
  <c r="C219" i="15" s="1"/>
  <c r="C220" i="15" l="1"/>
  <c r="C238" i="15" s="1"/>
  <c r="C239" i="15" s="1"/>
  <c r="C240" i="15" s="1"/>
  <c r="C241" i="15" s="1"/>
  <c r="C242" i="15" s="1"/>
  <c r="C243" i="15" s="1"/>
  <c r="C244" i="15" s="1"/>
  <c r="C245" i="15" s="1"/>
  <c r="C246" i="15" s="1"/>
  <c r="C247" i="15" s="1"/>
  <c r="C248" i="15" s="1"/>
  <c r="C249" i="15" s="1"/>
  <c r="C250" i="15" s="1"/>
  <c r="C256" i="15" s="1"/>
  <c r="C257" i="15" s="1"/>
  <c r="C258" i="15" s="1"/>
  <c r="C259" i="15" s="1"/>
  <c r="C260" i="15" s="1"/>
  <c r="C261" i="15" s="1"/>
  <c r="C262" i="15" s="1"/>
  <c r="C263" i="15" s="1"/>
  <c r="C264" i="15" s="1"/>
  <c r="C265" i="15" s="1"/>
  <c r="C271" i="15" s="1"/>
  <c r="C272" i="15" s="1"/>
  <c r="C273" i="15" s="1"/>
  <c r="C274" i="15" s="1"/>
  <c r="C275" i="15" l="1"/>
  <c r="AC8" i="15"/>
  <c r="AC12" i="15" s="1"/>
  <c r="C264" i="16"/>
  <c r="C265" i="16"/>
  <c r="C216" i="16"/>
  <c r="C217" i="16"/>
  <c r="C218" i="16"/>
  <c r="C219" i="16"/>
  <c r="C220" i="16"/>
  <c r="C189" i="16"/>
  <c r="C190" i="16"/>
  <c r="C191" i="16"/>
  <c r="C192" i="16"/>
  <c r="C193" i="16"/>
  <c r="C129" i="16"/>
  <c r="C130" i="16"/>
  <c r="C131" i="16"/>
  <c r="C132" i="16"/>
  <c r="C133" i="16"/>
  <c r="C70" i="16"/>
  <c r="C71" i="16" l="1"/>
  <c r="C72" i="16" l="1"/>
  <c r="C73" i="16"/>
  <c r="C74" i="16" l="1"/>
  <c r="C75" i="16" l="1"/>
  <c r="C76" i="16"/>
  <c r="C78" i="16" s="1"/>
  <c r="C77" i="16"/>
  <c r="C79" i="16" l="1"/>
  <c r="C81" i="16" s="1"/>
  <c r="C80" i="16"/>
  <c r="C82" i="16" l="1"/>
  <c r="C83" i="16"/>
  <c r="C87" i="16" l="1"/>
  <c r="C88" i="16" l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24" i="16" l="1"/>
  <c r="C125" i="16" s="1"/>
  <c r="C126" i="16" s="1"/>
  <c r="C127" i="16" s="1"/>
  <c r="C128" i="16" s="1"/>
  <c r="C140" i="16" s="1"/>
  <c r="C141" i="16" s="1"/>
  <c r="C142" i="16" s="1"/>
  <c r="C143" i="16" s="1"/>
  <c r="C144" i="16" s="1"/>
  <c r="C145" i="16" s="1"/>
  <c r="C146" i="16" s="1"/>
  <c r="C147" i="16" s="1"/>
  <c r="C148" i="16" s="1"/>
  <c r="C149" i="16" s="1"/>
  <c r="C150" i="16" s="1"/>
  <c r="C151" i="16" s="1"/>
  <c r="C152" i="16" s="1"/>
  <c r="C153" i="16" s="1"/>
  <c r="C157" i="16" s="1"/>
  <c r="C158" i="16" s="1"/>
  <c r="C159" i="16" s="1"/>
  <c r="C160" i="16" s="1"/>
  <c r="C161" i="16" s="1"/>
  <c r="C162" i="16" s="1"/>
  <c r="C163" i="16" s="1"/>
  <c r="C185" i="16" s="1"/>
  <c r="C186" i="16" s="1"/>
  <c r="C187" i="16" s="1"/>
  <c r="C188" i="16" s="1"/>
  <c r="C207" i="16" s="1"/>
  <c r="C208" i="16" s="1"/>
  <c r="C209" i="16" s="1"/>
  <c r="C210" i="16" s="1"/>
  <c r="C211" i="16" s="1"/>
  <c r="C212" i="16" s="1"/>
  <c r="C213" i="16" s="1"/>
  <c r="C214" i="16" s="1"/>
  <c r="C215" i="16" s="1"/>
  <c r="C238" i="16" s="1"/>
  <c r="C239" i="16" s="1"/>
  <c r="C240" i="16" s="1"/>
  <c r="C241" i="16" s="1"/>
  <c r="C242" i="16" s="1"/>
  <c r="C243" i="16" s="1"/>
  <c r="C244" i="16" s="1"/>
  <c r="C245" i="16" s="1"/>
  <c r="C246" i="16" s="1"/>
  <c r="C247" i="16" s="1"/>
  <c r="C248" i="16" s="1"/>
  <c r="C249" i="16" s="1"/>
  <c r="C250" i="16" s="1"/>
  <c r="C251" i="16" s="1"/>
  <c r="C256" i="16" s="1"/>
  <c r="C257" i="16" s="1"/>
  <c r="C258" i="16" s="1"/>
  <c r="C259" i="16" s="1"/>
  <c r="C260" i="16" s="1"/>
  <c r="C261" i="16" s="1"/>
  <c r="C262" i="16" s="1"/>
  <c r="C263" i="16" s="1"/>
  <c r="C271" i="16" s="1"/>
  <c r="C272" i="16" s="1"/>
  <c r="C273" i="16" s="1"/>
  <c r="C274" i="16" s="1"/>
  <c r="AC8" i="16" l="1"/>
  <c r="AC12" i="16" s="1"/>
  <c r="C275" i="16"/>
  <c r="C247" i="17"/>
  <c r="C148" i="17"/>
  <c r="C149" i="17"/>
  <c r="C150" i="17"/>
  <c r="C151" i="17"/>
  <c r="C152" i="17"/>
  <c r="C153" i="17"/>
  <c r="C159" i="17"/>
  <c r="C160" i="17"/>
  <c r="C161" i="17"/>
  <c r="C162" i="17"/>
  <c r="C163" i="17"/>
  <c r="C105" i="17"/>
  <c r="C106" i="17"/>
  <c r="C70" i="17"/>
  <c r="C71" i="17" l="1"/>
  <c r="C72" i="17"/>
  <c r="C73" i="17" l="1"/>
  <c r="C74" i="17"/>
  <c r="C75" i="17"/>
  <c r="C76" i="17" l="1"/>
  <c r="C77" i="17" s="1"/>
  <c r="C78" i="17" l="1"/>
  <c r="C79" i="17" l="1"/>
  <c r="C85" i="17" l="1"/>
  <c r="C86" i="17" s="1"/>
  <c r="C87" i="17" l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24" i="17" s="1"/>
  <c r="C125" i="17" s="1"/>
  <c r="C126" i="17" s="1"/>
  <c r="C127" i="17" s="1"/>
  <c r="C128" i="17" s="1"/>
  <c r="C140" i="17" s="1"/>
  <c r="C141" i="17" s="1"/>
  <c r="C142" i="17" s="1"/>
  <c r="C143" i="17" s="1"/>
  <c r="C144" i="17" s="1"/>
  <c r="C145" i="17" s="1"/>
  <c r="C146" i="17" s="1"/>
  <c r="C147" i="17" s="1"/>
  <c r="C157" i="17" s="1"/>
  <c r="C158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207" i="17" s="1"/>
  <c r="C208" i="17" s="1"/>
  <c r="C209" i="17" s="1"/>
  <c r="C210" i="17" s="1"/>
  <c r="C211" i="17" s="1"/>
  <c r="C212" i="17" s="1"/>
  <c r="C213" i="17" s="1"/>
  <c r="C214" i="17" s="1"/>
  <c r="C215" i="17" s="1"/>
  <c r="C238" i="17" s="1"/>
  <c r="C239" i="17" s="1"/>
  <c r="C240" i="17" s="1"/>
  <c r="C241" i="17" s="1"/>
  <c r="C242" i="17" s="1"/>
  <c r="C243" i="17" s="1"/>
  <c r="C244" i="17" s="1"/>
  <c r="C245" i="17" s="1"/>
  <c r="C246" i="17" s="1"/>
  <c r="C248" i="17" s="1"/>
  <c r="C249" i="17" s="1"/>
  <c r="C250" i="17" s="1"/>
  <c r="C251" i="17" s="1"/>
  <c r="C252" i="17" s="1"/>
  <c r="C253" i="17" s="1"/>
  <c r="C254" i="17" s="1"/>
  <c r="C255" i="17" s="1"/>
  <c r="C256" i="17" s="1"/>
  <c r="C257" i="17" s="1"/>
  <c r="C258" i="17" s="1"/>
  <c r="C259" i="17" s="1"/>
  <c r="C260" i="17" s="1"/>
  <c r="C261" i="17" s="1"/>
  <c r="C262" i="17" s="1"/>
  <c r="C263" i="17" s="1"/>
  <c r="C264" i="17" s="1"/>
  <c r="C265" i="17" s="1"/>
  <c r="C266" i="17" s="1"/>
  <c r="C267" i="17" s="1"/>
  <c r="C268" i="17" s="1"/>
  <c r="C269" i="17" s="1"/>
  <c r="C271" i="17" s="1"/>
  <c r="C272" i="17" s="1"/>
  <c r="C273" i="17" s="1"/>
  <c r="C274" i="17" s="1"/>
  <c r="AC8" i="17" l="1"/>
  <c r="AC12" i="17" s="1"/>
  <c r="C275" i="17"/>
  <c r="C276" i="17" s="1"/>
  <c r="C211" i="18"/>
  <c r="C212" i="18"/>
  <c r="C213" i="18"/>
  <c r="C214" i="18"/>
  <c r="C215" i="18"/>
  <c r="C246" i="18"/>
  <c r="C258" i="18"/>
  <c r="C259" i="18"/>
  <c r="C261" i="18"/>
  <c r="C263" i="18"/>
  <c r="C264" i="18"/>
  <c r="C265" i="18"/>
  <c r="C267" i="18"/>
  <c r="C268" i="18"/>
  <c r="C269" i="18"/>
  <c r="C271" i="18"/>
  <c r="C272" i="18"/>
  <c r="C207" i="18"/>
  <c r="C208" i="18" l="1"/>
  <c r="C209" i="18" l="1"/>
  <c r="C210" i="18" l="1"/>
  <c r="C238" i="18" s="1"/>
  <c r="C239" i="18" l="1"/>
  <c r="C240" i="18" l="1"/>
  <c r="C241" i="18" l="1"/>
  <c r="C242" i="18" s="1"/>
  <c r="C243" i="18" s="1"/>
  <c r="C244" i="18" s="1"/>
  <c r="C245" i="18" s="1"/>
  <c r="C249" i="18" s="1"/>
  <c r="C250" i="18" s="1"/>
  <c r="C251" i="18" s="1"/>
  <c r="C252" i="18" s="1"/>
  <c r="C253" i="18" s="1"/>
  <c r="C254" i="18" s="1"/>
  <c r="C255" i="18" s="1"/>
  <c r="C256" i="18" s="1"/>
  <c r="C257" i="18" s="1"/>
  <c r="C260" i="18" s="1"/>
  <c r="C262" i="18" s="1"/>
  <c r="C266" i="18" s="1"/>
  <c r="C273" i="18" s="1"/>
  <c r="C274" i="18" s="1"/>
  <c r="AC8" i="18" s="1"/>
  <c r="AC12" i="18" s="1"/>
  <c r="C275" i="1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<sst xmlns="http://schemas.openxmlformats.org/spreadsheetml/2006/main" count="5355" uniqueCount="1665">
  <si>
    <t xml:space="preserve">   </t>
  </si>
  <si>
    <t xml:space="preserve">PAGE    1        OF      5  </t>
  </si>
  <si>
    <t>HULL NO:</t>
  </si>
  <si>
    <t>C1012</t>
  </si>
  <si>
    <t>CUST REF:</t>
  </si>
  <si>
    <t xml:space="preserve">           RESPONSIBILITY:</t>
  </si>
  <si>
    <t>ARL. Van Veen</t>
  </si>
  <si>
    <t xml:space="preserve">COMMISSIONING DEFECTS                                            Launch Date :    </t>
  </si>
  <si>
    <t>TASK / JOB</t>
  </si>
  <si>
    <t>REPR BY (NAME)</t>
  </si>
  <si>
    <t>COMPL DT</t>
  </si>
  <si>
    <t>T/L Sign</t>
  </si>
  <si>
    <t>CE 
SIGN-OFF</t>
  </si>
  <si>
    <t>SALOON</t>
  </si>
  <si>
    <t>Telly Mute Not Working</t>
  </si>
  <si>
    <t>Nmma Label Needs To Be Mounted</t>
  </si>
  <si>
    <t>Aircon Switching On Wrong Pump</t>
  </si>
  <si>
    <t>Incomplete Wiring Behind Acdc Panel</t>
  </si>
  <si>
    <t>Incomplete Wiring At Main Saloon Db</t>
  </si>
  <si>
    <t>Saloon Door Needs To Be Set</t>
  </si>
  <si>
    <t>Loose Wires Behind Acdc</t>
  </si>
  <si>
    <t>Bilge Override Lights Not Mounted</t>
  </si>
  <si>
    <t>ELEC</t>
  </si>
  <si>
    <t>Genset Isolator Switch Not Mounted</t>
  </si>
  <si>
    <t>Saloon Clear Plastic Db Cover Not Mounted</t>
  </si>
  <si>
    <t>Fire Blanket Not Fitted (Sf)</t>
  </si>
  <si>
    <t>Co2 Sensor Not Mounted</t>
  </si>
  <si>
    <t>saloon door handle loose</t>
  </si>
  <si>
    <t>CARP</t>
  </si>
  <si>
    <t>Inverter Not Programmed On Acdc</t>
  </si>
  <si>
    <t>dual shore power switch light is on even with breaker off</t>
  </si>
  <si>
    <t>genset transfer switch light is on even if breaker is off</t>
  </si>
  <si>
    <t>genset transfer is not working</t>
  </si>
  <si>
    <t>incorrect acdc panel labels</t>
  </si>
  <si>
    <t>small conductor under large conductor x3 behind acdc panel</t>
  </si>
  <si>
    <t>Inverter Alarm Not Working</t>
  </si>
  <si>
    <t>acdc panel closing screws are too short</t>
  </si>
  <si>
    <t>missing negative bus cover in saloon DB</t>
  </si>
  <si>
    <t>saloon downlights not working</t>
  </si>
  <si>
    <t>4x missing saloon downlights</t>
  </si>
  <si>
    <t>curtacy lights not working</t>
  </si>
  <si>
    <t>multiple loose ground wires in saloon floor</t>
  </si>
  <si>
    <t>morse control ground wire not connected</t>
  </si>
  <si>
    <t>lynxx blue cover missing</t>
  </si>
  <si>
    <t>shunt blue cover missing</t>
  </si>
  <si>
    <t>mast wiring is incomplete</t>
  </si>
  <si>
    <t>missing mounting screws for main breakers in floor</t>
  </si>
  <si>
    <t>missing labels for main breakers in floor</t>
  </si>
  <si>
    <t>house batteries not mounted</t>
  </si>
  <si>
    <t xml:space="preserve">galley fridge not mounted </t>
  </si>
  <si>
    <t>galley fridge compressor not mounted</t>
  </si>
  <si>
    <t>reefing warning sign not fitted in galley</t>
  </si>
  <si>
    <t>FA</t>
  </si>
  <si>
    <t>HOB S/S not fitted</t>
  </si>
  <si>
    <t>hand held VHF missing at nav desk</t>
  </si>
  <si>
    <t>no Co-X plugs fitted for VHF antenna</t>
  </si>
  <si>
    <t>MFD needs to be programmed</t>
  </si>
  <si>
    <t>AC Multimeter needs to be programmed</t>
  </si>
  <si>
    <t>No key tallies for saloon door fitted</t>
  </si>
  <si>
    <t>backbone not terminated</t>
  </si>
  <si>
    <t>The Commissioning Engineer has to list all defects found on the boat after launch within 24hrs.</t>
  </si>
  <si>
    <t>DATE:</t>
  </si>
  <si>
    <t>COMMISSIONING ENGINEER:</t>
  </si>
  <si>
    <t>SIGNATURE:</t>
  </si>
  <si>
    <t>24. COMMISSIONING  EXCEPTION SHEET</t>
  </si>
  <si>
    <t>Page 2  of  5</t>
  </si>
  <si>
    <t xml:space="preserve">      RESPONSIBILITY:</t>
  </si>
  <si>
    <t>COMMISSIONING DEFECTS</t>
  </si>
  <si>
    <t>STBD AFT CABIN AND HEADS</t>
  </si>
  <si>
    <t xml:space="preserve">Leak On Water Heater </t>
  </si>
  <si>
    <t>isolator switch not mounted</t>
  </si>
  <si>
    <t>manual fire suppression wire loose</t>
  </si>
  <si>
    <t>MECH</t>
  </si>
  <si>
    <t>water heater not draining</t>
  </si>
  <si>
    <t>CE</t>
  </si>
  <si>
    <t>missing bilge labels</t>
  </si>
  <si>
    <t>PLUM</t>
  </si>
  <si>
    <t>water heater leaking</t>
  </si>
  <si>
    <t>Missing Salt/Fresh Label At Toilet</t>
  </si>
  <si>
    <t>Toilet Seat Loose</t>
  </si>
  <si>
    <t>Basin Mixer Loose</t>
  </si>
  <si>
    <t>ducting is badly installed in ceiling</t>
  </si>
  <si>
    <t>STBD MID CABIN AND HEADS</t>
  </si>
  <si>
    <t>not enough light in stbd mid cabin</t>
  </si>
  <si>
    <t>bottom bunk fan mounted to wall not ceiling</t>
  </si>
  <si>
    <t>no usb for reading light</t>
  </si>
  <si>
    <t>water tank is dirty</t>
  </si>
  <si>
    <t>heads extractor fan not working</t>
  </si>
  <si>
    <t>heads rope light not working</t>
  </si>
  <si>
    <t>DB missing rail stopper</t>
  </si>
  <si>
    <t>inboard inspection has a pipe that is not draining properly</t>
  </si>
  <si>
    <t>Waste Tank Indicator Not Working</t>
  </si>
  <si>
    <t>STBD FWD CABIN AND HEADS</t>
  </si>
  <si>
    <t>aircon plug not properly connected</t>
  </si>
  <si>
    <t>shower cold water not working</t>
  </si>
  <si>
    <t>fresh water bleed label not fitted</t>
  </si>
  <si>
    <t>depth transducer dummy plug not on boat</t>
  </si>
  <si>
    <t>Toilet Anti-Syphen Leaking</t>
  </si>
  <si>
    <t>The Commissioning Engineer has to list all defects found on the boat after launch within 24hrs</t>
  </si>
  <si>
    <t>PAGE    3        OF        5</t>
  </si>
  <si>
    <t>PORT FWD CABIN &amp; Heads</t>
  </si>
  <si>
    <t>watermaker was cross wired and is now broken</t>
  </si>
  <si>
    <t>heads light not working</t>
  </si>
  <si>
    <t>watermaker raw water filter not fitted</t>
  </si>
  <si>
    <t>Incorrect Wiring On Finder Relay For Genset</t>
  </si>
  <si>
    <t>no diode for finder relay</t>
  </si>
  <si>
    <t>loose wire hanging in inboard inspection</t>
  </si>
  <si>
    <t>bosch relay is not mounted</t>
  </si>
  <si>
    <t>Toilet Salt/Fresh Is Cross Wired</t>
  </si>
  <si>
    <t>genset battery is not booted</t>
  </si>
  <si>
    <t>genset manufold is at bad location (unable to access)</t>
  </si>
  <si>
    <t>Toilet Base Loose</t>
  </si>
  <si>
    <t>PORT AFT CABIN &amp; Heads</t>
  </si>
  <si>
    <t>Debree In Water Tank</t>
  </si>
  <si>
    <t>cabin lights not working</t>
  </si>
  <si>
    <t>no torque marks on engine isolator</t>
  </si>
  <si>
    <t>reading lights not working</t>
  </si>
  <si>
    <t>missing finder diodes</t>
  </si>
  <si>
    <t>toilet pump leaking</t>
  </si>
  <si>
    <t>badly fitted water heater overflow</t>
  </si>
  <si>
    <t>PORT PASSAGE</t>
  </si>
  <si>
    <t>missing blank covers for shore power breaker box</t>
  </si>
  <si>
    <t>Inverter Fans Not Working</t>
  </si>
  <si>
    <t>fresh water bleed leaking</t>
  </si>
  <si>
    <t>missing aircon bleed label</t>
  </si>
  <si>
    <t>aircon filter leaking</t>
  </si>
  <si>
    <t xml:space="preserve">PAGE      4      OF      5  </t>
  </si>
  <si>
    <t>AFT COCKPIT</t>
  </si>
  <si>
    <t>emergency tiller port side does not engage</t>
  </si>
  <si>
    <t>DECK</t>
  </si>
  <si>
    <t>emergency tiller stbd side gets stuck</t>
  </si>
  <si>
    <t>downlights not working</t>
  </si>
  <si>
    <t>david sensor not connected</t>
  </si>
  <si>
    <t>badly installed swim ladder clip</t>
  </si>
  <si>
    <t>gas strut of grill is hitting grill</t>
  </si>
  <si>
    <t>missing warning label at shore power</t>
  </si>
  <si>
    <t>davit motor not booted</t>
  </si>
  <si>
    <t>davit contactor not booted</t>
  </si>
  <si>
    <t>Davit contactor loose</t>
  </si>
  <si>
    <t>poor heat shrink on deck winch terminals</t>
  </si>
  <si>
    <t>missing boots on deck winches</t>
  </si>
  <si>
    <t>missing jammer labels</t>
  </si>
  <si>
    <t>fuel transfer is not working</t>
  </si>
  <si>
    <t>no stbd fuel tank reading</t>
  </si>
  <si>
    <t>raymic wire is not pulled through</t>
  </si>
  <si>
    <t>Battery Link Not Working</t>
  </si>
  <si>
    <t>transom teak steps needs to be fitted</t>
  </si>
  <si>
    <t>liferaft locker backrest supports needs to be fitted</t>
  </si>
  <si>
    <t>PORT ENGINE ROOM</t>
  </si>
  <si>
    <t>Coolant pipe for water heater damaged</t>
  </si>
  <si>
    <t>genset fuel assist leaking</t>
  </si>
  <si>
    <t>Morse Control Splitpins Not Properly Bent Open</t>
  </si>
  <si>
    <t>single clamps on fuel prefilter</t>
  </si>
  <si>
    <t>missing sterling screw</t>
  </si>
  <si>
    <t>unused shore power lead</t>
  </si>
  <si>
    <t>loose bat neg terminal</t>
  </si>
  <si>
    <t>no battery boots</t>
  </si>
  <si>
    <t>Ecu Not Labeled</t>
  </si>
  <si>
    <t>no heat shrink on gnd wire</t>
  </si>
  <si>
    <t xml:space="preserve">PAGE      5      OF      5  </t>
  </si>
  <si>
    <t>STB ENGINE ROOM</t>
  </si>
  <si>
    <t>rudder gnd wire has no heat shrink</t>
  </si>
  <si>
    <t>bad heat shrink on gnd wire at inboard bus</t>
  </si>
  <si>
    <t>engine harness is suspect (engine dies if tampered with)</t>
  </si>
  <si>
    <t>missing blanks in shore power breaker box</t>
  </si>
  <si>
    <t>Loose sterling cover</t>
  </si>
  <si>
    <t>bad crimps and not heat shrink on galvanic isolator</t>
  </si>
  <si>
    <t>exposed wire on exhaust pipe at engine</t>
  </si>
  <si>
    <t>FWD COCKPIT, SIDE DECKS AND COACH ROOF</t>
  </si>
  <si>
    <t>AR200 cover broken</t>
  </si>
  <si>
    <t>spray dodger is bad design</t>
  </si>
  <si>
    <t>rope painter and blocks not fitted to secure mast</t>
  </si>
  <si>
    <t>coach roof fusion remote not working</t>
  </si>
  <si>
    <t>furler block is mounted too low and line will chafe</t>
  </si>
  <si>
    <t>stbd ceiling panel will chafe against furler rope</t>
  </si>
  <si>
    <t>bottle screws are hitting guard rails</t>
  </si>
  <si>
    <t>missing boots on windlass motor and control box</t>
  </si>
  <si>
    <t>missing windlass junction box</t>
  </si>
  <si>
    <t>wires routed on chain side of bulk head</t>
  </si>
  <si>
    <t>gas locker does not stay open</t>
  </si>
  <si>
    <t>missing gas locker labels</t>
  </si>
  <si>
    <t>EXTRAS</t>
  </si>
  <si>
    <t>C1016</t>
  </si>
  <si>
    <t>genset isolator switch not mounted</t>
  </si>
  <si>
    <t>grounding plate in port passgar bilge inboard is not connected to ground</t>
  </si>
  <si>
    <t>2x amplifiers not fitted</t>
  </si>
  <si>
    <t xml:space="preserve">saloon fridge door is falling out </t>
  </si>
  <si>
    <t>Saloon clear plastic DB cover not mounted</t>
  </si>
  <si>
    <t>table top not installed</t>
  </si>
  <si>
    <t>fire blanket not fitted (SF)</t>
  </si>
  <si>
    <t>House batteries not booted</t>
  </si>
  <si>
    <t>MFD not showing volts and amps of house battery</t>
  </si>
  <si>
    <t>MFD showing stbd engine bilge is constantly running</t>
  </si>
  <si>
    <t>Main DB not mounted</t>
  </si>
  <si>
    <t>CO2 sensor not mounted</t>
  </si>
  <si>
    <t>autopilot cross wired</t>
  </si>
  <si>
    <t>galley fridge compressor loosely mounted</t>
  </si>
  <si>
    <t>saloon tap weight mounted on wrong side of hose</t>
  </si>
  <si>
    <t>telly mute not working</t>
  </si>
  <si>
    <t>NMMA label needs to be mounted</t>
  </si>
  <si>
    <t>aircon switching on wrong pump</t>
  </si>
  <si>
    <t>VHF wire not pulled through</t>
  </si>
  <si>
    <t>incomplet wiring behind ACDC panel</t>
  </si>
  <si>
    <t>incomplete wiring at main saloon DB</t>
  </si>
  <si>
    <t>aircon not working</t>
  </si>
  <si>
    <t>lights wiring is incomplete</t>
  </si>
  <si>
    <t>saloon door needs to be set</t>
  </si>
  <si>
    <t>aircon not draining</t>
  </si>
  <si>
    <t>cabin, heads and reading lights not working</t>
  </si>
  <si>
    <t>cabin fan not working</t>
  </si>
  <si>
    <t>waste tank indicator light not fitted</t>
  </si>
  <si>
    <t>leak below toilet</t>
  </si>
  <si>
    <t>missing salt/fresh label at toilet</t>
  </si>
  <si>
    <t>low level bilge float not working</t>
  </si>
  <si>
    <t>STBD FWD CABIN &amp; HEADS</t>
  </si>
  <si>
    <t>gas pipes not connected (gas installation incomplete)</t>
  </si>
  <si>
    <t>shower leaking into bilge</t>
  </si>
  <si>
    <t>bidet leaking at wall outlet</t>
  </si>
  <si>
    <t>waste water tank leaking</t>
  </si>
  <si>
    <t>waste water tank indicator light not working</t>
  </si>
  <si>
    <t>missing salt/fresh label for toilet</t>
  </si>
  <si>
    <t>toilet salt/fresh is cross wired</t>
  </si>
  <si>
    <t>missing c clips on shower rose</t>
  </si>
  <si>
    <t>no 5 amp fuse installed for cabin fan</t>
  </si>
  <si>
    <t>shower cold water leaking</t>
  </si>
  <si>
    <t>deckwash pump running inconsistently</t>
  </si>
  <si>
    <t>shower head leaking</t>
  </si>
  <si>
    <t>toilet flush defective</t>
  </si>
  <si>
    <t>clean generator raw water filter</t>
  </si>
  <si>
    <t>cabin heads and reading lights not working</t>
  </si>
  <si>
    <t>Inverter not powering up</t>
  </si>
  <si>
    <t>Incomplete wiring on DB</t>
  </si>
  <si>
    <t>Incorrect wiring on finder relay for genset</t>
  </si>
  <si>
    <t>Aircon Pump Not Wired</t>
  </si>
  <si>
    <t>cabin door missing a magnet stopper</t>
  </si>
  <si>
    <t>watermaker control box not mounted</t>
  </si>
  <si>
    <t>lifting platform DB has a broken grommet at the bottom</t>
  </si>
  <si>
    <t>Cabin Lights Not Working</t>
  </si>
  <si>
    <t>leak on water heater hot water</t>
  </si>
  <si>
    <t>radar wire not connected on yachtsense</t>
  </si>
  <si>
    <t>unused cradles at fuel tank</t>
  </si>
  <si>
    <t>debree in water tank</t>
  </si>
  <si>
    <t>shower mixer cross plumbed</t>
  </si>
  <si>
    <t>Toilet Loose</t>
  </si>
  <si>
    <t>leak on toilet solenoid</t>
  </si>
  <si>
    <t>unwanted screw in basin drain</t>
  </si>
  <si>
    <t>multiple missing fusion remote network cables at DB</t>
  </si>
  <si>
    <t>toilet flush is cross wired</t>
  </si>
  <si>
    <t>multiple aircon pump pipes leaking</t>
  </si>
  <si>
    <t>missing fuse in HVL under MPPT</t>
  </si>
  <si>
    <t>inverter fans not working</t>
  </si>
  <si>
    <t>waste water tank monitor light not working</t>
  </si>
  <si>
    <t>inverter touch light not working</t>
  </si>
  <si>
    <t>missing bus bar covers and labels</t>
  </si>
  <si>
    <t>aircon connection box not labeled</t>
  </si>
  <si>
    <t>aircon box incorrectly wired</t>
  </si>
  <si>
    <t>Missing timmer module for aircon relays</t>
  </si>
  <si>
    <t>Leak On Basin Plumbing</t>
  </si>
  <si>
    <t>leak on waste water tank</t>
  </si>
  <si>
    <t>HIN number sticker not fitted</t>
  </si>
  <si>
    <t>stbd sugar scoop bottom curtacy light not working</t>
  </si>
  <si>
    <t>Shore power label not fitted</t>
  </si>
  <si>
    <t>R&amp;C decal label / dome tag</t>
  </si>
  <si>
    <t>jammer labels not fitted</t>
  </si>
  <si>
    <t>loose grommet for port lifting platform up sensor</t>
  </si>
  <si>
    <t xml:space="preserve">lifting platform stbd sensor is damaged </t>
  </si>
  <si>
    <t>raymic fitting upside down</t>
  </si>
  <si>
    <t>underwater lights not working</t>
  </si>
  <si>
    <t>battery cover not fitted</t>
  </si>
  <si>
    <t>battery label not fitted</t>
  </si>
  <si>
    <t>junction box labels missing</t>
  </si>
  <si>
    <t>loose clamps on engine fuel prefilter and filter</t>
  </si>
  <si>
    <t>engine fluids low</t>
  </si>
  <si>
    <t>single clamps on fuel lines</t>
  </si>
  <si>
    <t>single clamps on engine raw water filter</t>
  </si>
  <si>
    <t>Loose wire on starter solenoid</t>
  </si>
  <si>
    <t>galvanic isolator wires loose</t>
  </si>
  <si>
    <t>steering bar laying on raw fibre glass</t>
  </si>
  <si>
    <t>Alternator negative wire not connected</t>
  </si>
  <si>
    <t>morse control cables are badly routed</t>
  </si>
  <si>
    <t>shore power breakers not labeled and no rail stopper</t>
  </si>
  <si>
    <t>battery cover not fitted and no battery label</t>
  </si>
  <si>
    <t>shore power cable female fittings not properly grommeted</t>
  </si>
  <si>
    <t>engine oil and coolant very low</t>
  </si>
  <si>
    <t>ECU breaker box is loosely mounted</t>
  </si>
  <si>
    <t>coolant pipes for water heater is single clamped</t>
  </si>
  <si>
    <t>engine harness not strapped up</t>
  </si>
  <si>
    <t>loose cradle for fuel piping</t>
  </si>
  <si>
    <t>poor heat shrinks on battery terminals</t>
  </si>
  <si>
    <t>missing cover for ground bus inboard of engine</t>
  </si>
  <si>
    <t>missing labels and loose covers on multiple electrical boxes and junction boxes</t>
  </si>
  <si>
    <t>Loose L-Bracket On Starter Motor</t>
  </si>
  <si>
    <t>Engine revs do not align</t>
  </si>
  <si>
    <t>No teak steps to coach roof fitted</t>
  </si>
  <si>
    <t>pulleys not fitted (SF)</t>
  </si>
  <si>
    <t>pulleys and rope painter needs to be installed</t>
  </si>
  <si>
    <t>speakers not working</t>
  </si>
  <si>
    <t>boom labels needs to be fitted</t>
  </si>
  <si>
    <t>fwd cockpit speakers not working</t>
  </si>
  <si>
    <t>oven gas shutoff label not fitted</t>
  </si>
  <si>
    <t>Windlass not operational</t>
  </si>
  <si>
    <t>MFD needs to be updated</t>
  </si>
  <si>
    <t>loose wires under windlass motor</t>
  </si>
  <si>
    <t>genset breaker not labeled</t>
  </si>
  <si>
    <t>gas solenoid not wired</t>
  </si>
  <si>
    <t>aircon display covers (SF)</t>
  </si>
  <si>
    <t>all fire extinguishers to be installed (SF)</t>
  </si>
  <si>
    <t xml:space="preserve">genset label damaged </t>
  </si>
  <si>
    <t>C1010</t>
  </si>
  <si>
    <t>Feedback On Autopilot Breaker On Acdc</t>
  </si>
  <si>
    <t>VHF antenna not connected (CO-X plugs on SF)</t>
  </si>
  <si>
    <t>2x amplifiers on SF</t>
  </si>
  <si>
    <t>LPG monitor mounted skew</t>
  </si>
  <si>
    <t>Lynxx 2 &amp; shunt cover not mounted</t>
  </si>
  <si>
    <t>helm alarm buzzer not mounted</t>
  </si>
  <si>
    <t>water pressure pump light on ACDC is flashing</t>
  </si>
  <si>
    <t>saloon tap cross plumbed</t>
  </si>
  <si>
    <t>missing reefing label at stbd fwd staircase</t>
  </si>
  <si>
    <t>ACDC panel labeling wrong</t>
  </si>
  <si>
    <t>Engine Return &amp; Supply Pipe Calmp Loose</t>
  </si>
  <si>
    <t>AC multimeter not showing genset voltage and current</t>
  </si>
  <si>
    <t>ACDC panel has no mounting skrews</t>
  </si>
  <si>
    <t>bilge alarm panel loose</t>
  </si>
  <si>
    <t>brken black plastic wire cover behind ACDC panel</t>
  </si>
  <si>
    <t>Stbd aircon switches on the wrong LED on the ACDC panel</t>
  </si>
  <si>
    <t>delay on 220V cluster from genset switch</t>
  </si>
  <si>
    <t>cabin fan cross wired</t>
  </si>
  <si>
    <t>water heater pipes kinked</t>
  </si>
  <si>
    <t>coolant leak on water heater</t>
  </si>
  <si>
    <t>Fuel Tank Brace Loose</t>
  </si>
  <si>
    <t>sniffer wiring not strapped</t>
  </si>
  <si>
    <t>aircon ball valve not labeled</t>
  </si>
  <si>
    <t>depth transducer not labeled</t>
  </si>
  <si>
    <t>missing aircon pump label</t>
  </si>
  <si>
    <t>shower gulley constantly running</t>
  </si>
  <si>
    <t>aircon display upside down</t>
  </si>
  <si>
    <t>water heater not draining into bilge</t>
  </si>
  <si>
    <t>missing c-clips on fresh water bleed</t>
  </si>
  <si>
    <t>aircon pump outlet piping loose</t>
  </si>
  <si>
    <t>leak at aircon bleed valve</t>
  </si>
  <si>
    <t>no aircon bleed labels x3</t>
  </si>
  <si>
    <t>loose wires in bilge outboard</t>
  </si>
  <si>
    <t>toilet pump label badly fitted</t>
  </si>
  <si>
    <t>David Skew</t>
  </si>
  <si>
    <t>Strip lights on SF</t>
  </si>
  <si>
    <t>david solenoid loosely mounted</t>
  </si>
  <si>
    <t>bad crimps on strip lights bus bar connections</t>
  </si>
  <si>
    <t>horn button not mounted</t>
  </si>
  <si>
    <t>autopilot cover not fitted</t>
  </si>
  <si>
    <t>liferaft locker seat backrest SF</t>
  </si>
  <si>
    <t>4x junction box labels missing</t>
  </si>
  <si>
    <t>AUX stop alarm constantly on</t>
  </si>
  <si>
    <t>Engine Blower Not Working</t>
  </si>
  <si>
    <t>Alternator negative wire broken</t>
  </si>
  <si>
    <t>altrnator fuse cover loose</t>
  </si>
  <si>
    <t>engine oil very low</t>
  </si>
  <si>
    <t>atlernator temp sensor wire not strapped at sterling</t>
  </si>
  <si>
    <t>badly placed clamp on salt waetr pipe connecting to engine coolant compartment</t>
  </si>
  <si>
    <t>loose GND wire on engine connectipon</t>
  </si>
  <si>
    <t>windvane to be installed</t>
  </si>
  <si>
    <t>bilge run light at helm not working</t>
  </si>
  <si>
    <t>12v outlet at helm not working</t>
  </si>
  <si>
    <t>second mast stantions to be fitted</t>
  </si>
  <si>
    <t>fwd cockpit door middle handle loose</t>
  </si>
  <si>
    <t>depth transducer gel and wire (SF)</t>
  </si>
  <si>
    <t>C1009</t>
  </si>
  <si>
    <t>david breaker is a different size to the other breakers</t>
  </si>
  <si>
    <t>genset volts and hertz not set</t>
  </si>
  <si>
    <t>bilge alarm panel not mounted on ACDC</t>
  </si>
  <si>
    <t>outlet at TV not mounted</t>
  </si>
  <si>
    <t>missing boots on deck winch motors</t>
  </si>
  <si>
    <t>curtacy light wiring wrong</t>
  </si>
  <si>
    <t>under basin locker has no catch fitted</t>
  </si>
  <si>
    <t>nav desk front loosely mounted</t>
  </si>
  <si>
    <t>breakers not labeled at house batteries</t>
  </si>
  <si>
    <t>house battery brace loose</t>
  </si>
  <si>
    <t>incorrect jump in main DB at AC wiring</t>
  </si>
  <si>
    <t>missing cover on main negative DC terminal on main DB</t>
  </si>
  <si>
    <t xml:space="preserve">main DB not mounted </t>
  </si>
  <si>
    <t>main DB has no cover fitted</t>
  </si>
  <si>
    <t>lynxx 2 has no floorboard inspection</t>
  </si>
  <si>
    <t>saloon table not fitted</t>
  </si>
  <si>
    <t>saloon door not properly closing</t>
  </si>
  <si>
    <t>saloon door not properly locking</t>
  </si>
  <si>
    <t>ACDC panel labels incomplete</t>
  </si>
  <si>
    <t>strip light not connected</t>
  </si>
  <si>
    <t>fuel tank level sensor wire not cradled</t>
  </si>
  <si>
    <t>leak on water heater</t>
  </si>
  <si>
    <t>fuel bleed leaking</t>
  </si>
  <si>
    <t>fuel tank level low</t>
  </si>
  <si>
    <t>missing screw on fire boy</t>
  </si>
  <si>
    <t>loose wires inboard in inspection</t>
  </si>
  <si>
    <t>loose morse control cables in inboard inspection</t>
  </si>
  <si>
    <t>aircon not draining properly</t>
  </si>
  <si>
    <t>no catch for cabin door</t>
  </si>
  <si>
    <t>no brackets for bottom cupboards</t>
  </si>
  <si>
    <t>saloon fridge compressor wires not strapped</t>
  </si>
  <si>
    <t>saloon fridge drain not connected</t>
  </si>
  <si>
    <t>david breaker wires loose</t>
  </si>
  <si>
    <t>missing rail stoppers on inboard DB</t>
  </si>
  <si>
    <t>toilet salt/fresh swopped</t>
  </si>
  <si>
    <t>toilet water supply pipe standing proud</t>
  </si>
  <si>
    <t>waste tank bottom pipe damaged</t>
  </si>
  <si>
    <t>waste tank inspection panel not chamfered</t>
  </si>
  <si>
    <t>vanity mirror SF</t>
  </si>
  <si>
    <t>waste tank monitor wires not strapped</t>
  </si>
  <si>
    <t>unused cradle above waste tank</t>
  </si>
  <si>
    <t>2x missing stoppers on bleed valves in bilge</t>
  </si>
  <si>
    <t>aircon pump outlet pipe not connected</t>
  </si>
  <si>
    <t>depth transducer wire badly layed</t>
  </si>
  <si>
    <t>fresh water leak at freash water pump</t>
  </si>
  <si>
    <t>heads light switch loose</t>
  </si>
  <si>
    <t>toilet salt/fresh crossed</t>
  </si>
  <si>
    <t>waste tank indicator light wires not strapped</t>
  </si>
  <si>
    <t>shower leaking into bilge through inspection panel</t>
  </si>
  <si>
    <t>basin mixer leaking</t>
  </si>
  <si>
    <t xml:space="preserve">missing rope light </t>
  </si>
  <si>
    <t>toilet salt/fresh cross wired</t>
  </si>
  <si>
    <t>c-clips missing on fresh water bleed</t>
  </si>
  <si>
    <t>unstrapped wiring at yachtsense inspection</t>
  </si>
  <si>
    <t>unused network cable in yachtsense inspection</t>
  </si>
  <si>
    <t>defective network cable for fusion fwd cockpit fusion remote</t>
  </si>
  <si>
    <t>genset finder relay wired incorrectly</t>
  </si>
  <si>
    <t>Basin Mixer Cross Plumbed</t>
  </si>
  <si>
    <t>aircon pump pipe clamps loose</t>
  </si>
  <si>
    <t>solar panels not giving a reading</t>
  </si>
  <si>
    <t>shower sump pump clamp loose</t>
  </si>
  <si>
    <t xml:space="preserve">missing stopper on aircon bleed </t>
  </si>
  <si>
    <t xml:space="preserve">missing shore power label </t>
  </si>
  <si>
    <t>missing horn button and bilge alarm light at helm station</t>
  </si>
  <si>
    <t>metal tops of deck winches at different angles</t>
  </si>
  <si>
    <t>raymic connection upside down</t>
  </si>
  <si>
    <t>david not catching</t>
  </si>
  <si>
    <t>david switch spelt wrong</t>
  </si>
  <si>
    <t>single clamps on engine coolant connections</t>
  </si>
  <si>
    <t>no battery top covers</t>
  </si>
  <si>
    <t>No Labels At Filters Outboard</t>
  </si>
  <si>
    <t xml:space="preserve">no battery label </t>
  </si>
  <si>
    <t>Junction Box Not Labeled</t>
  </si>
  <si>
    <t>stern shower leaking</t>
  </si>
  <si>
    <t>underwater light ground wire loose</t>
  </si>
  <si>
    <t>sterling wires loose</t>
  </si>
  <si>
    <t>unused grommet on engine ecu breaker</t>
  </si>
  <si>
    <t>HIN number printed under battery box</t>
  </si>
  <si>
    <t>engine mounting paint exfoliating</t>
  </si>
  <si>
    <t>incorrect stbd fuel tank level reading</t>
  </si>
  <si>
    <t>missing teflon spacer at fwd cockpit door catch</t>
  </si>
  <si>
    <t>missing oven shutoff label in gas locker</t>
  </si>
  <si>
    <t>windlass slipping</t>
  </si>
  <si>
    <t>missing black plastic piece of windlass</t>
  </si>
  <si>
    <t>fusion remote not picking up network</t>
  </si>
  <si>
    <t>no teflon anti-chafe for anchor chain</t>
  </si>
  <si>
    <t>Check wrong floorboard layers as previous boat</t>
  </si>
  <si>
    <t>C1008</t>
  </si>
  <si>
    <t>genset not charging boat</t>
  </si>
  <si>
    <t>bilge low level has an alarm (it should not)</t>
  </si>
  <si>
    <t>bilge indicator panel loose on acdc</t>
  </si>
  <si>
    <t>david breaker not fitted</t>
  </si>
  <si>
    <t>AC meter incorrectly programmed</t>
  </si>
  <si>
    <t>DC meter indicator arrow cross wired</t>
  </si>
  <si>
    <t xml:space="preserve">missing back cover on ACDC panel </t>
  </si>
  <si>
    <t>Filter Tap Loose</t>
  </si>
  <si>
    <t>HOB not igniting</t>
  </si>
  <si>
    <t>downlights fitted skew</t>
  </si>
  <si>
    <t>lynxx 2 covers not fitted</t>
  </si>
  <si>
    <t>lynxx 2 inspection has no finger hole</t>
  </si>
  <si>
    <t>cabin light wires not pulled through</t>
  </si>
  <si>
    <t>incomplete loose wires above steering pulley</t>
  </si>
  <si>
    <t>toilet salt/fresh switch not labeled</t>
  </si>
  <si>
    <t>toilet salt/fresh water cross plumbed</t>
  </si>
  <si>
    <t>toilet base loose</t>
  </si>
  <si>
    <t>waste tank outlet pipe badly fitted and kinked</t>
  </si>
  <si>
    <t>shower mixer loose</t>
  </si>
  <si>
    <t>basin hot water leaking</t>
  </si>
  <si>
    <t>Shower Rose Leaking</t>
  </si>
  <si>
    <t>shower mixer backplate not properly sealed</t>
  </si>
  <si>
    <t>STBD MID CABIN &amp; HEADS</t>
  </si>
  <si>
    <t>aircon finder relay missing blue clip</t>
  </si>
  <si>
    <t>fresh water bleed has a missing end cap</t>
  </si>
  <si>
    <t>aircon pump outlet clamps loose</t>
  </si>
  <si>
    <t>aircon outlet piping badly layed</t>
  </si>
  <si>
    <t>no salt/fresh label for toilet</t>
  </si>
  <si>
    <t>toilet flush switch rubber is exposed and obstructing the switch</t>
  </si>
  <si>
    <t>toilet anti syfen leaking</t>
  </si>
  <si>
    <t>depth transducer fitted skew</t>
  </si>
  <si>
    <t>missing terminator on yachtsense</t>
  </si>
  <si>
    <t>loose pipe clamp on coolant pipe of water heater</t>
  </si>
  <si>
    <t>water heater hot water leaking</t>
  </si>
  <si>
    <t>waste tanl level sensor not working</t>
  </si>
  <si>
    <t>missing salt/fresh water label for toilet</t>
  </si>
  <si>
    <t>basin nozzel leaking inconsistant flow</t>
  </si>
  <si>
    <t xml:space="preserve">fuel leak at genset manifold </t>
  </si>
  <si>
    <t>genset and water maker ballvalves not labeled</t>
  </si>
  <si>
    <t>aircon pump elbows loose</t>
  </si>
  <si>
    <t>aircon pump outlet leaking at T-piece</t>
  </si>
  <si>
    <t>missing positive bus cover in HV locker</t>
  </si>
  <si>
    <t>aircon finder relay blue bracket broken</t>
  </si>
  <si>
    <t>shore power gland loose</t>
  </si>
  <si>
    <t>Swim Ladder Bolts Loose</t>
  </si>
  <si>
    <t>swim ladder catch chaffing</t>
  </si>
  <si>
    <t>bilge run light not working</t>
  </si>
  <si>
    <t>steaming light not working</t>
  </si>
  <si>
    <t>deck light not working</t>
  </si>
  <si>
    <t>boat number sticker not fitted</t>
  </si>
  <si>
    <t>Stern Shower Wire Pipe Kinked</t>
  </si>
  <si>
    <t>alternator temp sensor wire broken</t>
  </si>
  <si>
    <t>Fuel Prefilter Pipe Clamps Loose</t>
  </si>
  <si>
    <t>battery top cover missing</t>
  </si>
  <si>
    <t>battery label missing</t>
  </si>
  <si>
    <t>racor fuel filter not labeled</t>
  </si>
  <si>
    <t>engine fluid levels low (coolant, saildrive oil, engine oil)</t>
  </si>
  <si>
    <t>loose battery terminal</t>
  </si>
  <si>
    <t>no battery top cover</t>
  </si>
  <si>
    <t>no battery label</t>
  </si>
  <si>
    <t>wrong cyrix screws</t>
  </si>
  <si>
    <t>steering stop rope shackles loose</t>
  </si>
  <si>
    <t>rudder gnd wire heat shrink burnt</t>
  </si>
  <si>
    <t>alternator fuse cover not fitted</t>
  </si>
  <si>
    <t>underwater light nuts loose</t>
  </si>
  <si>
    <t>fuel prefilter pipes need to be adjusted (badly directed)</t>
  </si>
  <si>
    <t>deck winches metal tops have different alignments</t>
  </si>
  <si>
    <t>change yachtsense icon placement on mfd</t>
  </si>
  <si>
    <t>nav lights not working</t>
  </si>
  <si>
    <t>coolant present on and below genset</t>
  </si>
  <si>
    <t>loose ancher Lewmar control box terminals</t>
  </si>
  <si>
    <t>loose anchor motor terminals</t>
  </si>
  <si>
    <t>anchor bridle shackels not cable tied</t>
  </si>
  <si>
    <t>anchor bridle hook splitpin not properly bent open</t>
  </si>
  <si>
    <t>anchor chain twisted (not catching on stopper)</t>
  </si>
  <si>
    <t>missing teflon behind fwd cockpit door catch</t>
  </si>
  <si>
    <t>gas solenoid grommet loose</t>
  </si>
  <si>
    <t>C1007</t>
  </si>
  <si>
    <t>A. Labuschagne</t>
  </si>
  <si>
    <t>light wiring incorrect (all lights connected to cabin light breaker on acdc)</t>
  </si>
  <si>
    <t>deck winches terminals not booted</t>
  </si>
  <si>
    <t>protruding worm skrews on down lights</t>
  </si>
  <si>
    <t>hob igniter is not working</t>
  </si>
  <si>
    <t>main db breakers not labeled</t>
  </si>
  <si>
    <t>stb aft aircon negative wiring incomplete at main db</t>
  </si>
  <si>
    <t>incorrect ac wiring at main db</t>
  </si>
  <si>
    <t>lynxx 2 terminal wires loose</t>
  </si>
  <si>
    <t>lynxx 2 blue cover not fitted</t>
  </si>
  <si>
    <t>lynxx 2 inspection has no finger cutout</t>
  </si>
  <si>
    <t>incomplete loose wires at main db</t>
  </si>
  <si>
    <t>missing blade fuses at inverter relays in acdc</t>
  </si>
  <si>
    <t>loose wire on battery protect unit in acdc</t>
  </si>
  <si>
    <t>bilge light unit loose at acdc</t>
  </si>
  <si>
    <t>dc multimeter not working</t>
  </si>
  <si>
    <t>ac multimeter not working</t>
  </si>
  <si>
    <t xml:space="preserve">loose ac wiring at acdc </t>
  </si>
  <si>
    <t>feedback on acdc panel leds</t>
  </si>
  <si>
    <t>fusion antenna not fitted</t>
  </si>
  <si>
    <t>vhf antenna wire to mast not fitted</t>
  </si>
  <si>
    <t>loose ac outlet at tv bracket</t>
  </si>
  <si>
    <t>carbon monoxide sensor not working</t>
  </si>
  <si>
    <t>stb usb outlet not working</t>
  </si>
  <si>
    <t>loose wires on minibus in ceiling</t>
  </si>
  <si>
    <t>no grey raymic box for vhf mast connection</t>
  </si>
  <si>
    <t>unterminated backbone in aft ceiling</t>
  </si>
  <si>
    <t>ac cluster trips when all items are on on acdc</t>
  </si>
  <si>
    <t>steering pulley bolt not protuding</t>
  </si>
  <si>
    <t xml:space="preserve">aircon wiring incomplete </t>
  </si>
  <si>
    <t>cut wirin in inboard inspection</t>
  </si>
  <si>
    <t>aft light switch fitted upside down</t>
  </si>
  <si>
    <t>leak on water heater temp control</t>
  </si>
  <si>
    <t>incomplete wiring of reading lights</t>
  </si>
  <si>
    <t>Leak On Shower Plumbing</t>
  </si>
  <si>
    <t>Toilet Fresh Water Solenoid Not Working</t>
  </si>
  <si>
    <t>toilet salt water not working</t>
  </si>
  <si>
    <t>water leaking from toilet bowl</t>
  </si>
  <si>
    <t xml:space="preserve">missing blue sea cover in ceiling </t>
  </si>
  <si>
    <t>backbone not termineted in ceiling</t>
  </si>
  <si>
    <t>steering sprocket grommets not tight</t>
  </si>
  <si>
    <t>cabin light not working</t>
  </si>
  <si>
    <t>loose wires in inboard inspection</t>
  </si>
  <si>
    <t>loose wires in bilge</t>
  </si>
  <si>
    <t>loose wires on inboard db</t>
  </si>
  <si>
    <t>unterminated wires on db</t>
  </si>
  <si>
    <t xml:space="preserve">leak on waste tank </t>
  </si>
  <si>
    <t>ac outlet not fitted</t>
  </si>
  <si>
    <t>shower rose and mixer loose</t>
  </si>
  <si>
    <t>timer for aircon pump relay not fitted</t>
  </si>
  <si>
    <t>leak on toilet plumbing</t>
  </si>
  <si>
    <t>incomplete wiring at yachtsense</t>
  </si>
  <si>
    <t>autopilot motor cross wired</t>
  </si>
  <si>
    <t>unterminated cut wires at yachtsense</t>
  </si>
  <si>
    <t>cut in shore power cable in inboard inspection</t>
  </si>
  <si>
    <t>Aircon Loose</t>
  </si>
  <si>
    <t>toilet fresh water not working</t>
  </si>
  <si>
    <t>port water pressure pump not working</t>
  </si>
  <si>
    <t>missing dimmer unit in db</t>
  </si>
  <si>
    <t>dimmer unit wiring incomplete at db</t>
  </si>
  <si>
    <t>feedback on rope lights of cabin</t>
  </si>
  <si>
    <t>incorrect fuse used for water lift pump</t>
  </si>
  <si>
    <t>incorrect jump used on finder relay</t>
  </si>
  <si>
    <t>no grey rail stoppers at finder relay</t>
  </si>
  <si>
    <t>loose wires at db</t>
  </si>
  <si>
    <t>Leak On Toilet Plumbing</t>
  </si>
  <si>
    <t>Leak From Shower Into Bilge</t>
  </si>
  <si>
    <t>hvl extractor fans not fitted</t>
  </si>
  <si>
    <t>leak on waste tank</t>
  </si>
  <si>
    <t>morse control nuts loose inside throttle unit</t>
  </si>
  <si>
    <t>seal morse control throttle unit</t>
  </si>
  <si>
    <t>stb fuel tank not showing on mfd</t>
  </si>
  <si>
    <t>prt water tank not showing on mfd</t>
  </si>
  <si>
    <t>port engine bat not showing on mfd</t>
  </si>
  <si>
    <t>genset bat not showing on mfd</t>
  </si>
  <si>
    <t>steering not locking</t>
  </si>
  <si>
    <t>steering stiff</t>
  </si>
  <si>
    <t>raymic connection fitted skew</t>
  </si>
  <si>
    <t>fuel transfer not working</t>
  </si>
  <si>
    <t>fusion remote at helm not working</t>
  </si>
  <si>
    <t>stern light not working</t>
  </si>
  <si>
    <t>david contactor mounting skrew loose</t>
  </si>
  <si>
    <t>incorrect wire types at david bus</t>
  </si>
  <si>
    <t>david switch label spelled wrong</t>
  </si>
  <si>
    <t>wiring unstrapped prt fwd ceiling</t>
  </si>
  <si>
    <t>protruding worm skrew on down lights</t>
  </si>
  <si>
    <t>wiring at ceiling bus wrong type of wires</t>
  </si>
  <si>
    <t>ar200 not fitted</t>
  </si>
  <si>
    <t>DECK/ELEC</t>
  </si>
  <si>
    <t>blower not working</t>
  </si>
  <si>
    <t>underwater light gnd wire loose</t>
  </si>
  <si>
    <t>steering cable chaffing</t>
  </si>
  <si>
    <t>cyrix not working</t>
  </si>
  <si>
    <t>leak on stern shower</t>
  </si>
  <si>
    <t>shore power earth leakage not labeled</t>
  </si>
  <si>
    <t>too many gnd wires on engine</t>
  </si>
  <si>
    <t>sterling settings incorrect</t>
  </si>
  <si>
    <t>sterling setting incorrect</t>
  </si>
  <si>
    <t xml:space="preserve">starter bracket loose </t>
  </si>
  <si>
    <t>inboard draining pipe loose</t>
  </si>
  <si>
    <t>badly routed grounding wires</t>
  </si>
  <si>
    <t>gaurd rail knoking on shrouds (designer issue)</t>
  </si>
  <si>
    <t>fusion remote in fwd cockpit not working</t>
  </si>
  <si>
    <t>no boots on windlass control box terminals</t>
  </si>
  <si>
    <t>no boots on windlass motor</t>
  </si>
  <si>
    <t>genset blower bolts badly fitted</t>
  </si>
  <si>
    <t>genset oil drain valve leaking</t>
  </si>
  <si>
    <t>leak on jabsco pump on genset</t>
  </si>
  <si>
    <t>rust on genset</t>
  </si>
  <si>
    <t>debree under genset</t>
  </si>
  <si>
    <t>CLEAN</t>
  </si>
  <si>
    <t>genset earth leakage breaker cross wired</t>
  </si>
  <si>
    <t>missing teflon spacer under camera</t>
  </si>
  <si>
    <t>missing teflon spacer at fwd cockpit door latch</t>
  </si>
  <si>
    <t>fwd cockpit lights not working</t>
  </si>
  <si>
    <t>C1006</t>
  </si>
  <si>
    <t>AR200 top plastic cover broken</t>
  </si>
  <si>
    <t>TV mounting bracket loose</t>
  </si>
  <si>
    <t>feedback on fan breaker at ACDC</t>
  </si>
  <si>
    <t>feedback on saloon breaker</t>
  </si>
  <si>
    <t>saloon lights on when breaker is off</t>
  </si>
  <si>
    <t>loose AC wiring behind ACDC</t>
  </si>
  <si>
    <t>inverter alarm not working</t>
  </si>
  <si>
    <t>loose wires at battery protect unit</t>
  </si>
  <si>
    <t>poor crimps at battery protect unit</t>
  </si>
  <si>
    <t>saloon and aft cockpit light switches cross wired</t>
  </si>
  <si>
    <t>loose gnd bus connections on ac wiring of acdc</t>
  </si>
  <si>
    <t>no power to inverter cluster at acdc</t>
  </si>
  <si>
    <t>wires not terminated on acdc</t>
  </si>
  <si>
    <t>loose screws laying in acdc connectors</t>
  </si>
  <si>
    <t>missing covers on gnd busses in main DB in saloon</t>
  </si>
  <si>
    <t>main DB breakers not labeled</t>
  </si>
  <si>
    <t>unterminated spare wires in main saloon DB</t>
  </si>
  <si>
    <t>Sterlings wired incorrectly ( charging house battery and not Engine )</t>
  </si>
  <si>
    <t>ac meter wired incorrectly (switching on with panel lights Breaker)</t>
  </si>
  <si>
    <t>no rail stopper on main DB in saloon</t>
  </si>
  <si>
    <t>inverter not programmed</t>
  </si>
  <si>
    <t>port engine battery not showing on yacht sense</t>
  </si>
  <si>
    <t>feedback on dc breakers on ac dc</t>
  </si>
  <si>
    <t>2nd and 3rd ac clusters not working on acdc</t>
  </si>
  <si>
    <t>genset water assist switching on at preheat</t>
  </si>
  <si>
    <t>first ac cluster on acdc switches off when all aircons are switched on</t>
  </si>
  <si>
    <t>loose screw on 2nd lynxx blue cover</t>
  </si>
  <si>
    <t xml:space="preserve">missing bridges on main saloon DB </t>
  </si>
  <si>
    <t>damaged red bridges in main DB in saloon</t>
  </si>
  <si>
    <t>damaged manual bilge relay in main DB</t>
  </si>
  <si>
    <t>saloon tap red/blue hot cold indicator installed skew</t>
  </si>
  <si>
    <t>unterminated wire at main db in saloon</t>
  </si>
  <si>
    <t>saloon tap weight installed wrong</t>
  </si>
  <si>
    <t>galley fridge compressor mounted loosely</t>
  </si>
  <si>
    <t>loose wire at saloon main DB</t>
  </si>
  <si>
    <t>missing clamp on saloon main fridge drain pipe</t>
  </si>
  <si>
    <t>vhf ant wire not pulled through</t>
  </si>
  <si>
    <t>fwd cockpit strip lights working inconsistently</t>
  </si>
  <si>
    <t>fwd cockpit strip light not working</t>
  </si>
  <si>
    <t>house bat isolator wires loose</t>
  </si>
  <si>
    <t>cabin fan operating when breaker is off</t>
  </si>
  <si>
    <t>steering pulley damaged</t>
  </si>
  <si>
    <t>cabin towel hanger loose</t>
  </si>
  <si>
    <t>not enough thread protruding on steering pulley</t>
  </si>
  <si>
    <t>heads door chaffing</t>
  </si>
  <si>
    <t>heads bin locker loose</t>
  </si>
  <si>
    <t>poor crimps on wiring on stb aft inboard inspection</t>
  </si>
  <si>
    <t>stb aft shower leak into bilge</t>
  </si>
  <si>
    <t>stb aft toilet salt/fresh crossed</t>
  </si>
  <si>
    <t>engine isolator wires loose</t>
  </si>
  <si>
    <t>cut loom in stb mid cabin inboard inspection</t>
  </si>
  <si>
    <t>ts4-17 &amp; ts4-18 connections on stb mid inboard db has cut wires</t>
  </si>
  <si>
    <t>stb mid heads extractor fan ducting not fitted</t>
  </si>
  <si>
    <t>stb mid cabin carbon monoxide sensor loose</t>
  </si>
  <si>
    <t>stb mid toilet loose</t>
  </si>
  <si>
    <t>stb mid toilet seat loose</t>
  </si>
  <si>
    <t>stb mid basin mixer hot water leaking</t>
  </si>
  <si>
    <t>stb mid db has no stoppers on rails</t>
  </si>
  <si>
    <t>stb mid shower rose leaking</t>
  </si>
  <si>
    <t>stb water tank brace loose</t>
  </si>
  <si>
    <t>stb mid waste tank indicator not wired</t>
  </si>
  <si>
    <t>stb fwd cabin towel hanger loose</t>
  </si>
  <si>
    <t>stb fwd heads basin mixer loose</t>
  </si>
  <si>
    <t>stb fwd gas sniffer screw loose</t>
  </si>
  <si>
    <t>ac outlet wiring not strapped at bunk head panel stb fwd</t>
  </si>
  <si>
    <t>aircon pump not working stb fwd</t>
  </si>
  <si>
    <t>stb fwd aircon giving fault</t>
  </si>
  <si>
    <t>incorrect wiring for aircon unit at connector box</t>
  </si>
  <si>
    <t>missing timer relay in stb fwd aircon box</t>
  </si>
  <si>
    <t>leak on toilet salt water plumbing</t>
  </si>
  <si>
    <t>leak on toilet salt water pump</t>
  </si>
  <si>
    <t>leak from shower sump into bilge</t>
  </si>
  <si>
    <t>waste tank level monitor not mounted</t>
  </si>
  <si>
    <t xml:space="preserve">prt aircon wiring incomplete </t>
  </si>
  <si>
    <t>prt aircon timer at relay not fitted</t>
  </si>
  <si>
    <t>leak on aircon blead valve prt side</t>
  </si>
  <si>
    <t>prt aft heads anti syphon leaking</t>
  </si>
  <si>
    <t>prt fwd heads anti syphon leaking</t>
  </si>
  <si>
    <t>leak in top of prt waste tank</t>
  </si>
  <si>
    <t>waste tank monitoring light not working prt</t>
  </si>
  <si>
    <t>leak on water heater hot water outlet in prt aft cabin</t>
  </si>
  <si>
    <t>kink in prt fuel tank sensor wire</t>
  </si>
  <si>
    <t>prt engine isolator terminals loose</t>
  </si>
  <si>
    <t>prt aft inboard reading light loose</t>
  </si>
  <si>
    <t>leak on prt aircon pump</t>
  </si>
  <si>
    <t>prt aft heads basin loose</t>
  </si>
  <si>
    <t>prt aft basin cross plumbed</t>
  </si>
  <si>
    <t>leak on prt aft shower mixer</t>
  </si>
  <si>
    <t>prt aft shower mixer mounted loosely</t>
  </si>
  <si>
    <t>prt aft toilet salt/fresh cross wired</t>
  </si>
  <si>
    <t>saloon aircon not draining</t>
  </si>
  <si>
    <t xml:space="preserve">fuel leak on genset manifold </t>
  </si>
  <si>
    <t>prt fwd inboard db spare wires not terminated</t>
  </si>
  <si>
    <t>genset ac wiring incomplete prt fwd inboard db</t>
  </si>
  <si>
    <t>prt fwd heads basin mixer loose</t>
  </si>
  <si>
    <t>prt fwd heads basinmixer loose</t>
  </si>
  <si>
    <t xml:space="preserve">bus bar connected incorrectly  </t>
  </si>
  <si>
    <t>bridge wrong way on prt fwd inboard db</t>
  </si>
  <si>
    <t>prt fwd toilet salt fresh cross wired</t>
  </si>
  <si>
    <t>incorrect wire used on genset fuel lift relay</t>
  </si>
  <si>
    <t>water maker getting constant power</t>
  </si>
  <si>
    <t xml:space="preserve">helm seat backing loose </t>
  </si>
  <si>
    <t>fusion remote at helm not connected</t>
  </si>
  <si>
    <t>raymic fitting skew</t>
  </si>
  <si>
    <t>david skew</t>
  </si>
  <si>
    <t>wrong david switch</t>
  </si>
  <si>
    <t>swim ladder bolts loose</t>
  </si>
  <si>
    <t>stern shower tap mounted skew</t>
  </si>
  <si>
    <t>fuel lines badly layed prt engine</t>
  </si>
  <si>
    <t>alternator wiring not strapped</t>
  </si>
  <si>
    <t>loose wires on galvanic isolator</t>
  </si>
  <si>
    <t xml:space="preserve">cyrix not getting power </t>
  </si>
  <si>
    <t>no cover for engine battery</t>
  </si>
  <si>
    <t>no strap for engine battery</t>
  </si>
  <si>
    <t>too many gnd wires on engine connection</t>
  </si>
  <si>
    <t>single clamp on engine impeller connector</t>
  </si>
  <si>
    <t xml:space="preserve">engine harness wires not strapped </t>
  </si>
  <si>
    <t>loose single wire of engine harness</t>
  </si>
  <si>
    <t>unused bung in port engine room</t>
  </si>
  <si>
    <t>loose nut on ref throttle</t>
  </si>
  <si>
    <t>no cover on engine fuse stb</t>
  </si>
  <si>
    <t>poor heat shrink on sterling wiring</t>
  </si>
  <si>
    <t>no battery cover</t>
  </si>
  <si>
    <t>no battery strap</t>
  </si>
  <si>
    <t>cyrix mounting skrew loose</t>
  </si>
  <si>
    <t>underwater light light nuts loose</t>
  </si>
  <si>
    <t>guard rails loose</t>
  </si>
  <si>
    <t>side deck teak step metal supports loosely mounted</t>
  </si>
  <si>
    <t>Electrical Anthena not fitted SF</t>
  </si>
  <si>
    <t>C1005</t>
  </si>
  <si>
    <t>Inverter not switching off at display</t>
  </si>
  <si>
    <t>inverter switch not working</t>
  </si>
  <si>
    <t>inverter not programmed on ACDC</t>
  </si>
  <si>
    <t>inverter alarm relays not fitted</t>
  </si>
  <si>
    <t>watermaker not wired</t>
  </si>
  <si>
    <t>touchlight in high voltage locker not working</t>
  </si>
  <si>
    <t>loose wires behind ACDC</t>
  </si>
  <si>
    <t>bilge override lights not working</t>
  </si>
  <si>
    <t>prt high water not working</t>
  </si>
  <si>
    <t>aircon pump not wired</t>
  </si>
  <si>
    <t>GND wires behind ACDC are cut</t>
  </si>
  <si>
    <t>Low water pressure at basin</t>
  </si>
  <si>
    <t>induction HOB incorrectly labeled and label is damaged on ACDC</t>
  </si>
  <si>
    <t>no power to genset starter panel on ACDC</t>
  </si>
  <si>
    <t>HOB knobs not fitted</t>
  </si>
  <si>
    <t>missing terminator on backbone at MFD</t>
  </si>
  <si>
    <t>missing cover on blue sea negative bus</t>
  </si>
  <si>
    <t>loose wires on floor DB</t>
  </si>
  <si>
    <t>loose live wires on main DB</t>
  </si>
  <si>
    <t>loose wires on negative bus in DB</t>
  </si>
  <si>
    <t>poor crimps on wires in main DB</t>
  </si>
  <si>
    <t>damaged bridge on main DB</t>
  </si>
  <si>
    <t>loose battery distributer unit</t>
  </si>
  <si>
    <t>different battery terminals used</t>
  </si>
  <si>
    <t>filter tap fitted wrong (too tight)</t>
  </si>
  <si>
    <t>galley fridge not working</t>
  </si>
  <si>
    <t>Saloon &amp; Aft cockpit lights crossed</t>
  </si>
  <si>
    <t>Saloon, aft cockpit &amp; flybridge curtacy lights crossed</t>
  </si>
  <si>
    <t>Main LPG control incorrectly wired</t>
  </si>
  <si>
    <t>feedback on autopilot breaker on ACDC</t>
  </si>
  <si>
    <t>bilge pumps not working all over</t>
  </si>
  <si>
    <t>incorrectly wired bilge alarms</t>
  </si>
  <si>
    <t>HOB fitted skew</t>
  </si>
  <si>
    <t>toilet salt/fresh water crossed</t>
  </si>
  <si>
    <t>toilet fresh water solenoid not working</t>
  </si>
  <si>
    <t>toilet hardup against wall</t>
  </si>
  <si>
    <t>poor heat shrink on stb engine isolator switch</t>
  </si>
  <si>
    <t xml:space="preserve">loose manual fire suppression wire </t>
  </si>
  <si>
    <t>leak on stb water pressure pump plumbing</t>
  </si>
  <si>
    <t>fridge compressor not mounted</t>
  </si>
  <si>
    <t>FA/PLUM</t>
  </si>
  <si>
    <t>stb high water float alarm not working</t>
  </si>
  <si>
    <t>fuel tank brace loose</t>
  </si>
  <si>
    <t>water tank brace loose</t>
  </si>
  <si>
    <t>heads extractor fan not fitted</t>
  </si>
  <si>
    <t>FA/ELEC</t>
  </si>
  <si>
    <t>heads extractor fan ducting incomplete</t>
  </si>
  <si>
    <t>FA/DECK</t>
  </si>
  <si>
    <t>waste tank refill pipe leaking</t>
  </si>
  <si>
    <t>waste water tank full indicator wire not strapped</t>
  </si>
  <si>
    <t>toilet seat loose</t>
  </si>
  <si>
    <t>house bat isolator switch missing a mounting skrew</t>
  </si>
  <si>
    <t>poor crimp on heads strip light</t>
  </si>
  <si>
    <t>missing fuse on stb mid inboard</t>
  </si>
  <si>
    <t>stb mid basin loose</t>
  </si>
  <si>
    <t>toilet salt/fresh water switch not working</t>
  </si>
  <si>
    <t>ELEC/PLUM</t>
  </si>
  <si>
    <t>shower mixer pipe kinked</t>
  </si>
  <si>
    <t>AC outlet not wired up</t>
  </si>
  <si>
    <t>gas locker sniffer not working</t>
  </si>
  <si>
    <t>toilet loose</t>
  </si>
  <si>
    <t>leak on top of waste water tank</t>
  </si>
  <si>
    <t>toilet anti-syphen leaking</t>
  </si>
  <si>
    <t>PLUM/ELEC</t>
  </si>
  <si>
    <t>toilet fresh/salt switch crossed</t>
  </si>
  <si>
    <t>waste water tank full indicator not working</t>
  </si>
  <si>
    <t>waste tank full indicator not wired</t>
  </si>
  <si>
    <t>watermaker breaker not installed in high voltage locker</t>
  </si>
  <si>
    <t>water maker negative terminal not connected in high voltage locker</t>
  </si>
  <si>
    <t>waste tank plumbing in bilge not strapped</t>
  </si>
  <si>
    <t>PORT AFT CABIN</t>
  </si>
  <si>
    <t>loose wires on fireboy black boxes</t>
  </si>
  <si>
    <t>cabin strip light wires not terminated</t>
  </si>
  <si>
    <t>Quattro bypass switch not mounted</t>
  </si>
  <si>
    <t>yachtsense DB mounted skew</t>
  </si>
  <si>
    <t>loose wires at inboard DB</t>
  </si>
  <si>
    <t>aircon mounted loosely</t>
  </si>
  <si>
    <t>PORT AFT HEADS</t>
  </si>
  <si>
    <t>PORT FWD CABIN</t>
  </si>
  <si>
    <t>aircon drain pipe clamp loose</t>
  </si>
  <si>
    <t>genset fuel assist not switching on at preheat</t>
  </si>
  <si>
    <t>loose wire on water lift relay of genset</t>
  </si>
  <si>
    <t>missing crimp on AC wiring for genset water lift pump relay</t>
  </si>
  <si>
    <t>AC outlet fitted upside down</t>
  </si>
  <si>
    <t>missing clamp on genset water assist pump</t>
  </si>
  <si>
    <t>MECH/PLUM</t>
  </si>
  <si>
    <t>PORT FW HEADS</t>
  </si>
  <si>
    <t>toilet seat skew</t>
  </si>
  <si>
    <t>shower rose cold water kinked</t>
  </si>
  <si>
    <t>basin mixer pipes kinked</t>
  </si>
  <si>
    <t>salt/fresh water for toilet cross wired</t>
  </si>
  <si>
    <t>basin mixer loose</t>
  </si>
  <si>
    <t>yachtsense fuel and water showing incorrectly on MFD</t>
  </si>
  <si>
    <t>steering bar knocking</t>
  </si>
  <si>
    <t>autopilot reference cross wired</t>
  </si>
  <si>
    <t>fridge not working</t>
  </si>
  <si>
    <t>battery link not working</t>
  </si>
  <si>
    <t>shore water connector leaking</t>
  </si>
  <si>
    <t>loose wires on aft cockpit ceiling mini bus</t>
  </si>
  <si>
    <t>david relay wiring loose</t>
  </si>
  <si>
    <t>no boots on david relay wiring</t>
  </si>
  <si>
    <t>david motor terminals loose</t>
  </si>
  <si>
    <t>victro not setup or connected to MFD</t>
  </si>
  <si>
    <t>autopilot motor not working</t>
  </si>
  <si>
    <t>ELEC/MECH</t>
  </si>
  <si>
    <t>GND wires not sleeved</t>
  </si>
  <si>
    <t>Too many wires connected to engine ground connection</t>
  </si>
  <si>
    <t>steering cable loose</t>
  </si>
  <si>
    <t>engine blower not working</t>
  </si>
  <si>
    <t>fire suppression incorrectly wired</t>
  </si>
  <si>
    <t>touch light not working</t>
  </si>
  <si>
    <t>engine fuse terminal broken</t>
  </si>
  <si>
    <t>engine fuse not covered</t>
  </si>
  <si>
    <t>leak on muffler pipe connector</t>
  </si>
  <si>
    <t xml:space="preserve"> morse control splitpins not properly bent open</t>
  </si>
  <si>
    <t>steering cale loose</t>
  </si>
  <si>
    <t>cyrix relay not working</t>
  </si>
  <si>
    <t>cyrix wires loose</t>
  </si>
  <si>
    <t>starter L-bracket loose</t>
  </si>
  <si>
    <t>engine fuse terminal loose</t>
  </si>
  <si>
    <t>poor crimp on GND wire on rudder</t>
  </si>
  <si>
    <t xml:space="preserve"> engine raw water filter clamp loose</t>
  </si>
  <si>
    <t>fuel clamps loose on prefilter</t>
  </si>
  <si>
    <t>small hatch next to genset slams closed and does not latch</t>
  </si>
  <si>
    <t>fwd cockpit strip light inconsistant switching</t>
  </si>
  <si>
    <t>fwd cockpit strip light loose in enclosure producing inconsistant lighting</t>
  </si>
  <si>
    <t>genset red start switch on genset cover panel not wired up</t>
  </si>
  <si>
    <t>genset fuel pump wiring not properly insolated</t>
  </si>
  <si>
    <t>MECH/DECK</t>
  </si>
  <si>
    <t>fwd cockpit remote not wired up</t>
  </si>
  <si>
    <t>aft cockpit remote not wired up</t>
  </si>
  <si>
    <t>Camara Not Wired up</t>
  </si>
  <si>
    <t>no torque marks on A-frames</t>
  </si>
  <si>
    <t>Extractor Fans Not working in HVL</t>
  </si>
  <si>
    <t>VHF Anthenna Wire not pulled through</t>
  </si>
  <si>
    <t>Mid Ship Heads Port side Waste tank light not working</t>
  </si>
  <si>
    <t>Elec</t>
  </si>
  <si>
    <t>Neatrals not connected on AC board</t>
  </si>
  <si>
    <t>C1004</t>
  </si>
  <si>
    <t>1</t>
  </si>
  <si>
    <t>Genset Isolator switch loose</t>
  </si>
  <si>
    <t>2</t>
  </si>
  <si>
    <t>Dc M2 display not working</t>
  </si>
  <si>
    <t>3</t>
  </si>
  <si>
    <t>AC M2 display not working</t>
  </si>
  <si>
    <t>4</t>
  </si>
  <si>
    <t xml:space="preserve">Genset starter harness not wired </t>
  </si>
  <si>
    <t>5</t>
  </si>
  <si>
    <t>Genset starter harness plug broken</t>
  </si>
  <si>
    <t>6</t>
  </si>
  <si>
    <t>Fresh water pump signals not showing/working</t>
  </si>
  <si>
    <t>7</t>
  </si>
  <si>
    <t>Incorrect wiring on fresh water pumps at DB board</t>
  </si>
  <si>
    <t>8</t>
  </si>
  <si>
    <t>High level alarm present while present over-ride button</t>
  </si>
  <si>
    <t>9</t>
  </si>
  <si>
    <t>Loose DC wires on panel board</t>
  </si>
  <si>
    <t>10</t>
  </si>
  <si>
    <t>Loose AC wires on panel board</t>
  </si>
  <si>
    <t>11</t>
  </si>
  <si>
    <t>No Relays fitted for inverter alarm</t>
  </si>
  <si>
    <t>12</t>
  </si>
  <si>
    <t>Inverter alarm not working</t>
  </si>
  <si>
    <t>13</t>
  </si>
  <si>
    <t>Loose wires on battery protect unit</t>
  </si>
  <si>
    <t>14</t>
  </si>
  <si>
    <t>Numerous QC green stickers present</t>
  </si>
  <si>
    <t>15</t>
  </si>
  <si>
    <t>Loose switches at TV-Bracket</t>
  </si>
  <si>
    <t>16</t>
  </si>
  <si>
    <t>Missing cover/Loose negative shunt</t>
  </si>
  <si>
    <t>17</t>
  </si>
  <si>
    <t>Loose cover on battery distributor</t>
  </si>
  <si>
    <t>18</t>
  </si>
  <si>
    <t>Missing cover on lewmar breaker</t>
  </si>
  <si>
    <t>19</t>
  </si>
  <si>
    <t>Oven Loose</t>
  </si>
  <si>
    <t>20</t>
  </si>
  <si>
    <t>LPG not wired</t>
  </si>
  <si>
    <t>21</t>
  </si>
  <si>
    <t>No power to Galley fridge</t>
  </si>
  <si>
    <t>22</t>
  </si>
  <si>
    <t>Loose filter tap/damaged</t>
  </si>
  <si>
    <t>23</t>
  </si>
  <si>
    <t>Galley fridge compressor loose</t>
  </si>
  <si>
    <t>CARP/PLUM</t>
  </si>
  <si>
    <t>24</t>
  </si>
  <si>
    <t>Missing covers on buss at TV-Bracket locker</t>
  </si>
  <si>
    <t>25</t>
  </si>
  <si>
    <t>Monoxide detector not working</t>
  </si>
  <si>
    <t>26</t>
  </si>
  <si>
    <t>Loose Backbone in ceiling</t>
  </si>
  <si>
    <t>27</t>
  </si>
  <si>
    <t>Missing terminators on backbone in ceiling</t>
  </si>
  <si>
    <t>28</t>
  </si>
  <si>
    <t>Bilge pump incorrectly wired</t>
  </si>
  <si>
    <t>29</t>
  </si>
  <si>
    <t>Wires nor pulled through for lights</t>
  </si>
  <si>
    <t>30</t>
  </si>
  <si>
    <t>Loose wires on Mini buss in ceiling</t>
  </si>
  <si>
    <t>31</t>
  </si>
  <si>
    <t>Missing boots on lewmar winches</t>
  </si>
  <si>
    <t>STBD AFT Cabin &amp; Heads</t>
  </si>
  <si>
    <t>32</t>
  </si>
  <si>
    <t>Loose fridge compressor</t>
  </si>
  <si>
    <t>33</t>
  </si>
  <si>
    <t>Fire suppression cable loose</t>
  </si>
  <si>
    <t>34</t>
  </si>
  <si>
    <t>Leak on water heater</t>
  </si>
  <si>
    <t>35</t>
  </si>
  <si>
    <t>lights not working</t>
  </si>
  <si>
    <t>36</t>
  </si>
  <si>
    <t>No wires puled through for lights</t>
  </si>
  <si>
    <t>37</t>
  </si>
  <si>
    <t>Heads lights switch/wiring wrong</t>
  </si>
  <si>
    <t>38</t>
  </si>
  <si>
    <t>Inboard reading light not working</t>
  </si>
  <si>
    <t>39</t>
  </si>
  <si>
    <t>Outboard reading light not working</t>
  </si>
  <si>
    <t>40</t>
  </si>
  <si>
    <t>Leak from shower into bilge</t>
  </si>
  <si>
    <t>41</t>
  </si>
  <si>
    <t>Toilet water supply not working, Salt and Fresh</t>
  </si>
  <si>
    <t>42</t>
  </si>
  <si>
    <t>Leak on toilet plumbing</t>
  </si>
  <si>
    <t>43</t>
  </si>
  <si>
    <t>Basin mixer loose</t>
  </si>
  <si>
    <t>STBD MID-SHIPS</t>
  </si>
  <si>
    <t>Poor airflow from air vent</t>
  </si>
  <si>
    <t>poor crimps on outlets</t>
  </si>
  <si>
    <t>Lights not working</t>
  </si>
  <si>
    <t>No wires pulled through for lights</t>
  </si>
  <si>
    <t>Leak from waste tank</t>
  </si>
  <si>
    <t>Toilet water supply not working, Fresh and Salt</t>
  </si>
  <si>
    <t>Anti-syphon loops leaking</t>
  </si>
  <si>
    <t>Heads lights not working</t>
  </si>
  <si>
    <t>Waste tank indicator not working</t>
  </si>
  <si>
    <t>Incomplete wiring on inboard buss</t>
  </si>
  <si>
    <t>Poor crimps on inboard Buss</t>
  </si>
  <si>
    <t>STBD FWD. CABIN &amp; HEADS</t>
  </si>
  <si>
    <t>Aircon nor wired up</t>
  </si>
  <si>
    <t>Missing Relay for Aircon</t>
  </si>
  <si>
    <t>59</t>
  </si>
  <si>
    <t>wires not pulled through for lights</t>
  </si>
  <si>
    <t>60</t>
  </si>
  <si>
    <t>Heads Lights not working</t>
  </si>
  <si>
    <t>61</t>
  </si>
  <si>
    <t>Waste tank monitor not working</t>
  </si>
  <si>
    <t>62</t>
  </si>
  <si>
    <t>Toilet water supply not working, Salt and fresh</t>
  </si>
  <si>
    <t>64</t>
  </si>
  <si>
    <t>65</t>
  </si>
  <si>
    <t>Leak on Shower plumbing</t>
  </si>
  <si>
    <t>PRT FWD. CABIN</t>
  </si>
  <si>
    <t>Ducting poorly fitted</t>
  </si>
  <si>
    <t>Genset battery wiring incomplete</t>
  </si>
  <si>
    <t>Broken distribution board covers</t>
  </si>
  <si>
    <t>Missing RELAY for genset wiring</t>
  </si>
  <si>
    <t>Genset raw water pump not working</t>
  </si>
  <si>
    <t>Aircon wiring incomplete</t>
  </si>
  <si>
    <t>73</t>
  </si>
  <si>
    <t>No wiring pulled through for lights</t>
  </si>
  <si>
    <t>Aft light stays on continuously</t>
  </si>
  <si>
    <t>Touch light not working</t>
  </si>
  <si>
    <t>Poor crimps on plug wiring</t>
  </si>
  <si>
    <t>PRT FWD. HEADS</t>
  </si>
  <si>
    <t>Shower sump not working</t>
  </si>
  <si>
    <t>Toilet waste supply not working</t>
  </si>
  <si>
    <t xml:space="preserve">PLUM </t>
  </si>
  <si>
    <t>PRT PASSAGE AND STAIRS</t>
  </si>
  <si>
    <t>Incomplete wiring on breaker box</t>
  </si>
  <si>
    <t>Broken Ball valve</t>
  </si>
  <si>
    <t>PLUM/CE</t>
  </si>
  <si>
    <t>Missing covers in HVL</t>
  </si>
  <si>
    <t>Leak From shower pumps</t>
  </si>
  <si>
    <t>PLUM/CARP</t>
  </si>
  <si>
    <t>Leak on water pressure pump plumbing</t>
  </si>
  <si>
    <t>PRT AFT HEADS</t>
  </si>
  <si>
    <t>Toilet pumps not working</t>
  </si>
  <si>
    <t>PRT AFT CABIN</t>
  </si>
  <si>
    <t>92</t>
  </si>
  <si>
    <t xml:space="preserve">ELEC </t>
  </si>
  <si>
    <t>Wires not pulled through for lights</t>
  </si>
  <si>
    <t>hact-cense wiring incomplete</t>
  </si>
  <si>
    <t>Engine Battery switch incomplete/LOOSE</t>
  </si>
  <si>
    <t>ELEC/CARP</t>
  </si>
  <si>
    <t>No wire for water tank transducer</t>
  </si>
  <si>
    <t>Loose wires on fire buoy busses</t>
  </si>
  <si>
    <t>Engine throttles not aligned</t>
  </si>
  <si>
    <t>Steering stiff</t>
  </si>
  <si>
    <t>Steering chain slipping</t>
  </si>
  <si>
    <t>Davit skew</t>
  </si>
  <si>
    <t>Auto-pilot/rudder ref wired incorrectly</t>
  </si>
  <si>
    <t>Strip lights not working</t>
  </si>
  <si>
    <t>Down lights not working</t>
  </si>
  <si>
    <t>107</t>
  </si>
  <si>
    <t>Aft cockpit fridge not working</t>
  </si>
  <si>
    <t>Raymic fittings not fitted</t>
  </si>
  <si>
    <t>Horn switch &amp; bilge light not working</t>
  </si>
  <si>
    <t>Fuel transfer pump not working</t>
  </si>
  <si>
    <t>PRT ENGINE ROOM</t>
  </si>
  <si>
    <t>Engine fuse wires loose</t>
  </si>
  <si>
    <t xml:space="preserve">Poor crimps on galvanic isolator </t>
  </si>
  <si>
    <t>No heat shrink on galvanic isolator wires</t>
  </si>
  <si>
    <t>114</t>
  </si>
  <si>
    <t>Leak on stern shower</t>
  </si>
  <si>
    <t>Loose plumbing on inboard drain pipe</t>
  </si>
  <si>
    <t>Loose wires on sterling</t>
  </si>
  <si>
    <t>Under water light not working</t>
  </si>
  <si>
    <t>118</t>
  </si>
  <si>
    <t>Loose wires on starter bracket</t>
  </si>
  <si>
    <t>loose wires on engine starter battery fuse</t>
  </si>
  <si>
    <t>fuel filter loose</t>
  </si>
  <si>
    <t>Incorrect settings on sterling</t>
  </si>
  <si>
    <t>FWD. COCKPIT, SIDE DECKS AND COACH ROOF</t>
  </si>
  <si>
    <t>Genset not working</t>
  </si>
  <si>
    <t>124</t>
  </si>
  <si>
    <t>Fusion radio not working</t>
  </si>
  <si>
    <t>125</t>
  </si>
  <si>
    <t>incomplete wiring in genset locker</t>
  </si>
  <si>
    <t>126</t>
  </si>
  <si>
    <t>flybridge fusion remote not working</t>
  </si>
  <si>
    <t>127</t>
  </si>
  <si>
    <t>Leak on genset raw water plumbing</t>
  </si>
  <si>
    <t>Extra:</t>
  </si>
  <si>
    <t>128</t>
  </si>
  <si>
    <t>Prt aft cabin aircon in ceiling loose</t>
  </si>
  <si>
    <t>Prt aft cabin aft aircon loose</t>
  </si>
  <si>
    <t>130</t>
  </si>
  <si>
    <t>Battery link not working</t>
  </si>
  <si>
    <t>C1003</t>
  </si>
  <si>
    <t>Down light switch cross wired</t>
  </si>
  <si>
    <t>No labels of fridges on AC/DC panel</t>
  </si>
  <si>
    <t>Down light grommet worm screws not flush</t>
  </si>
  <si>
    <t>Yachtsense to be programmed</t>
  </si>
  <si>
    <t>Missing stainless steel catch at AC/DC</t>
  </si>
  <si>
    <t>Generator not giving power</t>
  </si>
  <si>
    <t>Water pressure pump light not showing on AC/DC</t>
  </si>
  <si>
    <t>Water pressure hot wired</t>
  </si>
  <si>
    <t>DB not mounted</t>
  </si>
  <si>
    <t>Poor crimp on blue sea bus at DB compromised</t>
  </si>
  <si>
    <t>Black wire to be terminated in DB</t>
  </si>
  <si>
    <t>Poor heat shrink on AC wire in DB</t>
  </si>
  <si>
    <t>Damaged bridges on DB</t>
  </si>
  <si>
    <t>MFD stays on when breaker is switched off</t>
  </si>
  <si>
    <t>Inverter buzzer not working when house battery is switched off</t>
  </si>
  <si>
    <t>Relays not fitted</t>
  </si>
  <si>
    <t>Manual bilge pump overrides cross wired</t>
  </si>
  <si>
    <t>Buzzers working with low water running</t>
  </si>
  <si>
    <t xml:space="preserve">Stb watre tank not showing </t>
  </si>
  <si>
    <t>House battery not showing volts</t>
  </si>
  <si>
    <t>gensetbattery not showing</t>
  </si>
  <si>
    <t>No network cable by MFD</t>
  </si>
  <si>
    <t>Fan not connected</t>
  </si>
  <si>
    <t>fridge compressor not secured</t>
  </si>
  <si>
    <t>inboard reading light loose</t>
  </si>
  <si>
    <t>manual suppression wire gromet loose</t>
  </si>
  <si>
    <t>water heater not properly mounted</t>
  </si>
  <si>
    <t>Fuel tank sensor wire loose</t>
  </si>
  <si>
    <t>fuel pipes metal support loose</t>
  </si>
  <si>
    <t>manual suppression wire nut loose</t>
  </si>
  <si>
    <t>aft aircon loose</t>
  </si>
  <si>
    <t>high level float not muting music</t>
  </si>
  <si>
    <t>fridge drain not fitted properly</t>
  </si>
  <si>
    <t>leak on shower plumbing</t>
  </si>
  <si>
    <t>no terminator fitted in backbone in ceiling</t>
  </si>
  <si>
    <t>Tank level sensor not connected</t>
  </si>
  <si>
    <t>waste tank monitor not connected</t>
  </si>
  <si>
    <t>leak on aft toilet anti-syphen</t>
  </si>
  <si>
    <t>poor crimp on aft toilet solenoid</t>
  </si>
  <si>
    <t>extraction fan not connected</t>
  </si>
  <si>
    <t>leak on hot water t-piece in bilge</t>
  </si>
  <si>
    <t>leak on shower mixer</t>
  </si>
  <si>
    <t>aircon not connected</t>
  </si>
  <si>
    <t>aircon loose</t>
  </si>
  <si>
    <t>Strip light wire visible</t>
  </si>
  <si>
    <t>Strip light loose</t>
  </si>
  <si>
    <t>Aircon loose</t>
  </si>
  <si>
    <t>Pump backboard in bilge not properly secured</t>
  </si>
  <si>
    <t>Poorly strapped wiring on genset exhaust outlet</t>
  </si>
  <si>
    <t>Raw wire on aft strip light</t>
  </si>
  <si>
    <t>Wires inboard on DB not terminated</t>
  </si>
  <si>
    <t>Book shelf loose</t>
  </si>
  <si>
    <t>Inboard reading light loose</t>
  </si>
  <si>
    <t>Cabin towel hanger loose</t>
  </si>
  <si>
    <t>Aircon does not have a drain</t>
  </si>
  <si>
    <t>Aircon vent connection loose</t>
  </si>
  <si>
    <t>Genset battery terminal loose</t>
  </si>
  <si>
    <t>GFCI outlet to be mounted properly</t>
  </si>
  <si>
    <t>Sower sump not working</t>
  </si>
  <si>
    <t>Toilet loose</t>
  </si>
  <si>
    <t>Set port water pressure</t>
  </si>
  <si>
    <t>Mount toilet switch</t>
  </si>
  <si>
    <t>Fresh water pump t-piece leaking</t>
  </si>
  <si>
    <t>Bad plumbing layout at fresh water pump</t>
  </si>
  <si>
    <t>waste tank top pipes leaking</t>
  </si>
  <si>
    <t>shower pump leaking</t>
  </si>
  <si>
    <t>extractor fan in high voltage locker not working</t>
  </si>
  <si>
    <t>Inverter loose</t>
  </si>
  <si>
    <t>positive bus bar too close to inverter</t>
  </si>
  <si>
    <t>breaker box loose</t>
  </si>
  <si>
    <t>transformer loose</t>
  </si>
  <si>
    <t>missing cover on blue sea bus</t>
  </si>
  <si>
    <t>waste water tank sensor not connected</t>
  </si>
  <si>
    <t>Water tank sensor wire badly layed</t>
  </si>
  <si>
    <t>Aircon duckting incomplete in ceiling</t>
  </si>
  <si>
    <t>Missing terminator on backbone in ceiling</t>
  </si>
  <si>
    <t>Aft aircon not draining properly</t>
  </si>
  <si>
    <t>Aft light switch fitted upside down</t>
  </si>
  <si>
    <t>Manual suppression wire grommet fitted poorly</t>
  </si>
  <si>
    <t>Isolator switch skew</t>
  </si>
  <si>
    <t>Isolator switchwiring loose</t>
  </si>
  <si>
    <t>Poorly fitted outboard reading light</t>
  </si>
  <si>
    <t>drain pipe loose in aft ceiling</t>
  </si>
  <si>
    <t>Loose wire on fireboy system top corner</t>
  </si>
  <si>
    <t>Aircon spare power cable not terminated</t>
  </si>
  <si>
    <t>busbar not labeled by yachtsense in inboard inspection</t>
  </si>
  <si>
    <t>ACU 400 giving constant power to backbone</t>
  </si>
  <si>
    <t>ACU 400 cross wired</t>
  </si>
  <si>
    <t>5 way back bone connected to constant power</t>
  </si>
  <si>
    <t>fuel return ball valve loose on tank</t>
  </si>
  <si>
    <t>Strip light not connected</t>
  </si>
  <si>
    <t>Salt/Fresh water cross wired</t>
  </si>
  <si>
    <t>David switch not mounted</t>
  </si>
  <si>
    <t>No cable ties on david shackels</t>
  </si>
  <si>
    <t>David is skew</t>
  </si>
  <si>
    <t>David sensor fitted upside down</t>
  </si>
  <si>
    <t>Autopilot screen fitted skew</t>
  </si>
  <si>
    <t>MFD backplate loose</t>
  </si>
  <si>
    <t>Raymic connector upside down</t>
  </si>
  <si>
    <t>Stb &amp; Prt handrails loose</t>
  </si>
  <si>
    <t>Stb top curtacy light not connected and badly fitted</t>
  </si>
  <si>
    <t>Port winch rope outlet not at correct angle</t>
  </si>
  <si>
    <t>Swim ladder skew and chaffing</t>
  </si>
  <si>
    <t>Swim ladder catch hitting</t>
  </si>
  <si>
    <t>Stern shower leaking on cold water pipe</t>
  </si>
  <si>
    <t>Stern shower leaking at nozzle</t>
  </si>
  <si>
    <t>Stern shower wire pipe kinked</t>
  </si>
  <si>
    <t>Stern floor board port side not flush with floor</t>
  </si>
  <si>
    <t>Gap at hinge of inspection above fridge</t>
  </si>
  <si>
    <t>Inspection above fridge, latch not fitted</t>
  </si>
  <si>
    <t>Strip lights inconsistant (Showing individual LED's)</t>
  </si>
  <si>
    <t>David motor terminals loose</t>
  </si>
  <si>
    <t>David solenoid terminals loose</t>
  </si>
  <si>
    <t>Small blue wire at david motor not terminated</t>
  </si>
  <si>
    <t xml:space="preserve">David pully stiff at rope outlet </t>
  </si>
  <si>
    <t>AR200 fitted wrong way</t>
  </si>
  <si>
    <t>Dome nuts to be fitted on david bottom bolts</t>
  </si>
  <si>
    <t>engine starter bracket loose</t>
  </si>
  <si>
    <t>too many terminals on engine stud</t>
  </si>
  <si>
    <t>grounding wire on under water light loose</t>
  </si>
  <si>
    <t>poor crimp on galvanic isolator wires</t>
  </si>
  <si>
    <t>Exhaust temp open circuit</t>
  </si>
  <si>
    <t>gas lockert drain outlet loose</t>
  </si>
  <si>
    <t xml:space="preserve">loose terminals on positive bus on battery </t>
  </si>
  <si>
    <t>engine starter positive wire loose</t>
  </si>
  <si>
    <t>topping lift block making clucking sound</t>
  </si>
  <si>
    <t>Extras</t>
  </si>
  <si>
    <t>Common Defect List</t>
  </si>
  <si>
    <t>Task Allocation</t>
  </si>
  <si>
    <t>Saloon</t>
  </si>
  <si>
    <t>Stbd Aft</t>
  </si>
  <si>
    <t>Stbd Mid</t>
  </si>
  <si>
    <t>Stbd Fwd</t>
  </si>
  <si>
    <t>Prt Aft</t>
  </si>
  <si>
    <t>Prt Passage</t>
  </si>
  <si>
    <t>Prt Fwd</t>
  </si>
  <si>
    <t>Aft Cockpit</t>
  </si>
  <si>
    <t>Prt Engine Room</t>
  </si>
  <si>
    <t>Stb Engine Room</t>
  </si>
  <si>
    <t>Area Allocation</t>
  </si>
  <si>
    <t>Yes</t>
  </si>
  <si>
    <t>Basin Cross Plumbed</t>
  </si>
  <si>
    <t>Strip Lights Not Working</t>
  </si>
  <si>
    <t>Watermaker Not Wired</t>
  </si>
  <si>
    <t>Bilge Override Lights Not Working</t>
  </si>
  <si>
    <t>Filter Tap Fitted Wrong (Too Tight)</t>
  </si>
  <si>
    <t>Galley Fridge Not Working</t>
  </si>
  <si>
    <t>2X Amplifiers Not Fitted</t>
  </si>
  <si>
    <t>Table Top Not Installed</t>
  </si>
  <si>
    <t>House Batteries Not Booted</t>
  </si>
  <si>
    <t>Mfd Not Showing Volts And Amps Of House Battery</t>
  </si>
  <si>
    <t>Autopilot Cross Wired</t>
  </si>
  <si>
    <t>Galley Fridge Compressor Loosely Mounted</t>
  </si>
  <si>
    <t>Saloon Tap Weight Mounted On Wrong Side Of Hose</t>
  </si>
  <si>
    <t>Aircon Not Working</t>
  </si>
  <si>
    <t>Aircon Not Draining</t>
  </si>
  <si>
    <t>Incomplete Wiring On Db</t>
  </si>
  <si>
    <t>Speakers Not Working</t>
  </si>
  <si>
    <t>Shower Mixer Loose</t>
  </si>
  <si>
    <t>Topup Engine Fluids</t>
  </si>
  <si>
    <t>Expansion Tank Pipe Clamps Loose</t>
  </si>
  <si>
    <t>Water Tank Brace Loose</t>
  </si>
  <si>
    <t>Toilet Roll Holder Loose</t>
  </si>
  <si>
    <t>Shower Sump Not Working</t>
  </si>
  <si>
    <t>Steering Cable Loose</t>
  </si>
  <si>
    <t>Missing Labels At Filters Outboard</t>
  </si>
  <si>
    <t>Missing Label On Battery</t>
  </si>
  <si>
    <t>Shower Mixer Leaking</t>
  </si>
  <si>
    <t>Touch Light Not Working</t>
  </si>
  <si>
    <t>Waste Tank Leaking</t>
  </si>
  <si>
    <t>Davit Skew</t>
  </si>
  <si>
    <t>Fuel Clamps Loose At Bulkhead</t>
  </si>
  <si>
    <t>High Level Float Not Working</t>
  </si>
  <si>
    <t>Low Level Float Not Working</t>
  </si>
  <si>
    <t>Engine Fuse Not Covered</t>
  </si>
  <si>
    <t>Aircon Pump Not Working</t>
  </si>
  <si>
    <t>Touchlight In High Voltage Locker Not Working</t>
  </si>
  <si>
    <t>Vhf Wire Not Pulled Through</t>
  </si>
  <si>
    <t>Cabin Fan Not Working</t>
  </si>
  <si>
    <t>Waste Tank Indicator Light Not Fitted</t>
  </si>
  <si>
    <t>Shower Leaking Into Bilge</t>
  </si>
  <si>
    <t>Shower Head Leaking</t>
  </si>
  <si>
    <t>Toilet Flush Defective</t>
  </si>
  <si>
    <t>Cabin Door Missing A Magnet Stopper</t>
  </si>
  <si>
    <t>Toilet Flush Is Cross Wired</t>
  </si>
  <si>
    <t>Aircon Pump Pipes Leaking</t>
  </si>
  <si>
    <t>Inverter Touch Light Not Working</t>
  </si>
  <si>
    <t>Aircon Connection Box Not Labeled</t>
  </si>
  <si>
    <t>Aircon Box Incorrectly Wired</t>
  </si>
  <si>
    <t>Missing Timmer Module For Aircon Relays</t>
  </si>
  <si>
    <t>Hin Number Incorrect</t>
  </si>
  <si>
    <t>Hin Number Sticker Not Fitted</t>
  </si>
  <si>
    <t>Shore Power Label Not Fitted</t>
  </si>
  <si>
    <t>R&amp;C Decal Label / Dome Tag</t>
  </si>
  <si>
    <t>Jammer Labels Not Fitted</t>
  </si>
  <si>
    <t>Raymic Fitting Upside Down</t>
  </si>
  <si>
    <t>Battery Cover Not Fitted</t>
  </si>
  <si>
    <t>Loose Wire On Starter Solenoid</t>
  </si>
  <si>
    <t>Galvanic Isolator Wires Loose</t>
  </si>
  <si>
    <t>Steering Bar Laying On Raw Fibre Glass</t>
  </si>
  <si>
    <t>Alternator Negative Wire Not Connected</t>
  </si>
  <si>
    <t>Morse Control Cables Are Badly Routed</t>
  </si>
  <si>
    <t>Shore Power Breakers Not Labeled And No Rail Stopper</t>
  </si>
  <si>
    <t>Engine Harness Not Strapped Up</t>
  </si>
  <si>
    <t>Engine Revs Do Not Align</t>
  </si>
  <si>
    <t>No Teak Steps To Coach Roof Fitted</t>
  </si>
  <si>
    <t>Pulleys And Rope Painter Needs To Be Installed</t>
  </si>
  <si>
    <t>Boom Labels Needs To Be Fitted</t>
  </si>
  <si>
    <t>Oven Gas Shutoff Label Not Fitted</t>
  </si>
  <si>
    <t>Mfd Needs To Be Updated</t>
  </si>
  <si>
    <t>Genset Breaker Not Labeled</t>
  </si>
  <si>
    <t>Gas Solenoid Not Wired</t>
  </si>
  <si>
    <t>Aircon Display Covers (Sf)</t>
  </si>
  <si>
    <t>All Fire Extinguishers To Be Installed (Sf)</t>
  </si>
  <si>
    <t/>
  </si>
  <si>
    <t>C1015</t>
  </si>
  <si>
    <t>house batteries brace loose</t>
  </si>
  <si>
    <t>extra aircon bleed label fitted</t>
  </si>
  <si>
    <t>depth transducer dummy plug not on boat (used for C1012)</t>
  </si>
  <si>
    <t>watermaker requires commissioning</t>
  </si>
  <si>
    <t>raymic wire is not mounted</t>
  </si>
  <si>
    <t>Battery Link Not Working (wire not pulled through)</t>
  </si>
  <si>
    <t>spray dodger needs to be fitted</t>
  </si>
  <si>
    <t>missing gas locker label</t>
  </si>
  <si>
    <t>ACDC covers not fitted</t>
  </si>
  <si>
    <t>unused cradle in fuel locker</t>
  </si>
  <si>
    <t>loose fire suppression cable</t>
  </si>
  <si>
    <t>helm cup holders do not drain into aircon drain</t>
  </si>
  <si>
    <t>aircon programming</t>
  </si>
  <si>
    <t>hull decals</t>
  </si>
  <si>
    <t>guard rails hitting stanctions</t>
  </si>
  <si>
    <t>mount fire extinguishers</t>
  </si>
  <si>
    <t>heads floor leaking into bilge</t>
  </si>
  <si>
    <t>toilet pipe leaking</t>
  </si>
  <si>
    <t>badly installed morse control cables in ceiling below helm</t>
  </si>
  <si>
    <t>badly strapped wiring in ceiling below helm</t>
  </si>
  <si>
    <t>extractor fan pipe not connected to deck mushroom</t>
  </si>
  <si>
    <t>extractor fan fitted skew</t>
  </si>
  <si>
    <t>toilet salt water is blocked</t>
  </si>
  <si>
    <t>unused cradels and plumbing not cradled inboard inspection</t>
  </si>
  <si>
    <t>missing blue clip for aircon finder relay</t>
  </si>
  <si>
    <t>aircon pump leaking</t>
  </si>
  <si>
    <t>toilet ballvalve broken</t>
  </si>
  <si>
    <t xml:space="preserve">shower leaking into bilge </t>
  </si>
  <si>
    <t>bad duckting of aircon</t>
  </si>
  <si>
    <t>genset battery base installed at incorrect location</t>
  </si>
  <si>
    <t>genset volts and hertz not correctly set</t>
  </si>
  <si>
    <t>windlass not working on stbd ignition</t>
  </si>
  <si>
    <t>genset coolant cap leaking</t>
  </si>
  <si>
    <t>mast wiring needs to be done</t>
  </si>
  <si>
    <t>defective 72mm block for main sheet</t>
  </si>
  <si>
    <t>fireboy harness terminator plugs not fitted (SF)</t>
  </si>
  <si>
    <t>loose morse control nut</t>
  </si>
  <si>
    <t>single clamps on coolant piping to waterheater</t>
  </si>
  <si>
    <t>no teflon strips for steering bar</t>
  </si>
  <si>
    <t>engine battery not labeled</t>
  </si>
  <si>
    <t>loose underwater light nut</t>
  </si>
  <si>
    <t>bilge pump used for C1012</t>
  </si>
  <si>
    <t>exhaust temp sensor loose</t>
  </si>
  <si>
    <t>12V helm outlet location to be determined</t>
  </si>
  <si>
    <t>saildrive oil low</t>
  </si>
  <si>
    <t>prefilter and pipes loose</t>
  </si>
  <si>
    <t>earth wire of underwater light loose</t>
  </si>
  <si>
    <t>poorly fitted clamps on raw water pipes</t>
  </si>
  <si>
    <t>missing clamp covers</t>
  </si>
  <si>
    <t>unused craddle by breath pipe</t>
  </si>
  <si>
    <t>steering has a sound</t>
  </si>
  <si>
    <t>multiple loose pipes and single clamps</t>
  </si>
  <si>
    <t>stern shower tap mounted skew, leaking and wire pipe kinked</t>
  </si>
  <si>
    <t>leak on aircon pump</t>
  </si>
  <si>
    <t>missing clamp for fridge drain pipe</t>
  </si>
  <si>
    <t>compass light not working</t>
  </si>
  <si>
    <t>electrical labeling needs to be done</t>
  </si>
  <si>
    <t>CE/PLUM</t>
  </si>
  <si>
    <t>Total</t>
  </si>
  <si>
    <t>Plum</t>
  </si>
  <si>
    <t>Mech</t>
  </si>
  <si>
    <t>Other</t>
  </si>
  <si>
    <t>Autopilot motor not connected</t>
  </si>
  <si>
    <t>C1017</t>
  </si>
  <si>
    <t>Autopilot motor cross wired</t>
  </si>
  <si>
    <t>shore power ground bus cover not fitted</t>
  </si>
  <si>
    <t>bad crimp on rudder gnd wire</t>
  </si>
  <si>
    <t>incorrect colour blanks in hager box</t>
  </si>
  <si>
    <t>steering cable in blue sleeve is at an angle</t>
  </si>
  <si>
    <t xml:space="preserve">poor heat shrink on galvanic isolator </t>
  </si>
  <si>
    <t>engine anti-syfen leaking</t>
  </si>
  <si>
    <t>coolant of engine was badly topped up</t>
  </si>
  <si>
    <t>loose cradle of rudder post ground wire</t>
  </si>
  <si>
    <t xml:space="preserve">single clamps on fuel lines </t>
  </si>
  <si>
    <t>single clamps on coolant lines</t>
  </si>
  <si>
    <t>dirt/rust under engine</t>
  </si>
  <si>
    <t>emergensy tiller not engaging</t>
  </si>
  <si>
    <t>emergency tiller not engaging</t>
  </si>
  <si>
    <t>battery positive terminal loose</t>
  </si>
  <si>
    <t>loose pipe on stern shower mixer</t>
  </si>
  <si>
    <t>stern shower mixer skew</t>
  </si>
  <si>
    <t>shower inspection leaking</t>
  </si>
  <si>
    <t>waste tank strap badly installed</t>
  </si>
  <si>
    <t>aircon t-piece leaking</t>
  </si>
  <si>
    <t>aircon blead leaking</t>
  </si>
  <si>
    <t>depth transducer dummy not fitted</t>
  </si>
  <si>
    <t>inboard inspection pipes not strapped</t>
  </si>
  <si>
    <t>float switch chemical damage</t>
  </si>
  <si>
    <t>badly installed duckting</t>
  </si>
  <si>
    <t>aircon drain pipe too long</t>
  </si>
  <si>
    <t>water heater drain pipe not cradled</t>
  </si>
  <si>
    <t>toilet plumbing leaking</t>
  </si>
  <si>
    <t>lifting platform mechanical stop needs to be adjusted</t>
  </si>
  <si>
    <t>fridge not mounted</t>
  </si>
  <si>
    <t xml:space="preserve">standing rigging is too long </t>
  </si>
  <si>
    <t>missing blower pipe</t>
  </si>
  <si>
    <t>missing boots on windlass control box and motor</t>
  </si>
  <si>
    <t>missing screws for genset cover</t>
  </si>
  <si>
    <t>genset ground leakage incorrectly installed</t>
  </si>
  <si>
    <t xml:space="preserve">2x missing downlights </t>
  </si>
  <si>
    <t>fwd cockpit stbd strip light defective</t>
  </si>
  <si>
    <t>fwd cockpit fusion defective</t>
  </si>
  <si>
    <t>water heater overflow pipe not cradled</t>
  </si>
  <si>
    <t>toilet anti-syten leaking</t>
  </si>
  <si>
    <t>outboard piping not strapped</t>
  </si>
  <si>
    <t>deckwash pump not working</t>
  </si>
  <si>
    <t>speed transducer wire not cradled</t>
  </si>
  <si>
    <t>water purifier mounted at different location</t>
  </si>
  <si>
    <t>incorrect aircon pump wiring</t>
  </si>
  <si>
    <t>missing deckwask through hull label</t>
  </si>
  <si>
    <t>cabin light wires badly installed</t>
  </si>
  <si>
    <t xml:space="preserve">basin water gathering in corner and needs to be filled up </t>
  </si>
  <si>
    <t>water heater wires not strapped</t>
  </si>
  <si>
    <t>isolator switch wires not strapped</t>
  </si>
  <si>
    <t>untidy wiring in inboard inspection</t>
  </si>
  <si>
    <t>badly layed genset exhaust pipe</t>
  </si>
  <si>
    <t xml:space="preserve">bad wire routing under yachtsense </t>
  </si>
  <si>
    <t>aircon pump wiring incorrect</t>
  </si>
  <si>
    <t>unused watermaker wires under inverter (wastage)</t>
  </si>
  <si>
    <t>HVL busbar cover not fitted</t>
  </si>
  <si>
    <t>missing breaker labels and blanks</t>
  </si>
  <si>
    <t>missing blank in solar box</t>
  </si>
  <si>
    <t>missing ground on earth bonding plate</t>
  </si>
  <si>
    <t>saloon settee armrest bolts cut off too short</t>
  </si>
  <si>
    <t>extra unused relay on DB</t>
  </si>
  <si>
    <t xml:space="preserve">missing rail stoppers for finder </t>
  </si>
  <si>
    <t>duckting badly installed</t>
  </si>
  <si>
    <t>lifting platform isolator not mounted</t>
  </si>
  <si>
    <t>2x cut AC wires because stuck in steering</t>
  </si>
  <si>
    <t>helm cup holder's not properly draining</t>
  </si>
  <si>
    <t>bad morse control cable installation</t>
  </si>
  <si>
    <t>genset transfer causing finder behind ACDC to gitter</t>
  </si>
  <si>
    <t>2x unused loose wires behind ACDC</t>
  </si>
  <si>
    <t>DC multimeter freezing</t>
  </si>
  <si>
    <t>Bad crimp on battery protect unit</t>
  </si>
  <si>
    <t>house battery cables not properly routed and strapped</t>
  </si>
  <si>
    <t>curtacy lights incorrectly wired</t>
  </si>
  <si>
    <t>stbd engine battery voltage not showing on dc meter</t>
  </si>
  <si>
    <t>no plugs fitted for aircon unit</t>
  </si>
  <si>
    <t>VHF antenna wire not pulled through from nav station</t>
  </si>
  <si>
    <t>No voltage pushing through genset earth leakage (how was AC declared working?)</t>
  </si>
  <si>
    <t>horn button not working</t>
  </si>
  <si>
    <t>Shore 2 not working (incorrect contactor wiring)</t>
  </si>
  <si>
    <t>induction HOB not working</t>
  </si>
  <si>
    <t>inverter alarm incorrectly wired</t>
  </si>
  <si>
    <t>incorrect wires (colour codes) used for light switches (multiple)</t>
  </si>
  <si>
    <t>Main saloon breakers not mounted</t>
  </si>
  <si>
    <t>ELEC/CE</t>
  </si>
  <si>
    <t>N/A</t>
  </si>
  <si>
    <t>Waste Tank Indicator Light Not working</t>
  </si>
  <si>
    <t>Inverter incorrectly programmed</t>
  </si>
  <si>
    <t>Victron app on MFD not configured</t>
  </si>
  <si>
    <t>C1013</t>
  </si>
  <si>
    <t>Autopilot motor not working</t>
  </si>
  <si>
    <t>aircon elbow broken</t>
  </si>
  <si>
    <t>poor aircon duckting</t>
  </si>
  <si>
    <t>loose pipes by aircon</t>
  </si>
  <si>
    <t>missing ball valve label</t>
  </si>
  <si>
    <t xml:space="preserve">loose toilet piping </t>
  </si>
  <si>
    <t>aircon pump pipe too long</t>
  </si>
  <si>
    <t>toilet salt/fresh labels</t>
  </si>
  <si>
    <t>aircon duckting loose</t>
  </si>
  <si>
    <t>stern shower mixer upside down</t>
  </si>
  <si>
    <t>stern shower nozzle leaking</t>
  </si>
  <si>
    <t>water heater leaking at hot water</t>
  </si>
  <si>
    <t>helm cup holder drain not correctly installed</t>
  </si>
  <si>
    <t>aircon base loose</t>
  </si>
  <si>
    <t>inboard piping not cradled</t>
  </si>
  <si>
    <t>toilet switch not wired</t>
  </si>
  <si>
    <t>water level not showing on MFD</t>
  </si>
  <si>
    <t>auto pilot motor not wired</t>
  </si>
  <si>
    <t>buzzer not connected by helm</t>
  </si>
  <si>
    <t>incomplete wiring by main DB</t>
  </si>
  <si>
    <t>missing diodes by main DB</t>
  </si>
  <si>
    <t>stbd fwd shower pump wire needs to be strapped to main db</t>
  </si>
  <si>
    <t>wires needs to be strapped in inboard inspection</t>
  </si>
  <si>
    <t>ACU ground wire not connected</t>
  </si>
  <si>
    <t>throttle rpms not aligning</t>
  </si>
  <si>
    <t>steering is clicking</t>
  </si>
  <si>
    <t>watermaker prefilter is damaged</t>
  </si>
  <si>
    <t>bilge float chaffing (getting stuck)</t>
  </si>
  <si>
    <t>badly installed engine ground wire</t>
  </si>
  <si>
    <t>shore power breakers not labeled</t>
  </si>
  <si>
    <t>blue steering conduit at an angle</t>
  </si>
  <si>
    <t>single clamps on fuel and coolant pipe</t>
  </si>
  <si>
    <t>no fireboy terminator plug</t>
  </si>
  <si>
    <t>dome tag not fitted</t>
  </si>
  <si>
    <t>usb fitted at incorrect location</t>
  </si>
  <si>
    <t>davit switch badly mounted</t>
  </si>
  <si>
    <t>boom warning labels to be fitted</t>
  </si>
  <si>
    <t>damage on boom</t>
  </si>
  <si>
    <t>fusion remote and speaker not working on flybridge</t>
  </si>
  <si>
    <t>fwd camera is skew</t>
  </si>
  <si>
    <t>deck winches silver tops do not align</t>
  </si>
  <si>
    <t>victron app setup to be done</t>
  </si>
  <si>
    <t>port water tank sensor defective</t>
  </si>
  <si>
    <t>shore power grommets badly fitted</t>
  </si>
  <si>
    <t>shore power plugs not fitted</t>
  </si>
  <si>
    <t>stbd mid extractor mushroom not fitted</t>
  </si>
  <si>
    <t>cyrix status led not flashing</t>
  </si>
  <si>
    <t>engine raw water pipe is dirty</t>
  </si>
  <si>
    <t>stern shower pipe is kinked</t>
  </si>
  <si>
    <t>genset battery voltage is showing on mfd if isolator is off</t>
  </si>
  <si>
    <t>windlass base is loose</t>
  </si>
  <si>
    <t>genset leak alarm not working</t>
  </si>
  <si>
    <t>incorrectly wired genset earth leakage</t>
  </si>
  <si>
    <t>windlass boots missing</t>
  </si>
  <si>
    <t>genset cap leaking coolant</t>
  </si>
  <si>
    <t>windlass cables on wrong side of bulkhead</t>
  </si>
  <si>
    <t>inverter network cable pulled out</t>
  </si>
  <si>
    <t>incorrectly wired AC neutrals</t>
  </si>
  <si>
    <t>DC multimeter arrow cross wired</t>
  </si>
  <si>
    <t>AC cluster incorrectly wired</t>
  </si>
  <si>
    <t>shore power 2 not working (incorrectly wired)</t>
  </si>
  <si>
    <t>outlet not wired</t>
  </si>
  <si>
    <t>loose connections on yachtsense</t>
  </si>
  <si>
    <t>fusion remote not picking up</t>
  </si>
  <si>
    <t>watermaker polarity incorrect</t>
  </si>
  <si>
    <t>bilge notification popups not working</t>
  </si>
  <si>
    <t>bilge helm light not working</t>
  </si>
  <si>
    <t>fireboy display defective</t>
  </si>
  <si>
    <t>co2 sensor not working</t>
  </si>
  <si>
    <t>windlass only works with port ignition</t>
  </si>
  <si>
    <t>port water heater not working</t>
  </si>
  <si>
    <t>stereo keeps tripping</t>
  </si>
  <si>
    <t>2way switch fitted -- should be three way</t>
  </si>
  <si>
    <t>ventilation fan not fitted</t>
  </si>
  <si>
    <t>QC</t>
  </si>
  <si>
    <t>C1018</t>
  </si>
  <si>
    <t>shore power 1 not working (incorrectly wired)</t>
  </si>
  <si>
    <t>windlass boot missing</t>
  </si>
  <si>
    <t>windlass is slipping</t>
  </si>
  <si>
    <t>deckwash is leaking</t>
  </si>
  <si>
    <t>windlass chain teflon block badly installed (remove teflon block or fix mounting)</t>
  </si>
  <si>
    <t>stbd deck winch not working</t>
  </si>
  <si>
    <t>mainsheet deck winch button needs to be removed. It is not a electric winch</t>
  </si>
  <si>
    <t>missing label in gas locker shutoff valve</t>
  </si>
  <si>
    <t>raymic outlet is skew</t>
  </si>
  <si>
    <t>autopilot overturns and gets stuck</t>
  </si>
  <si>
    <t>remove unwanted boot on battery</t>
  </si>
  <si>
    <t>extra jump in shore power contactor box (unwanted)</t>
  </si>
  <si>
    <t>rust on engine</t>
  </si>
  <si>
    <t>loose exhaust clamp</t>
  </si>
  <si>
    <t>badly installed shore power socket screws both port and stbd side</t>
  </si>
  <si>
    <t>transom teak steps SF</t>
  </si>
  <si>
    <t>saloon door missing interior valence</t>
  </si>
  <si>
    <t xml:space="preserve">saloon door missing cover plate on port side </t>
  </si>
  <si>
    <t>missing bus bar cover in saloon floor</t>
  </si>
  <si>
    <t>lynxx 2 cover loose</t>
  </si>
  <si>
    <t>battery brace loose</t>
  </si>
  <si>
    <t>saloon fridge not cooling</t>
  </si>
  <si>
    <t>genset transfer breaker light not going on</t>
  </si>
  <si>
    <t>Oven cluster not working</t>
  </si>
  <si>
    <t>bilge alarm panel not mounted</t>
  </si>
  <si>
    <t>incorrect colour code wire under helm on bus bar</t>
  </si>
  <si>
    <t>Autopilot RF remote not connected</t>
  </si>
  <si>
    <t>aft cockpit strip light not connected</t>
  </si>
  <si>
    <t>saloon tap weight badly installed</t>
  </si>
  <si>
    <t>fuel pipes metal support frame loose</t>
  </si>
  <si>
    <t>manual fire suppression cable loose</t>
  </si>
  <si>
    <t>aircon pump not switching on</t>
  </si>
  <si>
    <t>unlabeled wires and busbar at yachtsense</t>
  </si>
  <si>
    <t>missing c-clips at aircon bleed</t>
  </si>
  <si>
    <t>AIS not wired</t>
  </si>
  <si>
    <t>missing breaker labels</t>
  </si>
  <si>
    <t>missing j-box cover in bilge</t>
  </si>
  <si>
    <t>excess gas piping behind genset battery inboard</t>
  </si>
  <si>
    <t>helm cup holder drain badly installed</t>
  </si>
  <si>
    <t>OV cabin door lock incorrectly installed</t>
  </si>
  <si>
    <t>toilet solenoid broke loose</t>
  </si>
  <si>
    <t>outlet upside down</t>
  </si>
  <si>
    <t>aircon box cover not fitted</t>
  </si>
  <si>
    <t>morse control idle revs misaligned</t>
  </si>
  <si>
    <t>C1019</t>
  </si>
  <si>
    <t>Autopilot motor Cross Wired</t>
  </si>
  <si>
    <t>emergency tiller getting stuck</t>
  </si>
  <si>
    <t>shore power box missing blanks</t>
  </si>
  <si>
    <t>unwanted shore power jump wire</t>
  </si>
  <si>
    <t>float switch not properly functioning</t>
  </si>
  <si>
    <t>galvanic isolator cables loose</t>
  </si>
  <si>
    <t>rust and dirt on engine</t>
  </si>
  <si>
    <t>steering is stiff and clicking</t>
  </si>
  <si>
    <t>davit is skew</t>
  </si>
  <si>
    <t>camera skew</t>
  </si>
  <si>
    <t>camera is skew</t>
  </si>
  <si>
    <t>bad ground wire crimp on rudder</t>
  </si>
  <si>
    <t>bad heat shrink on gnd bus bar</t>
  </si>
  <si>
    <t>coolant under engine</t>
  </si>
  <si>
    <t>incorrect label on liferaft locker</t>
  </si>
  <si>
    <t>helm cup holders not draining</t>
  </si>
  <si>
    <t>mast wiring incomplete</t>
  </si>
  <si>
    <t>incorrect steering wheel fitted</t>
  </si>
  <si>
    <t>windlass brake is too tight</t>
  </si>
  <si>
    <t>missing boots on windlass motor</t>
  </si>
  <si>
    <t>windlass junction box loosely mounted</t>
  </si>
  <si>
    <t>incorrect washdown fitting (should be black)</t>
  </si>
  <si>
    <t>incorrectly labeled acdc panel</t>
  </si>
  <si>
    <t>missing deck wash label</t>
  </si>
  <si>
    <t>multimeters freezing and needs to be updated</t>
  </si>
  <si>
    <t>incorrect jump on shore 1 at acdc</t>
  </si>
  <si>
    <t>dual shore power breaker light is wired on wrong side</t>
  </si>
  <si>
    <t>TV lock pins incorrectly installed</t>
  </si>
  <si>
    <t>ACDC panel covers not fitted</t>
  </si>
  <si>
    <t>Incorrectly wired AC multimeter. Should measure genset and shore 1 not shore 2</t>
  </si>
  <si>
    <t>ACU ground wire not pulled through</t>
  </si>
  <si>
    <t>water pipe running over steering pulleys</t>
  </si>
  <si>
    <t>outboard AC outlet is upside down</t>
  </si>
  <si>
    <t>all outlets to be tested</t>
  </si>
  <si>
    <t>untidy morse control cables inboard</t>
  </si>
  <si>
    <t>shower hot water kinked</t>
  </si>
  <si>
    <t>toilet pipes not cradled</t>
  </si>
  <si>
    <t>wires covering toilet anti-syphen</t>
  </si>
  <si>
    <t>CO sensor not working</t>
  </si>
  <si>
    <t>bad duckting inboard</t>
  </si>
  <si>
    <t>All bilge labels to be checked</t>
  </si>
  <si>
    <t>depth transducer wire not cradled</t>
  </si>
  <si>
    <t>basin not properly draining (water collects in corner)</t>
  </si>
  <si>
    <t>isolator switch mounted skew</t>
  </si>
  <si>
    <t>remove plastic in inverter fans</t>
  </si>
  <si>
    <t>label breakers in HVL</t>
  </si>
  <si>
    <t>wireless charger not working</t>
  </si>
  <si>
    <t>wireless charger wire not strapped</t>
  </si>
  <si>
    <t>missing negative bus bar cover</t>
  </si>
  <si>
    <t>lynxx2 cover loose</t>
  </si>
  <si>
    <t>saloon door not set</t>
  </si>
  <si>
    <t>AIS not working</t>
  </si>
  <si>
    <t>AIS not showing on MFD camera view</t>
  </si>
  <si>
    <t>Victron app setup not done</t>
  </si>
  <si>
    <t>fwd cockpit fusion remote not picking up network</t>
  </si>
  <si>
    <t>missing main breaker labels in saloon floor</t>
  </si>
  <si>
    <t>missing breaker labels on saloon DB</t>
  </si>
  <si>
    <t>duckting not neat</t>
  </si>
  <si>
    <t>aircon drain too long</t>
  </si>
  <si>
    <t xml:space="preserve">water heater drain not cradled </t>
  </si>
  <si>
    <t>water heater drain too long</t>
  </si>
  <si>
    <t>Fresh/Salt water labels for toilets to be fitted</t>
  </si>
  <si>
    <t>depth transducer label missing</t>
  </si>
  <si>
    <t>loose pipes in bilge</t>
  </si>
  <si>
    <t>water tank dirty</t>
  </si>
  <si>
    <t>speed transducer missing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</si>
</sst>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20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7"/>
      <color rgb="FF000000"/>
      <name val="Arial"/>
      <family val="2"/>
    </font>
    <font>
      <b/>
      <sz val="12"/>
      <color rgb="FF000000"/>
      <name val="Arial"/>
      <family val="18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</cellStyleXfs>
  <cellXfs count="2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1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49" fontId="1" fillId="0" borderId="15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8" fillId="0" borderId="0" xfId="0" applyFont="1"/>
    <xf numFmtId="49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14" fontId="1" fillId="0" borderId="10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1" fillId="0" borderId="10" xfId="0" applyFont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49" fontId="1" fillId="0" borderId="17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2" fontId="1" fillId="0" borderId="8" xfId="0" applyNumberFormat="1" applyFont="1" applyBorder="1" applyAlignment="1">
      <alignment horizontal="left" vertical="center"/>
    </xf>
    <xf numFmtId="14" fontId="7" fillId="0" borderId="0" xfId="0" applyNumberFormat="1" applyFont="1" applyAlignment="1">
      <alignment horizontal="righ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" fillId="0" borderId="22" xfId="0" applyFont="1" applyBorder="1" applyAlignment="1">
      <alignment vertical="center"/>
    </xf>
    <xf numFmtId="49" fontId="1" fillId="0" borderId="29" xfId="0" applyNumberFormat="1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1" xfId="0" applyFont="1" applyFill="1" applyBorder="1"/>
    <xf numFmtId="0" fontId="17" fillId="2" borderId="32" xfId="0" applyFont="1" applyFill="1" applyBorder="1"/>
    <xf numFmtId="49" fontId="1" fillId="0" borderId="0" xfId="0" applyNumberFormat="1" applyFont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/>
    <xf numFmtId="164" fontId="1" fillId="0" borderId="10" xfId="0" applyNumberFormat="1" applyFont="1" applyBorder="1" applyAlignment="1">
      <alignment vertical="center"/>
    </xf>
    <xf numFmtId="14" fontId="7" fillId="0" borderId="0" xfId="0" applyNumberFormat="1" applyFont="1" applyAlignment="1">
      <alignment horizontal="center" vertical="center"/>
    </xf>
    <xf numFmtId="49" fontId="1" fillId="0" borderId="11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  <xf numFmtId="49" fontId="1" fillId="0" borderId="13" xfId="0" applyNumberFormat="1" applyFont="1" applyBorder="1" applyAlignment="1">
      <alignment vertical="center"/>
    </xf>
    <xf numFmtId="0" fontId="1" fillId="0" borderId="18" xfId="0" applyFont="1" applyBorder="1" applyAlignment="1">
      <alignment horizontal="left"/>
    </xf>
    <xf numFmtId="49" fontId="1" fillId="0" borderId="11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14" fontId="1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49" fontId="14" fillId="0" borderId="12" xfId="0" applyNumberFormat="1" applyFont="1" applyBorder="1" applyAlignment="1">
      <alignment horizontal="left" vertical="center"/>
    </xf>
    <xf numFmtId="49" fontId="14" fillId="0" borderId="13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5" borderId="11" xfId="0" applyNumberFormat="1" applyFont="1" applyFill="1" applyBorder="1" applyAlignment="1">
      <alignment vertical="center"/>
    </xf>
    <xf numFmtId="49" fontId="1" fillId="5" borderId="12" xfId="0" applyNumberFormat="1" applyFont="1" applyFill="1" applyBorder="1" applyAlignment="1">
      <alignment vertical="center"/>
    </xf>
    <xf numFmtId="49" fontId="1" fillId="5" borderId="13" xfId="0" applyNumberFormat="1" applyFont="1" applyFill="1" applyBorder="1" applyAlignment="1">
      <alignment vertical="center"/>
    </xf>
    <xf numFmtId="49" fontId="1" fillId="5" borderId="11" xfId="0" applyNumberFormat="1" applyFont="1" applyFill="1" applyBorder="1" applyAlignment="1">
      <alignment horizontal="left" vertical="center"/>
    </xf>
    <xf numFmtId="49" fontId="1" fillId="5" borderId="12" xfId="0" applyNumberFormat="1" applyFont="1" applyFill="1" applyBorder="1" applyAlignment="1">
      <alignment horizontal="left" vertical="center"/>
    </xf>
    <xf numFmtId="49" fontId="1" fillId="5" borderId="13" xfId="0" applyNumberFormat="1" applyFont="1" applyFill="1" applyBorder="1" applyAlignment="1">
      <alignment horizontal="left" vertical="center"/>
    </xf>
    <xf numFmtId="49" fontId="14" fillId="5" borderId="12" xfId="0" applyNumberFormat="1" applyFont="1" applyFill="1" applyBorder="1" applyAlignment="1">
      <alignment horizontal="left" vertical="center"/>
    </xf>
    <xf numFmtId="49" fontId="14" fillId="5" borderId="13" xfId="0" applyNumberFormat="1" applyFont="1" applyFill="1" applyBorder="1" applyAlignment="1">
      <alignment horizontal="left" vertical="center"/>
    </xf>
    <xf numFmtId="49" fontId="19" fillId="4" borderId="11" xfId="2" applyNumberFormat="1" applyBorder="1" applyAlignment="1">
      <alignment horizontal="left" vertical="center"/>
    </xf>
    <xf numFmtId="49" fontId="19" fillId="4" borderId="12" xfId="2" applyNumberFormat="1" applyBorder="1" applyAlignment="1">
      <alignment horizontal="left" vertical="center"/>
    </xf>
    <xf numFmtId="49" fontId="19" fillId="4" borderId="13" xfId="2" applyNumberFormat="1" applyBorder="1" applyAlignment="1">
      <alignment horizontal="left" vertical="center"/>
    </xf>
    <xf numFmtId="49" fontId="19" fillId="4" borderId="10" xfId="2" applyNumberFormat="1" applyBorder="1" applyAlignment="1">
      <alignment horizontal="left" vertical="center"/>
    </xf>
    <xf numFmtId="0" fontId="19" fillId="4" borderId="10" xfId="2" applyBorder="1" applyAlignment="1">
      <alignment horizontal="left"/>
    </xf>
    <xf numFmtId="49" fontId="18" fillId="3" borderId="11" xfId="1" applyNumberFormat="1" applyBorder="1" applyAlignment="1">
      <alignment horizontal="left" vertical="center"/>
    </xf>
    <xf numFmtId="49" fontId="18" fillId="3" borderId="12" xfId="1" applyNumberFormat="1" applyBorder="1" applyAlignment="1">
      <alignment horizontal="left" vertical="center"/>
    </xf>
    <xf numFmtId="49" fontId="18" fillId="3" borderId="13" xfId="1" applyNumberFormat="1" applyBorder="1" applyAlignment="1">
      <alignment horizontal="left" vertical="center"/>
    </xf>
    <xf numFmtId="49" fontId="18" fillId="3" borderId="11" xfId="1" applyNumberFormat="1" applyBorder="1" applyAlignment="1">
      <alignment vertical="center"/>
    </xf>
    <xf numFmtId="49" fontId="18" fillId="3" borderId="12" xfId="1" applyNumberFormat="1" applyBorder="1" applyAlignment="1">
      <alignment vertical="center"/>
    </xf>
    <xf numFmtId="49" fontId="18" fillId="3" borderId="13" xfId="1" applyNumberForma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49" fontId="1" fillId="0" borderId="19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23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/>
    </xf>
    <xf numFmtId="0" fontId="1" fillId="0" borderId="21" xfId="0" applyFont="1" applyBorder="1" applyAlignment="1">
      <alignment horizontal="left" vertical="center"/>
    </xf>
    <xf numFmtId="49" fontId="1" fillId="0" borderId="8" xfId="0" applyNumberFormat="1" applyFont="1" applyBorder="1" applyAlignment="1">
      <alignment vertical="center"/>
    </xf>
    <xf numFmtId="0" fontId="6" fillId="0" borderId="8" xfId="0" applyFont="1" applyBorder="1"/>
    <xf numFmtId="0" fontId="1" fillId="0" borderId="30" xfId="0" applyFont="1" applyBorder="1" applyAlignment="1">
      <alignment horizontal="left"/>
    </xf>
    <xf numFmtId="0" fontId="1" fillId="0" borderId="8" xfId="0" applyFont="1" applyBorder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49" fontId="11" fillId="0" borderId="8" xfId="0" applyNumberFormat="1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left" vertical="center"/>
    </xf>
    <xf numFmtId="49" fontId="11" fillId="0" borderId="12" xfId="0" applyNumberFormat="1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0" fontId="4" fillId="0" borderId="8" xfId="0" applyFont="1" applyBorder="1"/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left" vertical="center"/>
    </xf>
    <xf numFmtId="49" fontId="1" fillId="0" borderId="28" xfId="0" applyNumberFormat="1" applyFont="1" applyBorder="1" applyAlignment="1">
      <alignment horizontal="left" vertical="center"/>
    </xf>
    <xf numFmtId="49" fontId="1" fillId="0" borderId="29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63-429E-B723-313006189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63-429E-B723-313006189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63-429E-B723-313006189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63-429E-B723-3130061893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'C1019'!$AB$9:$AB$12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'C1019'!$AC$9:$AC$12</c:f>
              <c:numCache>
                <c:formatCode>General</c:formatCode>
                <c:ptCount val="4"/>
                <c:pt idx="0">
                  <c:v>45</c:v>
                </c:pt>
                <c:pt idx="1">
                  <c:v>25</c:v>
                </c:pt>
                <c:pt idx="2">
                  <c:v>6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63-429E-B723-3130061893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A4-4470-A9D2-2B97F90759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A4-4470-A9D2-2B97F90759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A4-4470-A9D2-2B97F90759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A4-4470-A9D2-2B97F90759F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'C1018'!$AB$9:$AB$12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'C1018'!$AC$9:$AC$12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A4-4470-A9D2-2B97F90759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3F-4B7D-B9B1-7AACAC54CB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3F-4B7D-B9B1-7AACAC54CB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3F-4B7D-B9B1-7AACAC54CB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3F-4B7D-B9B1-7AACAC54CB6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'C1013'!$AB$9:$AB$12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'C1013'!$AC$9:$AC$12</c:f>
              <c:numCache>
                <c:formatCode>General</c:formatCode>
                <c:ptCount val="4"/>
                <c:pt idx="0">
                  <c:v>64</c:v>
                </c:pt>
                <c:pt idx="1">
                  <c:v>37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3F-4B7D-B9B1-7AACAC54CB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2A-460F-BA5C-B31FB8F19D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2A-460F-BA5C-B31FB8F19D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2A-460F-BA5C-B31FB8F19D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2A-460F-BA5C-B31FB8F19D8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'C1017'!$AB$9:$AB$12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'C1017'!$AC$9:$AC$12</c:f>
              <c:numCache>
                <c:formatCode>General</c:formatCode>
                <c:ptCount val="4"/>
                <c:pt idx="0">
                  <c:v>62</c:v>
                </c:pt>
                <c:pt idx="1">
                  <c:v>37</c:v>
                </c:pt>
                <c:pt idx="2">
                  <c:v>14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2A-460F-BA5C-B31FB8F19D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6E-40FB-95F2-DDE27EF62F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6E-40FB-95F2-DDE27EF62F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6E-40FB-95F2-DDE27EF62F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6E-40FB-95F2-DDE27EF62F8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'C1015'!$AB$9:$AB$12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'C1015'!$AC$9:$AC$12</c:f>
              <c:numCache>
                <c:formatCode>General</c:formatCode>
                <c:ptCount val="4"/>
                <c:pt idx="0">
                  <c:v>34</c:v>
                </c:pt>
                <c:pt idx="1">
                  <c:v>41</c:v>
                </c:pt>
                <c:pt idx="2">
                  <c:v>27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4-422A-BCC5-00C3BC3B83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34595-71C3-40A3-AB11-9D1607858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E62D5-3612-4717-A746-49A060BD3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D5D1A-0B26-4BE5-8620-EBF3AD55C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47C9D-BC2A-411C-B5BB-653FACBFA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8E39B7-3DCC-01A0-768C-B91CF8C1E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F0BA09-130D-41FB-84DA-17A979452F4A}" name="Table2" displayName="Table2" ref="A1:N122" totalsRowShown="0">
  <autoFilter ref="A1:N122" xr:uid="{24F0BA09-130D-41FB-84DA-17A979452F4A}"/>
  <sortState xmlns:xlrd2="http://schemas.microsoft.com/office/spreadsheetml/2017/richdata2" ref="A2:N122">
    <sortCondition ref="C1:C122"/>
  </sortState>
  <tableColumns count="14">
    <tableColumn id="1" xr3:uid="{62105958-45AC-407D-8266-A0CBD777FE82}" name="Common Defect List"/>
    <tableColumn id="2" xr3:uid="{BC7FA99A-8F36-4F6E-A5B1-4923BC673373}" name="Task Allocation"/>
    <tableColumn id="3" xr3:uid="{D9093238-6014-4DCF-B123-14F9B6FE6119}" name="Saloon"/>
    <tableColumn id="4" xr3:uid="{F108672C-76AC-4804-8F80-1DF07786C07C}" name="Stbd Aft"/>
    <tableColumn id="5" xr3:uid="{2D28EF83-C8A9-4E02-B2CB-CC0C50B363D5}" name="Stbd Mid"/>
    <tableColumn id="6" xr3:uid="{F2635AE2-150B-44B9-9BB9-DE93C5204FC6}" name="Stbd Fwd"/>
    <tableColumn id="7" xr3:uid="{5B6220B8-C52A-4BC3-A322-90342C0F69F6}" name="Prt Aft"/>
    <tableColumn id="8" xr3:uid="{062783BA-6233-4F88-8F29-ABDE2D700231}" name="Prt Passage"/>
    <tableColumn id="9" xr3:uid="{8B907EB4-7C8B-42D2-92E1-1B3E208CB10B}" name="Prt Fwd"/>
    <tableColumn id="10" xr3:uid="{782DBE34-2985-453B-A40D-29A2A0D8B03F}" name="Aft Cockpit"/>
    <tableColumn id="11" xr3:uid="{63213DF0-FD0B-4FDE-A072-68C2B254FBA1}" name="Prt Engine Room"/>
    <tableColumn id="12" xr3:uid="{B34D47AF-83C1-48A9-AAD1-E886A31CFD12}" name="Stb Engine Room"/>
    <tableColumn id="13" xr3:uid="{CBB71105-39D7-4B64-847E-B92FCFCBA6AF}" name="FWD COCKPIT, SIDE DECKS AND COACH ROOF"/>
    <tableColumn id="14" xr3:uid="{16813ACA-2B9F-4A98-967A-C28D0043D015}" name="Extr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1D2-26F8-4CAE-8A0F-FED865FD0C0B}">
  <sheetPr>
    <pageSetUpPr fitToPage="1"/>
  </sheetPr>
  <dimension ref="A1:IV391"/>
  <sheetViews>
    <sheetView tabSelected="1" view="pageBreakPreview" zoomScale="85" zoomScaleNormal="100" zoomScaleSheetLayoutView="85" workbookViewId="0">
      <selection activeCell="V159" sqref="V159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1598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91</v>
      </c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45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25</v>
      </c>
    </row>
    <row r="11" spans="2:29" s="4" customFormat="1" ht="16.899999999999999" customHeight="1" thickBot="1" x14ac:dyDescent="0.3">
      <c r="B11" s="8"/>
      <c r="C11" s="11">
        <v>1</v>
      </c>
      <c r="D11" s="70" t="s">
        <v>654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 t="s">
        <v>22</v>
      </c>
      <c r="W11" s="10"/>
      <c r="X11" s="10"/>
      <c r="Y11" s="10"/>
      <c r="Z11" s="10"/>
      <c r="AB11" s="4" t="s">
        <v>1385</v>
      </c>
      <c r="AC11" s="4">
        <f>COUNTIF(V:V,"MECH")</f>
        <v>6</v>
      </c>
    </row>
    <row r="12" spans="2:29" s="4" customFormat="1" ht="16.350000000000001" customHeight="1" thickBot="1" x14ac:dyDescent="0.3">
      <c r="B12" s="8"/>
      <c r="C12" s="11">
        <v>2</v>
      </c>
      <c r="D12" s="70" t="s">
        <v>1599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 t="s">
        <v>22</v>
      </c>
      <c r="W12" s="10"/>
      <c r="X12" s="10"/>
      <c r="Y12" s="10"/>
      <c r="Z12" s="10"/>
      <c r="AB12" s="4" t="s">
        <v>1386</v>
      </c>
      <c r="AC12" s="4">
        <f>AC8-AC9-AC10-AC11</f>
        <v>15</v>
      </c>
    </row>
    <row r="13" spans="2:29" s="4" customFormat="1" ht="16.350000000000001" customHeight="1" thickBot="1" x14ac:dyDescent="0.3">
      <c r="B13" s="8"/>
      <c r="C13" s="11">
        <v>3</v>
      </c>
      <c r="D13" s="70" t="s">
        <v>1615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 t="s">
        <v>22</v>
      </c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v>4</v>
      </c>
      <c r="D14" s="70" t="s">
        <v>502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 t="s">
        <v>22</v>
      </c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v>5</v>
      </c>
      <c r="D15" s="70" t="s">
        <v>1621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 t="s">
        <v>22</v>
      </c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v>6</v>
      </c>
      <c r="D16" s="70" t="s">
        <v>1622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 t="s">
        <v>22</v>
      </c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v>7</v>
      </c>
      <c r="D17" s="70" t="s">
        <v>1623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 t="s">
        <v>22</v>
      </c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v>8</v>
      </c>
      <c r="D18" s="70" t="s">
        <v>1624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 t="s">
        <v>22</v>
      </c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v>9</v>
      </c>
      <c r="D19" s="70" t="s">
        <v>1625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 t="s">
        <v>22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v>10</v>
      </c>
      <c r="D20" s="70" t="s">
        <v>1626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 t="s">
        <v>28</v>
      </c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v>11</v>
      </c>
      <c r="D21" s="70" t="s">
        <v>1627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 t="s">
        <v>22</v>
      </c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v>12</v>
      </c>
      <c r="D22" s="70" t="s">
        <v>1578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 t="s">
        <v>22</v>
      </c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v>13</v>
      </c>
      <c r="D23" s="70" t="s">
        <v>1628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 t="s">
        <v>22</v>
      </c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v>14</v>
      </c>
      <c r="D24" s="70" t="s">
        <v>1629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 t="s">
        <v>22</v>
      </c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v>15</v>
      </c>
      <c r="D25" s="70" t="s">
        <v>14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 t="s">
        <v>22</v>
      </c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v>16</v>
      </c>
      <c r="D26" s="70" t="s">
        <v>1645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 t="s">
        <v>22</v>
      </c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v>17</v>
      </c>
      <c r="D27" s="70" t="s">
        <v>1647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 t="s">
        <v>22</v>
      </c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v>18</v>
      </c>
      <c r="D28" s="70" t="s">
        <v>1648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 t="s">
        <v>22</v>
      </c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v>19</v>
      </c>
      <c r="D29" s="70" t="s">
        <v>1649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 t="s">
        <v>28</v>
      </c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v>20</v>
      </c>
      <c r="D30" s="70" t="s">
        <v>1650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 t="s">
        <v>22</v>
      </c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v>21</v>
      </c>
      <c r="D31" s="66" t="s">
        <v>1651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10" t="s">
        <v>22</v>
      </c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v>22</v>
      </c>
      <c r="D32" s="66" t="s">
        <v>1652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8"/>
      <c r="V32" s="10" t="s">
        <v>22</v>
      </c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v>23</v>
      </c>
      <c r="D33" s="66" t="s">
        <v>1318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8"/>
      <c r="V33" s="10" t="s">
        <v>22</v>
      </c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>
        <v>24</v>
      </c>
      <c r="D34" s="70" t="s">
        <v>1654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 t="s">
        <v>22</v>
      </c>
      <c r="W34" s="10"/>
      <c r="X34" s="10"/>
      <c r="Y34" s="10"/>
      <c r="Z34" s="10"/>
    </row>
    <row r="35" spans="2:26" s="4" customFormat="1" ht="16.350000000000001" customHeight="1" thickBot="1" x14ac:dyDescent="0.25">
      <c r="B35" s="8"/>
      <c r="C35" s="11">
        <v>25</v>
      </c>
      <c r="D35" s="95" t="s">
        <v>1655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10" t="s">
        <v>22</v>
      </c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/>
      <c r="D36" s="70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/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/>
      <c r="D37" s="70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/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/>
      <c r="D38" s="70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/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/>
      <c r="D39" s="70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/>
      <c r="W39" s="10"/>
      <c r="X39" s="10"/>
      <c r="Y39" s="10"/>
      <c r="Z39" s="10"/>
    </row>
    <row r="40" spans="2:26" s="4" customFormat="1" ht="15" customHeight="1" thickBot="1" x14ac:dyDescent="0.3">
      <c r="B40" s="8"/>
      <c r="C40" s="11"/>
      <c r="D40" s="70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/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/>
      <c r="D41" s="70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/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/>
      <c r="D42" s="70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/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/>
      <c r="D43" s="70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/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/>
      <c r="D44" s="70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/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/>
      <c r="D45" s="70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/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/>
      <c r="D46" s="70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/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/>
      <c r="D47" s="70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/>
      <c r="D48" s="70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5.95" customHeight="1" thickBot="1" x14ac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/>
      <c r="W50" s="10"/>
      <c r="X50" s="10"/>
      <c r="Y50" s="10"/>
      <c r="Z50" s="10"/>
    </row>
    <row r="51" spans="2:26" s="4" customFormat="1" ht="15.95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/>
      <c r="W53" s="10"/>
      <c r="X53" s="10"/>
      <c r="Y53" s="10"/>
      <c r="Z53" s="10"/>
    </row>
    <row r="54" spans="2:26" s="1" customFormat="1" ht="15" customHeight="1" x14ac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</row>
    <row r="55" spans="2:26" x14ac:dyDescent="0.25">
      <c r="B55" s="20"/>
      <c r="C55" s="21"/>
      <c r="O55" s="22"/>
      <c r="P55" s="22"/>
      <c r="Q55" s="23"/>
      <c r="R55" s="23"/>
      <c r="S55" s="22"/>
      <c r="T55" s="22"/>
    </row>
    <row r="56" spans="2:26" s="1" customFormat="1" ht="13.5" thickBot="1" x14ac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</row>
    <row r="57" spans="2:26" ht="15" customHeight="1" x14ac:dyDescent="0.25">
      <c r="C57" s="29"/>
      <c r="I57" s="30"/>
      <c r="O57" s="65"/>
      <c r="P57" s="65"/>
      <c r="Q57" s="60"/>
      <c r="R57" s="60"/>
      <c r="S57" s="65"/>
      <c r="T57" s="65"/>
    </row>
    <row r="58" spans="2:26" ht="18" customHeight="1" thickBot="1" x14ac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/>
      <c r="W58" s="62"/>
      <c r="X58" s="62"/>
      <c r="Y58" s="62"/>
    </row>
    <row r="59" spans="2:26" ht="15" customHeight="1" thickBot="1" x14ac:dyDescent="0.3"/>
    <row r="60" spans="2:26" ht="15" customHeight="1" x14ac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92" t="s">
        <v>65</v>
      </c>
      <c r="X60" s="79"/>
      <c r="Y60" s="79"/>
      <c r="Z60" s="79"/>
    </row>
    <row r="61" spans="2:26" ht="15" customHeight="1" thickBot="1" x14ac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</row>
    <row r="62" spans="2:26" ht="10.5" customHeight="1" thickBot="1" x14ac:dyDescent="0.3"/>
    <row r="63" spans="2:26" ht="15" customHeight="1" thickBot="1" x14ac:dyDescent="0.3">
      <c r="J63" s="79" t="s">
        <v>2</v>
      </c>
      <c r="K63" s="79"/>
      <c r="L63" s="79"/>
      <c r="M63" s="80" t="str">
        <f>M4</f>
        <v>C1019</v>
      </c>
      <c r="N63" s="80"/>
      <c r="O63" s="80"/>
      <c r="P63" s="80"/>
    </row>
    <row r="64" spans="2:26" s="15" customFormat="1" ht="15" customHeight="1" thickBot="1" x14ac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/>
    </row>
    <row r="65" spans="1:26" s="15" customFormat="1" ht="15.95" customHeight="1" thickBot="1" x14ac:dyDescent="0.3"/>
    <row r="66" spans="1:26" s="15" customFormat="1" ht="15" customHeight="1" thickBot="1" x14ac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/>
      <c r="W66" s="60"/>
      <c r="X66" s="23"/>
    </row>
    <row r="67" spans="1:26" s="15" customFormat="1" ht="15" customHeight="1" thickBot="1" x14ac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s="15" customFormat="1" ht="22.5" customHeight="1" thickBot="1" x14ac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 t="s">
        <v>8</v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x14ac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W69" s="14"/>
      <c r="X69" s="14"/>
      <c r="Y69" s="14"/>
      <c r="Z69" s="14"/>
    </row>
    <row r="70" spans="1:26" s="15" customFormat="1" ht="15.6" customHeight="1" thickBot="1" x14ac:dyDescent="0.25">
      <c r="B70" s="8"/>
      <c r="C70" s="11">
        <f>IF(ISTEXT(D70),MAX($C$10:C69)+1,"")</f>
        <v>26</v>
      </c>
      <c r="D70" s="95" t="s">
        <v>1630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5" t="s">
        <v>76</v>
      </c>
      <c r="W70" s="14"/>
      <c r="X70" s="14"/>
      <c r="Y70" s="14"/>
      <c r="Z70" s="14"/>
    </row>
    <row r="71" spans="1:26" s="15" customFormat="1" ht="15.6" customHeight="1" thickBot="1" x14ac:dyDescent="0.25">
      <c r="B71" s="8"/>
      <c r="C71" s="11">
        <f>IF(ISTEXT(D71),MAX($C$10:C70)+1,"")</f>
        <v>27</v>
      </c>
      <c r="D71" s="95" t="s">
        <v>1631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 t="s">
        <v>28</v>
      </c>
      <c r="W71" s="14"/>
      <c r="X71" s="14"/>
      <c r="Y71" s="14"/>
      <c r="Z71" s="14"/>
    </row>
    <row r="72" spans="1:26" s="15" customFormat="1" ht="15.6" customHeight="1" thickBot="1" x14ac:dyDescent="0.25">
      <c r="B72" s="8"/>
      <c r="C72" s="11">
        <f>IF(ISTEXT(D72),MAX($C$10:C71)+1,"")</f>
        <v>28</v>
      </c>
      <c r="D72" s="95" t="s">
        <v>1633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 t="s">
        <v>72</v>
      </c>
      <c r="W72" s="14"/>
      <c r="X72" s="14"/>
      <c r="Y72" s="14"/>
      <c r="Z72" s="14"/>
    </row>
    <row r="73" spans="1:26" s="15" customFormat="1" ht="16.149999999999999" customHeight="1" thickBot="1" x14ac:dyDescent="0.25">
      <c r="B73" s="8"/>
      <c r="C73" s="11">
        <f>IF(ISTEXT(D73),MAX($C$10:C72)+1,"")</f>
        <v>29</v>
      </c>
      <c r="D73" s="95" t="s">
        <v>1634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 t="s">
        <v>76</v>
      </c>
      <c r="W73" s="14"/>
      <c r="X73" s="14"/>
      <c r="Y73" s="14"/>
      <c r="Z73" s="14"/>
    </row>
    <row r="74" spans="1:26" s="15" customFormat="1" ht="16.149999999999999" customHeight="1" thickBot="1" x14ac:dyDescent="0.25">
      <c r="B74" s="8"/>
      <c r="C74" s="11">
        <f>IF(ISTEXT(D74),MAX($C$10:C73)+1,"")</f>
        <v>30</v>
      </c>
      <c r="D74" s="95" t="s">
        <v>1635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 t="s">
        <v>76</v>
      </c>
      <c r="W74" s="14"/>
      <c r="X74" s="14"/>
      <c r="Y74" s="14"/>
      <c r="Z74" s="14"/>
    </row>
    <row r="75" spans="1:26" s="15" customFormat="1" ht="16.149999999999999" customHeight="1" thickBot="1" x14ac:dyDescent="0.25">
      <c r="B75" s="8"/>
      <c r="C75" s="11">
        <f>IF(ISTEXT(D75),MAX($C$10:C74)+1,"")</f>
        <v>31</v>
      </c>
      <c r="D75" s="95" t="s">
        <v>1636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 t="s">
        <v>22</v>
      </c>
      <c r="W75" s="14"/>
      <c r="X75" s="14"/>
      <c r="Y75" s="14"/>
      <c r="Z75" s="14"/>
    </row>
    <row r="76" spans="1:26" s="15" customFormat="1" ht="16.149999999999999" customHeight="1" thickBot="1" x14ac:dyDescent="0.25">
      <c r="B76" s="8"/>
      <c r="C76" s="11">
        <f>IF(ISTEXT(D76),MAX($C$10:C75)+1,"")</f>
        <v>32</v>
      </c>
      <c r="D76" s="95" t="s">
        <v>1657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 t="s">
        <v>76</v>
      </c>
      <c r="W76" s="14"/>
      <c r="X76" s="14"/>
      <c r="Y76" s="14"/>
      <c r="Z76" s="14"/>
    </row>
    <row r="77" spans="1:26" s="15" customFormat="1" ht="16.149999999999999" customHeight="1" thickBot="1" x14ac:dyDescent="0.25">
      <c r="B77" s="8"/>
      <c r="C77" s="11">
        <f>IF(ISTEXT(D77),MAX($C$10:C76)+1,"")</f>
        <v>33</v>
      </c>
      <c r="D77" s="95" t="s">
        <v>1658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 t="s">
        <v>76</v>
      </c>
      <c r="W77" s="14"/>
      <c r="X77" s="14"/>
      <c r="Y77" s="14"/>
      <c r="Z77" s="14"/>
    </row>
    <row r="78" spans="1:26" ht="16.149999999999999" customHeight="1" thickBot="1" x14ac:dyDescent="0.3">
      <c r="B78" s="8"/>
      <c r="C78" s="11">
        <f>IF(ISTEXT(D78),MAX($C$10:C77)+1,"")</f>
        <v>34</v>
      </c>
      <c r="D78" s="95" t="s">
        <v>79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 t="s">
        <v>76</v>
      </c>
      <c r="W78" s="14"/>
      <c r="X78" s="14"/>
      <c r="Y78" s="14"/>
      <c r="Z78" s="14"/>
    </row>
    <row r="79" spans="1:26" s="15" customFormat="1" ht="16.149999999999999" customHeight="1" thickBot="1" x14ac:dyDescent="0.25">
      <c r="A79" s="36"/>
      <c r="B79" s="37"/>
      <c r="C79" s="11">
        <f>IF(ISTEXT(D79),MAX($C$10:C78)+1,"")</f>
        <v>35</v>
      </c>
      <c r="D79" s="95" t="s">
        <v>111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 t="s">
        <v>76</v>
      </c>
      <c r="W79" s="14"/>
      <c r="X79" s="14"/>
      <c r="Y79" s="14"/>
      <c r="Z79" s="14"/>
    </row>
    <row r="80" spans="1:26" s="15" customFormat="1" ht="16.149999999999999" customHeight="1" thickBot="1" x14ac:dyDescent="0.25">
      <c r="B80" s="8"/>
      <c r="C80" s="11">
        <f>IF(ISTEXT(D80),MAX($C$10:C79)+1,"")</f>
        <v>36</v>
      </c>
      <c r="D80" s="95" t="s">
        <v>80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 t="s">
        <v>76</v>
      </c>
      <c r="W80" s="14"/>
      <c r="X80" s="14"/>
      <c r="Y80" s="14"/>
      <c r="Z80" s="14"/>
    </row>
    <row r="81" spans="2:26" s="15" customFormat="1" ht="16.149999999999999" customHeight="1" thickBot="1" x14ac:dyDescent="0.25">
      <c r="B81" s="8"/>
      <c r="C81" s="11">
        <f>IF(ISTEXT(D81),MAX($C$10:C80)+1,"")</f>
        <v>37</v>
      </c>
      <c r="D81" s="95" t="s">
        <v>600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 t="s">
        <v>76</v>
      </c>
      <c r="W81" s="14"/>
      <c r="X81" s="14"/>
      <c r="Y81" s="14"/>
      <c r="Z81" s="14"/>
    </row>
    <row r="82" spans="2:26" s="15" customFormat="1" ht="16.149999999999999" customHeight="1" thickBot="1" x14ac:dyDescent="0.25">
      <c r="B82" s="8"/>
      <c r="C82" s="11" t="str">
        <f>IF(ISTEXT(D82),MAX($C$10:C81)+1,"")</f>
        <v/>
      </c>
      <c r="D82" s="95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/>
      <c r="W82" s="14"/>
      <c r="X82" s="14"/>
      <c r="Y82" s="14"/>
      <c r="Z82" s="14"/>
    </row>
    <row r="83" spans="2:26" s="15" customFormat="1" ht="16.149999999999999" customHeight="1" thickBot="1" x14ac:dyDescent="0.25">
      <c r="B83" s="8"/>
      <c r="C83" s="11" t="str">
        <f>IF(ISTEXT(D83),MAX($C$10:C82)+1,"")</f>
        <v/>
      </c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/>
      <c r="W83" s="14"/>
      <c r="X83" s="14"/>
      <c r="Y83" s="14"/>
      <c r="Z83" s="14"/>
    </row>
    <row r="84" spans="2:26" s="15" customFormat="1" ht="16.149999999999999" customHeight="1" thickBot="1" x14ac:dyDescent="0.25">
      <c r="B84" s="8"/>
      <c r="C84" s="11" t="str">
        <f>IF(ISTEXT(D84),MAX($C$10:C83)+1,"")</f>
        <v/>
      </c>
      <c r="D84" s="95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0"/>
      <c r="W84" s="14"/>
      <c r="X84" s="14"/>
      <c r="Y84" s="14"/>
      <c r="Z84" s="14"/>
    </row>
    <row r="85" spans="2:26" s="15" customFormat="1" ht="16.149999999999999" customHeight="1" thickBot="1" x14ac:dyDescent="0.25">
      <c r="B85" s="8"/>
      <c r="C85" s="11" t="str">
        <f>IF(ISTEXT(D85),MAX($C$10:C84)+1,"")</f>
        <v/>
      </c>
      <c r="D85" s="95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/>
      <c r="W85" s="14"/>
      <c r="X85" s="14"/>
      <c r="Y85" s="14"/>
      <c r="Z85" s="14"/>
    </row>
    <row r="86" spans="2:26" s="15" customFormat="1" ht="16.149999999999999" customHeight="1" thickBot="1" x14ac:dyDescent="0.25">
      <c r="B86" s="8"/>
      <c r="C86" s="11" t="str">
        <f>IF(ISTEXT(D86),MAX($C$10:C85)+1,"")</f>
        <v/>
      </c>
      <c r="D86" s="95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/>
      <c r="W86" s="14"/>
      <c r="X86" s="14"/>
      <c r="Y86" s="14"/>
      <c r="Z86" s="14"/>
    </row>
    <row r="87" spans="2:26" s="15" customFormat="1" ht="16.149999999999999" customHeight="1" thickBot="1" x14ac:dyDescent="0.25">
      <c r="B87" s="8"/>
      <c r="C87" s="11" t="str">
        <f>IF(ISTEXT(D87),MAX($C$10:C86)+1,"")</f>
        <v/>
      </c>
      <c r="D87" s="95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/>
      <c r="W87" s="14"/>
      <c r="X87" s="14"/>
      <c r="Y87" s="14"/>
      <c r="Z87" s="14"/>
    </row>
    <row r="88" spans="2:26" s="15" customFormat="1" ht="16.149999999999999" customHeight="1" thickBot="1" x14ac:dyDescent="0.25">
      <c r="B88" s="8"/>
      <c r="C88" s="11" t="str">
        <f>IF(ISTEXT(D88),MAX($C$10:C87)+1,"")</f>
        <v/>
      </c>
      <c r="D88" s="95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/>
      <c r="W88" s="14"/>
      <c r="X88" s="14"/>
      <c r="Y88" s="14"/>
      <c r="Z88" s="14"/>
    </row>
    <row r="89" spans="2:26" s="15" customFormat="1" ht="16.149999999999999" customHeight="1" thickBot="1" x14ac:dyDescent="0.25">
      <c r="B89" s="8"/>
      <c r="C89" s="11" t="str">
        <f>IF(ISTEXT(D89),MAX($C$10:C88)+1,"")</f>
        <v/>
      </c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/>
      <c r="W89" s="14"/>
      <c r="X89" s="14"/>
      <c r="Y89" s="14"/>
      <c r="Z89" s="14"/>
    </row>
    <row r="90" spans="2:26" s="15" customFormat="1" ht="15.95" customHeight="1" thickBot="1" x14ac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/>
      <c r="W90" s="14"/>
      <c r="X90" s="14"/>
      <c r="Y90" s="14"/>
      <c r="Z90" s="14"/>
    </row>
    <row r="91" spans="2:26" s="15" customFormat="1" ht="16.149999999999999" customHeight="1" thickBot="1" x14ac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/>
      <c r="W91" s="14"/>
      <c r="X91" s="14"/>
      <c r="Y91" s="14"/>
      <c r="Z91" s="14"/>
    </row>
    <row r="92" spans="2:26" s="15" customFormat="1" ht="16.149999999999999" customHeight="1" thickBot="1" x14ac:dyDescent="0.3">
      <c r="B92" s="8"/>
      <c r="C92" s="11"/>
      <c r="D92" s="73" t="s">
        <v>92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5"/>
      <c r="V92" s="10"/>
      <c r="W92" s="14"/>
      <c r="X92" s="14"/>
      <c r="Y92" s="14"/>
      <c r="Z92" s="14"/>
    </row>
    <row r="93" spans="2:26" s="15" customFormat="1" ht="16.149999999999999" customHeight="1" thickBot="1" x14ac:dyDescent="0.3">
      <c r="B93" s="8"/>
      <c r="C93" s="11">
        <f>IF(ISTEXT(D93),MAX($C$10:C92)+1,"")</f>
        <v>38</v>
      </c>
      <c r="D93" s="70" t="s">
        <v>1637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 t="s">
        <v>22</v>
      </c>
      <c r="W93" s="14"/>
      <c r="X93" s="14"/>
      <c r="Y93" s="14"/>
      <c r="Z93" s="14"/>
    </row>
    <row r="94" spans="2:26" s="15" customFormat="1" ht="16.149999999999999" customHeight="1" thickBot="1" x14ac:dyDescent="0.3">
      <c r="B94" s="8"/>
      <c r="C94" s="11">
        <f>IF(ISTEXT(D94),MAX($C$10:C93)+1,"")</f>
        <v>39</v>
      </c>
      <c r="D94" s="70" t="s">
        <v>1638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 t="s">
        <v>76</v>
      </c>
      <c r="W94" s="14"/>
      <c r="X94" s="14"/>
      <c r="Y94" s="14"/>
      <c r="Z94" s="14"/>
    </row>
    <row r="95" spans="2:26" s="15" customFormat="1" ht="16.149999999999999" customHeight="1" thickBot="1" x14ac:dyDescent="0.3">
      <c r="B95" s="8"/>
      <c r="C95" s="11">
        <f>IF(ISTEXT(D95),MAX($C$10:C94)+1,"")</f>
        <v>40</v>
      </c>
      <c r="D95" s="70" t="s">
        <v>1640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 t="s">
        <v>22</v>
      </c>
      <c r="W95" s="14"/>
      <c r="X95" s="14"/>
      <c r="Y95" s="14"/>
      <c r="Z95" s="14"/>
    </row>
    <row r="96" spans="2:26" s="15" customFormat="1" ht="16.149999999999999" customHeight="1" thickBot="1" x14ac:dyDescent="0.3">
      <c r="B96" s="8"/>
      <c r="C96" s="11">
        <f>IF(ISTEXT(D96),MAX($C$10:C95)+1,"")</f>
        <v>41</v>
      </c>
      <c r="D96" s="70" t="s">
        <v>1289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 t="s">
        <v>963</v>
      </c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>
        <f>IF(ISTEXT(D97),MAX($C$10:C96)+1,"")</f>
        <v>42</v>
      </c>
      <c r="D97" s="70" t="s">
        <v>1641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 t="s">
        <v>52</v>
      </c>
      <c r="W97" s="14"/>
      <c r="X97" s="14"/>
      <c r="Y97" s="14"/>
      <c r="Z97" s="14"/>
    </row>
    <row r="98" spans="2:26" s="15" customFormat="1" ht="19.149999999999999" customHeight="1" thickBot="1" x14ac:dyDescent="0.3">
      <c r="B98" s="8"/>
      <c r="C98" s="11">
        <f>IF(ISTEXT(D98),MAX($C$10:C97)+1,"")</f>
        <v>43</v>
      </c>
      <c r="D98" s="70" t="s">
        <v>1661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 t="s">
        <v>76</v>
      </c>
      <c r="W98" s="14"/>
      <c r="X98" s="14"/>
      <c r="Y98" s="14"/>
      <c r="Z98" s="14"/>
    </row>
    <row r="99" spans="2:26" s="15" customFormat="1" ht="16.149999999999999" customHeight="1" thickBot="1" x14ac:dyDescent="0.3">
      <c r="B99" s="8"/>
      <c r="C99" s="11">
        <f>IF(ISTEXT(D99),MAX($C$10:C98)+1,"")</f>
        <v>44</v>
      </c>
      <c r="D99" s="70" t="s">
        <v>79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 t="s">
        <v>76</v>
      </c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45</v>
      </c>
      <c r="D100" s="70" t="s">
        <v>111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 t="s">
        <v>76</v>
      </c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46</v>
      </c>
      <c r="D101" s="70" t="s">
        <v>869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 t="s">
        <v>76</v>
      </c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47</v>
      </c>
      <c r="D102" s="70" t="s">
        <v>1662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 t="s">
        <v>76</v>
      </c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 t="str">
        <f>IF(ISTEXT(D103),MAX($C$10:C102)+1,"")</f>
        <v/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/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 t="str">
        <f>IF(ISTEXT(D104),MAX($C$10:C103)+1,"")</f>
        <v/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/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/>
      <c r="W105" s="14"/>
      <c r="X105" s="14"/>
      <c r="Y105" s="14"/>
      <c r="Z105" s="14"/>
    </row>
    <row r="106" spans="2:26" s="15" customFormat="1" ht="16.149999999999999" customHeight="1" thickBot="1" x14ac:dyDescent="0.25">
      <c r="B106" s="8"/>
      <c r="C106" s="11" t="str">
        <f>IF(ISTEXT(D106),MAX($C$10:C105)+1,"")</f>
        <v/>
      </c>
      <c r="D106" s="9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/>
      <c r="W106" s="14"/>
      <c r="X106" s="14"/>
      <c r="Y106" s="14"/>
      <c r="Z106" s="14"/>
    </row>
    <row r="107" spans="2:26" ht="15" customHeight="1" x14ac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</row>
    <row r="108" spans="2:26" x14ac:dyDescent="0.25">
      <c r="B108" s="20"/>
      <c r="C108" s="21"/>
      <c r="O108" s="22"/>
      <c r="P108" s="22"/>
      <c r="Q108" s="23"/>
      <c r="R108" s="23"/>
      <c r="S108" s="22"/>
      <c r="T108" s="22"/>
    </row>
    <row r="109" spans="2:26" ht="15.75" thickBot="1" x14ac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</row>
    <row r="110" spans="2:26" ht="15" customHeight="1" x14ac:dyDescent="0.25">
      <c r="C110" s="29"/>
      <c r="I110" s="30"/>
      <c r="O110" s="65"/>
      <c r="P110" s="65"/>
      <c r="Q110" s="60"/>
      <c r="R110" s="60"/>
      <c r="S110" s="65"/>
      <c r="T110" s="65"/>
    </row>
    <row r="111" spans="2:26" ht="18" customHeight="1" thickBot="1" x14ac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/>
      <c r="W111" s="62"/>
      <c r="X111" s="62"/>
      <c r="Y111" s="62"/>
    </row>
    <row r="112" spans="2:26" ht="15" customHeight="1" x14ac:dyDescent="0.25"/>
    <row r="113" spans="2:26" ht="15" customHeight="1" thickBot="1" x14ac:dyDescent="0.3"/>
    <row r="114" spans="2:26" ht="15" customHeight="1" x14ac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2" t="s">
        <v>99</v>
      </c>
      <c r="X114" s="79"/>
      <c r="Y114" s="79"/>
      <c r="Z114" s="79"/>
    </row>
    <row r="115" spans="2:26" ht="15" customHeight="1" thickBot="1" x14ac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</row>
    <row r="116" spans="2:26" ht="10.5" customHeight="1" thickBot="1" x14ac:dyDescent="0.3"/>
    <row r="117" spans="2:26" ht="15" customHeight="1" thickBot="1" x14ac:dyDescent="0.3">
      <c r="J117" s="79" t="s">
        <v>2</v>
      </c>
      <c r="K117" s="79"/>
      <c r="L117" s="79"/>
      <c r="M117" s="80" t="str">
        <f>M4</f>
        <v>C1019</v>
      </c>
      <c r="N117" s="80"/>
      <c r="O117" s="80"/>
      <c r="P117" s="80"/>
    </row>
    <row r="118" spans="2:26" s="15" customFormat="1" ht="15" customHeight="1" thickBot="1" x14ac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/>
    </row>
    <row r="119" spans="2:26" s="15" customFormat="1" ht="17.100000000000001" customHeight="1" thickBot="1" x14ac:dyDescent="0.3"/>
    <row r="120" spans="2:26" s="15" customFormat="1" ht="15" customHeight="1" thickBot="1" x14ac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/>
      <c r="W120" s="60"/>
      <c r="X120" s="23"/>
    </row>
    <row r="121" spans="2:26" s="15" customFormat="1" ht="10.5" customHeight="1" thickBot="1" x14ac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2:26" s="15" customFormat="1" ht="21" customHeight="1" thickBot="1" x14ac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 t="s">
        <v>8</v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x14ac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/>
      <c r="W123" s="14"/>
      <c r="X123" s="14"/>
      <c r="Y123" s="14"/>
      <c r="Z123" s="14"/>
    </row>
    <row r="124" spans="2:26" s="15" customFormat="1" ht="16.149999999999999" customHeight="1" thickBot="1" x14ac:dyDescent="0.3">
      <c r="B124" s="8"/>
      <c r="C124" s="11">
        <f>IF(ISTEXT(D124),MAX($C$10:C123)+1,"")</f>
        <v>48</v>
      </c>
      <c r="D124" s="70" t="s">
        <v>1646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 t="s">
        <v>22</v>
      </c>
      <c r="W124" s="14"/>
      <c r="X124" s="14"/>
      <c r="Y124" s="14"/>
      <c r="Z124" s="14"/>
    </row>
    <row r="125" spans="2:26" s="15" customFormat="1" ht="16.149999999999999" customHeight="1" thickBot="1" x14ac:dyDescent="0.3">
      <c r="B125" s="8"/>
      <c r="C125" s="11">
        <f>IF(ISTEXT(D125),MAX($C$10:C124)+1,"")</f>
        <v>49</v>
      </c>
      <c r="D125" s="70" t="s">
        <v>1431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 t="s">
        <v>22</v>
      </c>
      <c r="W125" s="14"/>
      <c r="X125" s="14"/>
      <c r="Y125" s="14"/>
      <c r="Z125" s="14"/>
    </row>
    <row r="126" spans="2:26" s="15" customFormat="1" ht="16.149999999999999" customHeight="1" thickBot="1" x14ac:dyDescent="0.3">
      <c r="B126" s="8"/>
      <c r="C126" s="11">
        <f>IF(ISTEXT(D126),MAX($C$10:C125)+1,"")</f>
        <v>50</v>
      </c>
      <c r="D126" s="70" t="s">
        <v>1664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 t="s">
        <v>76</v>
      </c>
      <c r="W126" s="14"/>
      <c r="X126" s="14"/>
      <c r="Y126" s="14"/>
      <c r="Z126" s="14"/>
    </row>
    <row r="127" spans="2:26" s="15" customFormat="1" ht="16.149999999999999" customHeight="1" thickBot="1" x14ac:dyDescent="0.25">
      <c r="B127" s="8"/>
      <c r="C127" s="11" t="str">
        <f>IF(ISTEXT(D127),MAX($C$10:C126)+1,"")</f>
        <v/>
      </c>
      <c r="D127" s="95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10"/>
      <c r="W127" s="14"/>
      <c r="X127" s="14"/>
      <c r="Y127" s="14"/>
      <c r="Z127" s="14"/>
    </row>
    <row r="128" spans="2:26" s="15" customFormat="1" ht="16.149999999999999" customHeight="1" thickBot="1" x14ac:dyDescent="0.3">
      <c r="B128" s="8"/>
      <c r="C128" s="11" t="str">
        <f>IF(ISTEXT(D128),MAX($C$10:C127)+1,"")</f>
        <v/>
      </c>
      <c r="D128" s="70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/>
      <c r="W128" s="14"/>
      <c r="X128" s="14"/>
      <c r="Y128" s="14"/>
      <c r="Z128" s="14"/>
    </row>
    <row r="129" spans="2:26" s="15" customFormat="1" ht="16.149999999999999" customHeight="1" thickBot="1" x14ac:dyDescent="0.3">
      <c r="B129" s="8"/>
      <c r="C129" s="11" t="str">
        <f>IF(ISTEXT(D129),MAX($C$10:C128)+1,"")</f>
        <v/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/>
      <c r="W129" s="14"/>
      <c r="X129" s="14"/>
      <c r="Y129" s="14"/>
      <c r="Z129" s="14"/>
    </row>
    <row r="130" spans="2:26" ht="16.149999999999999" customHeight="1" thickBot="1" x14ac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/>
      <c r="W130" s="14"/>
      <c r="X130" s="14"/>
      <c r="Y130" s="14"/>
      <c r="Z130" s="14"/>
    </row>
    <row r="131" spans="2:26" s="15" customFormat="1" ht="16.149999999999999" customHeight="1" thickBot="1" x14ac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/>
      <c r="W131" s="14"/>
      <c r="X131" s="14"/>
      <c r="Y131" s="14"/>
      <c r="Z131" s="14"/>
    </row>
    <row r="132" spans="2:26" s="15" customFormat="1" ht="16.149999999999999" customHeight="1" thickBot="1" x14ac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/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/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/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/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/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/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/>
      <c r="W138" s="14"/>
      <c r="X138" s="14"/>
      <c r="Y138" s="14"/>
      <c r="Z138" s="14"/>
    </row>
    <row r="139" spans="2:26" ht="16.5" thickBot="1" x14ac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/>
      <c r="W139" s="14"/>
      <c r="X139" s="14"/>
      <c r="Y139" s="14"/>
      <c r="Z139" s="14"/>
    </row>
    <row r="140" spans="2:26" s="15" customFormat="1" ht="16.149999999999999" customHeight="1" thickBot="1" x14ac:dyDescent="0.25">
      <c r="B140" s="8"/>
      <c r="C140" s="11">
        <f>IF(ISTEXT(D140),MAX($C$10:C139)+1,"")</f>
        <v>51</v>
      </c>
      <c r="D140" s="95" t="s">
        <v>1656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10" t="s">
        <v>76</v>
      </c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>
        <f>IF(ISTEXT(D141),MAX($C$10:C140)+1,"")</f>
        <v>52</v>
      </c>
      <c r="D141" s="70" t="s">
        <v>1642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 t="s">
        <v>28</v>
      </c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53</v>
      </c>
      <c r="D142" s="70" t="s">
        <v>1643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 t="s">
        <v>22</v>
      </c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54</v>
      </c>
      <c r="D143" s="70" t="s">
        <v>1657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 t="s">
        <v>76</v>
      </c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55</v>
      </c>
      <c r="D144" s="70" t="s">
        <v>1659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 t="s">
        <v>76</v>
      </c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>
        <f>IF(ISTEXT(D145),MAX($C$10:C144)+1,"")</f>
        <v>56</v>
      </c>
      <c r="D145" s="70" t="s">
        <v>1663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 t="s">
        <v>76</v>
      </c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/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 t="str">
        <f>IF(ISTEXT(D147),MAX($C$10:C146)+1,"")</f>
        <v/>
      </c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/>
      <c r="W147" s="14"/>
      <c r="X147" s="14"/>
      <c r="Y147" s="14"/>
      <c r="Z147" s="14"/>
    </row>
    <row r="148" spans="2:26" s="15" customFormat="1" ht="16.149999999999999" customHeight="1" thickBot="1" x14ac:dyDescent="0.3">
      <c r="B148" s="8"/>
      <c r="C148" s="11" t="str">
        <f>IF(ISTEXT(D148),MAX($C$10:C147)+1,"")</f>
        <v/>
      </c>
      <c r="D148" s="70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/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 t="str">
        <f>IF(ISTEXT(D149),MAX($C$10:C148)+1,"")</f>
        <v/>
      </c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/>
      <c r="W149" s="14"/>
      <c r="X149" s="14"/>
      <c r="Y149" s="14"/>
      <c r="Z149" s="14"/>
    </row>
    <row r="150" spans="2:26" s="15" customFormat="1" ht="16.149999999999999" customHeight="1" thickBot="1" x14ac:dyDescent="0.25">
      <c r="B150" s="8"/>
      <c r="C150" s="11" t="str">
        <f>IF(ISTEXT(D150),MAX($C$10:C149)+1,"")</f>
        <v/>
      </c>
      <c r="D150" s="95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10"/>
      <c r="W150" s="14"/>
      <c r="X150" s="14"/>
      <c r="Y150" s="14"/>
      <c r="Z150" s="14"/>
    </row>
    <row r="151" spans="2:26" s="15" customFormat="1" ht="16.149999999999999" customHeight="1" thickBot="1" x14ac:dyDescent="0.25">
      <c r="B151" s="8"/>
      <c r="C151" s="11" t="str">
        <f>IF(ISTEXT(D151),MAX($C$10:C150)+1,"")</f>
        <v/>
      </c>
      <c r="D151" s="95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10"/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/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/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/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/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57</v>
      </c>
      <c r="D157" s="70" t="s">
        <v>1644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 t="s">
        <v>22</v>
      </c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58</v>
      </c>
      <c r="D158" s="70" t="s">
        <v>1662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 t="s">
        <v>76</v>
      </c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/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/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/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/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/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/>
      <c r="W167" s="14"/>
      <c r="X167" s="14"/>
      <c r="Y167" s="14"/>
      <c r="Z167" s="14"/>
    </row>
    <row r="168" spans="2:26" ht="15" customHeight="1" x14ac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</row>
    <row r="169" spans="2:26" x14ac:dyDescent="0.25">
      <c r="B169" s="20"/>
      <c r="C169" s="21"/>
      <c r="O169" s="22"/>
      <c r="P169" s="22"/>
      <c r="Q169" s="23"/>
      <c r="R169" s="23"/>
      <c r="S169" s="22"/>
      <c r="T169" s="22"/>
    </row>
    <row r="170" spans="2:26" ht="15.75" thickBot="1" x14ac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</row>
    <row r="171" spans="2:26" ht="15" customHeight="1" x14ac:dyDescent="0.25">
      <c r="C171" s="29"/>
      <c r="I171" s="30"/>
      <c r="O171" s="65"/>
      <c r="P171" s="65"/>
      <c r="Q171" s="60"/>
      <c r="R171" s="60"/>
      <c r="S171" s="65"/>
      <c r="T171" s="65"/>
    </row>
    <row r="172" spans="2:26" ht="15.75" thickBot="1" x14ac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/>
      <c r="W172" s="93"/>
      <c r="X172" s="93"/>
      <c r="Y172" s="93"/>
    </row>
    <row r="173" spans="2:26" ht="15" customHeight="1" x14ac:dyDescent="0.25"/>
    <row r="174" spans="2:26" ht="15" customHeight="1" thickBot="1" x14ac:dyDescent="0.3"/>
    <row r="175" spans="2:26" ht="15" customHeight="1" x14ac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2" t="s">
        <v>126</v>
      </c>
      <c r="X175" s="79"/>
      <c r="Y175" s="79"/>
      <c r="Z175" s="79"/>
    </row>
    <row r="176" spans="2:26" ht="15" customHeight="1" thickBot="1" x14ac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</row>
    <row r="177" spans="2:26" ht="10.5" customHeight="1" thickBot="1" x14ac:dyDescent="0.3"/>
    <row r="178" spans="2:26" ht="15" customHeight="1" thickBot="1" x14ac:dyDescent="0.3">
      <c r="J178" s="79" t="s">
        <v>2</v>
      </c>
      <c r="K178" s="79"/>
      <c r="L178" s="79"/>
      <c r="M178" s="80" t="str">
        <f>M4</f>
        <v>C1019</v>
      </c>
      <c r="N178" s="80"/>
      <c r="O178" s="80"/>
      <c r="P178" s="80"/>
    </row>
    <row r="179" spans="2:26" s="15" customFormat="1" ht="15" customHeight="1" thickBot="1" x14ac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/>
    </row>
    <row r="180" spans="2:26" s="15" customFormat="1" ht="8.25" customHeight="1" thickBot="1" x14ac:dyDescent="0.3">
      <c r="M180" s="38"/>
      <c r="N180" s="38"/>
      <c r="O180" s="38"/>
      <c r="P180" s="38"/>
    </row>
    <row r="181" spans="2:26" s="15" customFormat="1" ht="15" customHeight="1" thickBot="1" x14ac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/>
      <c r="W181" s="60"/>
      <c r="X181" s="23"/>
    </row>
    <row r="182" spans="2:26" s="15" customFormat="1" ht="10.5" customHeight="1" thickBot="1" x14ac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2:26" s="15" customFormat="1" ht="21" customHeight="1" thickBot="1" x14ac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 t="s">
        <v>8</v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x14ac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/>
      <c r="W184" s="14"/>
      <c r="X184" s="14"/>
      <c r="Y184" s="14"/>
      <c r="Z184" s="14"/>
    </row>
    <row r="185" spans="2:26" s="15" customFormat="1" ht="16.149999999999999" customHeight="1" thickBot="1" x14ac:dyDescent="0.3">
      <c r="B185" s="8"/>
      <c r="C185" s="11">
        <f>IF(ISTEXT(D185),MAX($C$10:C184)+1,"")</f>
        <v>59</v>
      </c>
      <c r="D185" s="66" t="s">
        <v>1606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 t="s">
        <v>72</v>
      </c>
      <c r="W185" s="14"/>
      <c r="X185" s="14"/>
      <c r="Y185" s="14"/>
      <c r="Z185" s="14"/>
    </row>
    <row r="186" spans="2:26" s="15" customFormat="1" ht="16.149999999999999" customHeight="1" thickBot="1" x14ac:dyDescent="0.3">
      <c r="B186" s="8"/>
      <c r="C186" s="11">
        <f>IF(ISTEXT(D186),MAX($C$10:C185)+1,"")</f>
        <v>60</v>
      </c>
      <c r="D186" s="66" t="s">
        <v>1607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 t="s">
        <v>129</v>
      </c>
      <c r="W186" s="14"/>
      <c r="X186" s="14"/>
      <c r="Y186" s="14"/>
      <c r="Z186" s="14"/>
    </row>
    <row r="187" spans="2:26" s="15" customFormat="1" ht="16.149999999999999" customHeight="1" thickBot="1" x14ac:dyDescent="0.3">
      <c r="B187" s="8"/>
      <c r="C187" s="11">
        <f>IF(ISTEXT(D187),MAX($C$10:C186)+1,"")</f>
        <v>61</v>
      </c>
      <c r="D187" s="66" t="s">
        <v>1608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 t="s">
        <v>129</v>
      </c>
      <c r="W187" s="14"/>
      <c r="X187" s="14"/>
      <c r="Y187" s="14"/>
      <c r="Z187" s="14"/>
    </row>
    <row r="188" spans="2:26" s="15" customFormat="1" ht="16.149999999999999" customHeight="1" thickBot="1" x14ac:dyDescent="0.3">
      <c r="B188" s="8"/>
      <c r="C188" s="11">
        <f>IF(ISTEXT(D188),MAX($C$10:C187)+1,"")</f>
        <v>62</v>
      </c>
      <c r="D188" s="66" t="s">
        <v>1613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 t="s">
        <v>52</v>
      </c>
      <c r="W188" s="14"/>
      <c r="X188" s="14"/>
      <c r="Y188" s="14"/>
      <c r="Z188" s="14"/>
    </row>
    <row r="189" spans="2:26" s="15" customFormat="1" ht="16.149999999999999" customHeight="1" thickBot="1" x14ac:dyDescent="0.3">
      <c r="B189" s="8"/>
      <c r="C189" s="11">
        <f>IF(ISTEXT(D189),MAX($C$10:C188)+1,"")</f>
        <v>63</v>
      </c>
      <c r="D189" s="66" t="s">
        <v>1304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 t="s">
        <v>129</v>
      </c>
      <c r="W189" s="14"/>
      <c r="X189" s="14"/>
      <c r="Y189" s="14"/>
      <c r="Z189" s="14"/>
    </row>
    <row r="190" spans="2:26" s="15" customFormat="1" ht="16.149999999999999" customHeight="1" thickBot="1" x14ac:dyDescent="0.3">
      <c r="B190" s="8"/>
      <c r="C190" s="11">
        <f>IF(ISTEXT(D190),MAX($C$10:C189)+1,"")</f>
        <v>64</v>
      </c>
      <c r="D190" s="66" t="s">
        <v>142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 t="s">
        <v>22</v>
      </c>
      <c r="W190" s="14"/>
      <c r="X190" s="14"/>
      <c r="Y190" s="14"/>
      <c r="Z190" s="14"/>
    </row>
    <row r="191" spans="2:26" ht="16.149999999999999" customHeight="1" thickBot="1" x14ac:dyDescent="0.3">
      <c r="B191" s="8"/>
      <c r="C191" s="11">
        <f>IF(ISTEXT(D191),MAX($C$10:C190)+1,"")</f>
        <v>65</v>
      </c>
      <c r="D191" s="66" t="s">
        <v>1614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 t="s">
        <v>76</v>
      </c>
      <c r="W191" s="14"/>
      <c r="X191" s="14"/>
      <c r="Y191" s="14"/>
      <c r="Z191" s="14"/>
    </row>
    <row r="192" spans="2:26" s="15" customFormat="1" ht="16.149999999999999" customHeight="1" thickBot="1" x14ac:dyDescent="0.3">
      <c r="B192" s="8"/>
      <c r="C192" s="11">
        <f>IF(ISTEXT(D192),MAX($C$10:C191)+1,"")</f>
        <v>66</v>
      </c>
      <c r="D192" s="66" t="s">
        <v>1380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 t="s">
        <v>22</v>
      </c>
      <c r="W192" s="14"/>
      <c r="X192" s="14"/>
      <c r="Y192" s="14"/>
      <c r="Z192" s="14"/>
    </row>
    <row r="193" spans="2:26" s="15" customFormat="1" ht="16.149999999999999" customHeight="1" thickBot="1" x14ac:dyDescent="0.3">
      <c r="B193" s="8"/>
      <c r="C193" s="11">
        <f>IF(ISTEXT(D193),MAX($C$10:C192)+1,"")</f>
        <v>67</v>
      </c>
      <c r="D193" s="70" t="s">
        <v>1616</v>
      </c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" t="s">
        <v>74</v>
      </c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/>
      <c r="W194" s="14"/>
      <c r="X194" s="14"/>
      <c r="Y194" s="14"/>
      <c r="Z194" s="14"/>
    </row>
    <row r="195" spans="2:26" s="15" customFormat="1" ht="15.95" customHeight="1" thickBot="1" x14ac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/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/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/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/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/>
      <c r="W199" s="14"/>
      <c r="X199" s="14"/>
      <c r="Y199" s="14"/>
      <c r="Z199" s="14"/>
    </row>
    <row r="200" spans="2:26" s="15" customFormat="1" ht="16.149999999999999" customHeight="1" thickBot="1" x14ac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/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/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/>
      <c r="W203" s="14"/>
      <c r="X203" s="14"/>
      <c r="Y203" s="14"/>
      <c r="Z203" s="14"/>
    </row>
    <row r="204" spans="2:26" s="15" customFormat="1" ht="16.149999999999999" customHeight="1" thickBot="1" x14ac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/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/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>
        <f>IF(ISTEXT(D207),MAX($C$10:C206)+1,"")</f>
        <v>68</v>
      </c>
      <c r="D207" s="66" t="s">
        <v>1600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 t="s">
        <v>72</v>
      </c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>
        <f>IF(ISTEXT(D208),MAX($C$10:C207)+1,"")</f>
        <v>69</v>
      </c>
      <c r="D208" s="66" t="s">
        <v>1610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 t="s">
        <v>22</v>
      </c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>
        <f>IF(ISTEXT(D209),MAX($C$10:C208)+1,"")</f>
        <v>70</v>
      </c>
      <c r="D209" s="66" t="s">
        <v>1611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 t="s">
        <v>22</v>
      </c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>
        <f>IF(ISTEXT(D210),MAX($C$10:C209)+1,"")</f>
        <v>71</v>
      </c>
      <c r="D210" s="66" t="s">
        <v>157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 t="s">
        <v>22</v>
      </c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>
        <f>IF(ISTEXT(D211),MAX($C$10:C210)+1,"")</f>
        <v>72</v>
      </c>
      <c r="D211" s="66" t="s">
        <v>1612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 t="s">
        <v>72</v>
      </c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>
        <f>IF(ISTEXT(D212),MAX($C$10:C211)+1,"")</f>
        <v>73</v>
      </c>
      <c r="D212" s="66" t="s">
        <v>1405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 t="s">
        <v>76</v>
      </c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/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 t="str">
        <f>IF(ISTEXT(D215),MAX($C$10:C214)+1,"")</f>
        <v/>
      </c>
      <c r="D215" s="66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/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/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/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/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/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/>
      <c r="W220" s="14"/>
      <c r="X220" s="14"/>
      <c r="Y220" s="14"/>
      <c r="Z220" s="14"/>
    </row>
    <row r="221" spans="2:26" ht="15" customHeight="1" x14ac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</row>
    <row r="222" spans="2:26" x14ac:dyDescent="0.25">
      <c r="B222" s="20"/>
      <c r="C222" s="21"/>
      <c r="O222" s="22"/>
      <c r="P222" s="22"/>
      <c r="Q222" s="23"/>
      <c r="R222" s="23"/>
      <c r="S222" s="22"/>
      <c r="T222" s="22"/>
    </row>
    <row r="223" spans="2:26" ht="15.75" thickBot="1" x14ac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</row>
    <row r="224" spans="2:26" ht="15" customHeight="1" x14ac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</row>
    <row r="225" spans="2:26" ht="18" customHeight="1" thickBot="1" x14ac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/>
      <c r="W225" s="63"/>
      <c r="X225" s="62"/>
      <c r="Y225" s="62"/>
    </row>
    <row r="226" spans="2:26" ht="18" customHeight="1" thickBot="1" x14ac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/>
      <c r="W226" s="1"/>
      <c r="X226" s="4"/>
      <c r="Y226" s="4"/>
    </row>
    <row r="227" spans="2:26" ht="18" customHeight="1" thickBot="1" x14ac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/>
      <c r="W227" s="1"/>
      <c r="X227" s="4"/>
      <c r="Y227" s="4"/>
    </row>
    <row r="228" spans="2:26" ht="15" customHeight="1" x14ac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2" t="s">
        <v>159</v>
      </c>
      <c r="X228" s="79"/>
      <c r="Y228" s="79"/>
      <c r="Z228" s="79"/>
    </row>
    <row r="229" spans="2:26" ht="15" customHeight="1" thickBot="1" x14ac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</row>
    <row r="230" spans="2:26" ht="10.5" customHeight="1" thickBot="1" x14ac:dyDescent="0.3"/>
    <row r="231" spans="2:26" ht="15" customHeight="1" thickBot="1" x14ac:dyDescent="0.3">
      <c r="J231" s="79" t="s">
        <v>2</v>
      </c>
      <c r="K231" s="79"/>
      <c r="L231" s="79"/>
      <c r="M231" s="80" t="str">
        <f>M4</f>
        <v>C1019</v>
      </c>
      <c r="N231" s="80"/>
      <c r="O231" s="80"/>
      <c r="P231" s="80"/>
    </row>
    <row r="232" spans="2:26" s="15" customFormat="1" ht="15" customHeight="1" thickBot="1" x14ac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/>
    </row>
    <row r="233" spans="2:26" s="15" customFormat="1" ht="8.25" customHeight="1" thickBot="1" x14ac:dyDescent="0.3">
      <c r="M233" s="38"/>
      <c r="N233" s="38"/>
      <c r="O233" s="38"/>
      <c r="P233" s="38"/>
    </row>
    <row r="234" spans="2:26" s="15" customFormat="1" ht="15" customHeight="1" thickBot="1" x14ac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/>
      <c r="W234" s="60"/>
      <c r="X234" s="23"/>
    </row>
    <row r="235" spans="2:26" s="15" customFormat="1" ht="10.5" customHeight="1" thickBot="1" x14ac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2:26" s="15" customFormat="1" ht="21" customHeight="1" thickBot="1" x14ac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 t="s">
        <v>8</v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x14ac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/>
      <c r="W237" s="14"/>
      <c r="X237" s="14"/>
      <c r="Y237" s="14"/>
      <c r="Z237" s="14"/>
    </row>
    <row r="238" spans="2:26" s="15" customFormat="1" ht="16.149999999999999" customHeight="1" thickBot="1" x14ac:dyDescent="0.3">
      <c r="B238" s="8"/>
      <c r="C238" s="11">
        <f>IF(ISTEXT(D238),MAX($C$10:C237)+1,"")</f>
        <v>74</v>
      </c>
      <c r="D238" s="66" t="s">
        <v>1600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 t="s">
        <v>72</v>
      </c>
      <c r="W238" s="14"/>
      <c r="X238" s="14"/>
      <c r="Y238" s="14"/>
      <c r="Z238" s="14"/>
    </row>
    <row r="239" spans="2:26" s="15" customFormat="1" ht="16.149999999999999" customHeight="1" thickBot="1" x14ac:dyDescent="0.3">
      <c r="B239" s="8"/>
      <c r="C239" s="11">
        <f>IF(ISTEXT(D239),MAX($C$10:C238)+1,"")</f>
        <v>75</v>
      </c>
      <c r="D239" s="66" t="s">
        <v>1601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 t="s">
        <v>22</v>
      </c>
      <c r="W239" s="14"/>
      <c r="X239" s="14"/>
      <c r="Y239" s="14"/>
      <c r="Z239" s="14"/>
    </row>
    <row r="240" spans="2:26" s="15" customFormat="1" ht="16.149999999999999" customHeight="1" thickBot="1" x14ac:dyDescent="0.3">
      <c r="B240" s="8"/>
      <c r="C240" s="11">
        <f>IF(ISTEXT(D240),MAX($C$10:C239)+1,"")</f>
        <v>76</v>
      </c>
      <c r="D240" s="66" t="s">
        <v>157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 t="s">
        <v>22</v>
      </c>
      <c r="W240" s="14"/>
      <c r="X240" s="14"/>
      <c r="Y240" s="14"/>
      <c r="Z240" s="14"/>
    </row>
    <row r="241" spans="2:26" s="15" customFormat="1" ht="16.149999999999999" customHeight="1" thickBot="1" x14ac:dyDescent="0.3">
      <c r="B241" s="8"/>
      <c r="C241" s="11">
        <f>IF(ISTEXT(D241),MAX($C$10:C240)+1,"")</f>
        <v>77</v>
      </c>
      <c r="D241" s="66" t="s">
        <v>1602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 t="s">
        <v>22</v>
      </c>
      <c r="W241" s="14"/>
      <c r="X241" s="14"/>
      <c r="Y241" s="14"/>
      <c r="Z241" s="14"/>
    </row>
    <row r="242" spans="2:26" s="15" customFormat="1" ht="16.149999999999999" customHeight="1" thickBot="1" x14ac:dyDescent="0.3">
      <c r="B242" s="8"/>
      <c r="C242" s="11">
        <f>IF(ISTEXT(D242),MAX($C$10:C241)+1,"")</f>
        <v>78</v>
      </c>
      <c r="D242" s="66" t="s">
        <v>1603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 t="s">
        <v>22</v>
      </c>
      <c r="W242" s="14"/>
      <c r="X242" s="14"/>
      <c r="Y242" s="14"/>
      <c r="Z242" s="14"/>
    </row>
    <row r="243" spans="2:26" s="15" customFormat="1" ht="16.149999999999999" customHeight="1" thickBot="1" x14ac:dyDescent="0.3">
      <c r="B243" s="8"/>
      <c r="C243" s="11">
        <f>IF(ISTEXT(D243),MAX($C$10:C242)+1,"")</f>
        <v>79</v>
      </c>
      <c r="D243" s="66" t="s">
        <v>1507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 t="s">
        <v>22</v>
      </c>
      <c r="W243" s="14"/>
      <c r="X243" s="14"/>
      <c r="Y243" s="14"/>
      <c r="Z243" s="14"/>
    </row>
    <row r="244" spans="2:26" s="15" customFormat="1" ht="16.149999999999999" customHeight="1" thickBot="1" x14ac:dyDescent="0.3">
      <c r="B244" s="8"/>
      <c r="C244" s="11">
        <f>IF(ISTEXT(D244),MAX($C$10:C243)+1,"")</f>
        <v>80</v>
      </c>
      <c r="D244" s="66" t="s">
        <v>1604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 t="s">
        <v>22</v>
      </c>
      <c r="W244" s="14"/>
      <c r="X244" s="14"/>
      <c r="Y244" s="14"/>
      <c r="Z244" s="14"/>
    </row>
    <row r="245" spans="2:26" ht="16.149999999999999" customHeight="1" thickBot="1" x14ac:dyDescent="0.3">
      <c r="B245" s="8"/>
      <c r="C245" s="11">
        <f>IF(ISTEXT(D245),MAX($C$10:C244)+1,"")</f>
        <v>81</v>
      </c>
      <c r="D245" s="66" t="s">
        <v>1605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 t="s">
        <v>72</v>
      </c>
      <c r="W245" s="14"/>
      <c r="X245" s="14"/>
      <c r="Y245" s="14"/>
      <c r="Z245" s="14"/>
    </row>
    <row r="246" spans="2:26" s="15" customFormat="1" ht="16.149999999999999" customHeight="1" thickBot="1" x14ac:dyDescent="0.3">
      <c r="B246" s="8"/>
      <c r="C246" s="11" t="str">
        <f>IF(ISTEXT(D246),MAX($C$10:C245)+1,"")</f>
        <v/>
      </c>
      <c r="D246" s="66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/>
      <c r="W246" s="14"/>
      <c r="X246" s="14"/>
      <c r="Y246" s="14"/>
      <c r="Z246" s="14"/>
    </row>
    <row r="247" spans="2:26" s="15" customFormat="1" ht="16.149999999999999" customHeight="1" thickBot="1" x14ac:dyDescent="0.3">
      <c r="B247" s="13"/>
      <c r="C247" s="11" t="str">
        <f>IF(ISTEXT(D247),MAX($C$10:C246)+1,"")</f>
        <v/>
      </c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/>
      <c r="W247" s="14"/>
      <c r="X247" s="14"/>
      <c r="Y247" s="14"/>
      <c r="Z247" s="14"/>
    </row>
    <row r="248" spans="2:26" s="15" customFormat="1" ht="16.149999999999999" customHeight="1" thickBot="1" x14ac:dyDescent="0.3">
      <c r="B248" s="13"/>
      <c r="C248" s="11"/>
      <c r="D248" s="73" t="s">
        <v>168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0"/>
      <c r="W248" s="14"/>
      <c r="X248" s="14"/>
      <c r="Y248" s="14"/>
      <c r="Z248" s="14"/>
    </row>
    <row r="249" spans="2:26" s="15" customFormat="1" ht="15.95" customHeight="1" thickBot="1" x14ac:dyDescent="0.3">
      <c r="B249" s="13"/>
      <c r="C249" s="11">
        <f>IF(ISTEXT(D249),MAX($C$10:C248)+1,"")</f>
        <v>82</v>
      </c>
      <c r="D249" s="66" t="s">
        <v>1609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 t="s">
        <v>129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13"/>
      <c r="C250" s="11">
        <f>IF(ISTEXT(D250),MAX($C$10:C249)+1,"")</f>
        <v>83</v>
      </c>
      <c r="D250" s="66" t="s">
        <v>1617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">
        <v>129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11">
        <f>IF(ISTEXT(D251),MAX($C$10:C250)+1,"")</f>
        <v>84</v>
      </c>
      <c r="D251" s="66" t="s">
        <v>1618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 t="s">
        <v>22</v>
      </c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>
        <f>IF(ISTEXT(D252),MAX($C$10:C251)+1,"")</f>
        <v>85</v>
      </c>
      <c r="D252" s="66" t="s">
        <v>1619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 t="s">
        <v>22</v>
      </c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86</v>
      </c>
      <c r="D253" s="66" t="s">
        <v>1620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 t="s">
        <v>74</v>
      </c>
      <c r="W253" s="14"/>
      <c r="X253" s="14"/>
      <c r="Y253" s="14"/>
      <c r="Z253" s="14"/>
    </row>
    <row r="254" spans="2:26" s="15" customFormat="1" ht="16.149999999999999" customHeight="1" thickBot="1" x14ac:dyDescent="0.3">
      <c r="B254" s="8"/>
      <c r="C254" s="44">
        <f>IF(ISTEXT(D254),MAX($C$10:C253)+1,"")</f>
        <v>87</v>
      </c>
      <c r="D254" s="66" t="s">
        <v>1653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 t="s">
        <v>22</v>
      </c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 t="str">
        <f>IF(ISTEXT(D255),MAX($C$10:C254)+1,"")</f>
        <v/>
      </c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/>
      <c r="W255" s="14"/>
      <c r="X255" s="14"/>
      <c r="Y255" s="14"/>
      <c r="Z255" s="14"/>
    </row>
    <row r="256" spans="2:26" s="15" customFormat="1" ht="16.149999999999999" customHeight="1" thickBot="1" x14ac:dyDescent="0.3">
      <c r="B256" s="8"/>
      <c r="C256" s="11" t="str">
        <f>IF(ISTEXT(D256),MAX($C$10:C255)+1,"")</f>
        <v/>
      </c>
      <c r="D256" s="70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/>
      <c r="W256" s="14"/>
      <c r="X256" s="14"/>
      <c r="Y256" s="14"/>
      <c r="Z256" s="14"/>
    </row>
    <row r="257" spans="2:26" s="15" customFormat="1" ht="16.149999999999999" customHeight="1" thickBot="1" x14ac:dyDescent="0.3">
      <c r="B257" s="8"/>
      <c r="C257" s="11" t="str">
        <f>IF(ISTEXT(D257),MAX($C$10:C256)+1,"")</f>
        <v/>
      </c>
      <c r="D257" s="70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/>
      <c r="W257" s="14"/>
      <c r="X257" s="14"/>
      <c r="Y257" s="14"/>
      <c r="Z257" s="14"/>
    </row>
    <row r="258" spans="2:26" s="15" customFormat="1" ht="16.149999999999999" customHeight="1" thickBot="1" x14ac:dyDescent="0.3">
      <c r="B258" s="8"/>
      <c r="C258" s="11" t="str">
        <f>IF(ISTEXT(D258),MAX($C$10:C257)+1,"")</f>
        <v/>
      </c>
      <c r="D258" s="70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/>
      <c r="W258" s="14"/>
      <c r="X258" s="14"/>
      <c r="Y258" s="14"/>
      <c r="Z258" s="14"/>
    </row>
    <row r="259" spans="2:26" s="15" customFormat="1" ht="16.149999999999999" customHeight="1" thickBot="1" x14ac:dyDescent="0.3">
      <c r="B259" s="8"/>
      <c r="C259" s="11" t="str">
        <f>IF(ISTEXT(D259),MAX($C$10:C258)+1,"")</f>
        <v/>
      </c>
      <c r="D259" s="70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/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11" t="str">
        <f>IF(ISTEXT(D260),MAX($C$10:C259)+1,"")</f>
        <v/>
      </c>
      <c r="D260" s="70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/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11" t="str">
        <f>IF(ISTEXT(D261),MAX($C$10:C260)+1,"")</f>
        <v/>
      </c>
      <c r="D261" s="70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11" t="str">
        <f>IF(ISTEXT(D262),MAX($C$10:C261)+1,"")</f>
        <v/>
      </c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 t="str">
        <f>IF(ISTEXT(D263),MAX($C$10:C262)+1,"")</f>
        <v/>
      </c>
      <c r="D263" s="70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 t="str">
        <f>IF(ISTEXT(D265),MAX($C$10:C264)+1,"")</f>
        <v/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/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/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/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/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/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/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88</v>
      </c>
      <c r="D271" s="66" t="s">
        <v>1632</v>
      </c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 t="s">
        <v>22</v>
      </c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89</v>
      </c>
      <c r="D272" s="66" t="s">
        <v>1639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 t="s">
        <v>76</v>
      </c>
      <c r="W272" s="14"/>
      <c r="X272" s="14"/>
      <c r="Y272" s="14"/>
      <c r="Z272" s="14"/>
    </row>
    <row r="273" spans="2:256" s="15" customFormat="1" ht="16.149999999999999" customHeight="1" thickBot="1" x14ac:dyDescent="0.3">
      <c r="B273" s="8"/>
      <c r="C273" s="11">
        <f>IF(ISTEXT(D273),MAX($C$10:C272)+1,"")</f>
        <v>90</v>
      </c>
      <c r="D273" s="66" t="s">
        <v>1660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 t="s">
        <v>76</v>
      </c>
      <c r="W273" s="14"/>
      <c r="X273" s="14"/>
      <c r="Y273" s="14"/>
      <c r="Z273" s="14"/>
    </row>
    <row r="274" spans="2:256" s="15" customFormat="1" ht="16.149999999999999" customHeight="1" thickBot="1" x14ac:dyDescent="0.3">
      <c r="B274" s="8"/>
      <c r="C274" s="11" t="str">
        <f>IF(ISTEXT(D274),MAX($C$10:C273)+1,"")</f>
        <v/>
      </c>
      <c r="D274" s="66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/>
      <c r="W274" s="14"/>
      <c r="X274" s="14"/>
      <c r="Y274" s="14"/>
      <c r="Z274" s="14"/>
    </row>
    <row r="275" spans="2:256" s="15" customFormat="1" ht="16.149999999999999" customHeight="1" thickBot="1" x14ac:dyDescent="0.3">
      <c r="B275" s="8"/>
      <c r="C275" s="11" t="str">
        <f>IF(ISTEXT(D275),MAX($C$10:C274)+1,"")</f>
        <v/>
      </c>
      <c r="D275" s="66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/>
      <c r="W275" s="14"/>
      <c r="X275" s="14"/>
      <c r="Y275" s="14"/>
      <c r="Z275" s="14"/>
    </row>
    <row r="276" spans="2:256" s="15" customFormat="1" ht="16.149999999999999" customHeight="1" thickBot="1" x14ac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/>
      <c r="W276" s="14"/>
      <c r="X276" s="14"/>
      <c r="Y276" s="14"/>
      <c r="Z276" s="14"/>
    </row>
    <row r="277" spans="2:256" ht="15" customHeight="1" x14ac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</row>
    <row r="278" spans="2:256" x14ac:dyDescent="0.25">
      <c r="B278" s="20"/>
      <c r="C278" s="21"/>
      <c r="O278" s="22"/>
      <c r="P278" s="22"/>
      <c r="Q278" s="23"/>
      <c r="R278" s="23"/>
      <c r="S278" s="22"/>
      <c r="T278" s="22"/>
    </row>
    <row r="279" spans="2:256" ht="15.75" thickBot="1" x14ac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</row>
    <row r="280" spans="2:256" ht="15" customHeight="1" x14ac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</row>
    <row r="281" spans="2:256" ht="18" customHeight="1" thickBot="1" x14ac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/>
      <c r="W281" s="63"/>
      <c r="X281" s="62"/>
      <c r="Y281" s="62"/>
    </row>
    <row r="282" spans="2:256" ht="20.100000000000001" customHeight="1" x14ac:dyDescent="0.25">
      <c r="B282" s="15"/>
      <c r="C282" s="15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x14ac:dyDescent="0.25">
      <c r="B283" s="15"/>
      <c r="C283" s="15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x14ac:dyDescent="0.25">
      <c r="B284" s="15"/>
      <c r="C284" s="15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x14ac:dyDescent="0.25">
      <c r="B285" s="15"/>
      <c r="C285" s="1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x14ac:dyDescent="0.25">
      <c r="B286" s="15"/>
      <c r="C286" s="15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x14ac:dyDescent="0.25">
      <c r="B287" s="15"/>
      <c r="C287" s="15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x14ac:dyDescent="0.25">
      <c r="B288" s="15"/>
      <c r="C288" s="15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x14ac:dyDescent="0.25">
      <c r="B289" s="15"/>
      <c r="C289" s="15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x14ac:dyDescent="0.25">
      <c r="B290" s="15"/>
      <c r="C290" s="15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x14ac:dyDescent="0.25"/>
    <row r="292" spans="2:256" s="15" customFormat="1" ht="15.95" customHeight="1" x14ac:dyDescent="0.25"/>
    <row r="293" spans="2:256" s="15" customFormat="1" ht="17.100000000000001" customHeight="1" x14ac:dyDescent="0.25"/>
    <row r="294" spans="2:256" s="15" customFormat="1" ht="18.95" customHeight="1" x14ac:dyDescent="0.25"/>
    <row r="295" spans="2:256" s="15" customFormat="1" ht="21" customHeight="1" x14ac:dyDescent="0.25"/>
    <row r="296" spans="2:256" s="15" customFormat="1" ht="16.149999999999999" customHeight="1" x14ac:dyDescent="0.25"/>
    <row r="297" spans="2:256" s="15" customFormat="1" ht="16.149999999999999" customHeight="1" x14ac:dyDescent="0.25"/>
    <row r="298" spans="2:256" s="15" customFormat="1" ht="16.149999999999999" customHeight="1" x14ac:dyDescent="0.25"/>
    <row r="299" spans="2:256" s="15" customFormat="1" ht="16.149999999999999" customHeight="1" x14ac:dyDescent="0.25"/>
    <row r="300" spans="2:256" s="15" customFormat="1" ht="16.149999999999999" customHeight="1" x14ac:dyDescent="0.25"/>
    <row r="301" spans="2:256" s="15" customFormat="1" ht="16.149999999999999" customHeight="1" x14ac:dyDescent="0.25"/>
    <row r="302" spans="2:256" s="15" customFormat="1" ht="16.149999999999999" customHeight="1" x14ac:dyDescent="0.25"/>
    <row r="303" spans="2:256" ht="16.149999999999999" customHeight="1" x14ac:dyDescent="0.25">
      <c r="B303" s="15"/>
      <c r="C303" s="15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x14ac:dyDescent="0.25"/>
    <row r="305" s="15" customFormat="1" ht="16.149999999999999" customHeight="1" x14ac:dyDescent="0.25"/>
    <row r="306" s="15" customFormat="1" ht="16.149999999999999" customHeight="1" x14ac:dyDescent="0.25"/>
    <row r="307" s="15" customFormat="1" ht="16.149999999999999" customHeight="1" x14ac:dyDescent="0.25"/>
    <row r="308" s="15" customFormat="1" ht="16.149999999999999" customHeight="1" x14ac:dyDescent="0.25"/>
    <row r="309" s="15" customFormat="1" ht="16.149999999999999" customHeight="1" x14ac:dyDescent="0.25"/>
    <row r="310" s="15" customFormat="1" ht="16.149999999999999" customHeight="1" x14ac:dyDescent="0.25"/>
    <row r="311" s="15" customFormat="1" ht="16.149999999999999" customHeight="1" x14ac:dyDescent="0.25"/>
    <row r="312" s="15" customFormat="1" ht="16.149999999999999" customHeight="1" x14ac:dyDescent="0.25"/>
    <row r="313" s="15" customFormat="1" ht="16.149999999999999" customHeight="1" x14ac:dyDescent="0.25"/>
    <row r="314" s="15" customFormat="1" ht="16.149999999999999" customHeight="1" x14ac:dyDescent="0.25"/>
    <row r="315" s="15" customFormat="1" ht="16.149999999999999" customHeight="1" x14ac:dyDescent="0.25"/>
    <row r="316" s="15" customFormat="1" ht="16.149999999999999" customHeight="1" x14ac:dyDescent="0.25"/>
    <row r="317" s="15" customFormat="1" ht="16.149999999999999" customHeight="1" x14ac:dyDescent="0.25"/>
    <row r="318" s="15" customFormat="1" ht="16.149999999999999" customHeight="1" x14ac:dyDescent="0.25"/>
    <row r="319" s="15" customFormat="1" ht="16.149999999999999" customHeight="1" x14ac:dyDescent="0.25"/>
    <row r="320" s="15" customFormat="1" ht="16.149999999999999" customHeight="1" x14ac:dyDescent="0.25"/>
    <row r="321" spans="2:256" s="15" customFormat="1" ht="16.149999999999999" customHeight="1" x14ac:dyDescent="0.25"/>
    <row r="322" spans="2:256" s="15" customFormat="1" ht="16.149999999999999" customHeight="1" x14ac:dyDescent="0.25"/>
    <row r="323" spans="2:256" s="15" customFormat="1" ht="16.149999999999999" customHeight="1" x14ac:dyDescent="0.25"/>
    <row r="324" spans="2:256" s="15" customFormat="1" ht="16.149999999999999" customHeight="1" x14ac:dyDescent="0.25"/>
    <row r="325" spans="2:256" s="15" customFormat="1" ht="16.149999999999999" customHeight="1" x14ac:dyDescent="0.25"/>
    <row r="326" spans="2:256" s="15" customFormat="1" ht="16.149999999999999" customHeight="1" x14ac:dyDescent="0.25"/>
    <row r="327" spans="2:256" s="15" customFormat="1" ht="16.149999999999999" customHeight="1" x14ac:dyDescent="0.25"/>
    <row r="328" spans="2:256" s="15" customFormat="1" ht="16.149999999999999" customHeight="1" x14ac:dyDescent="0.25"/>
    <row r="329" spans="2:256" s="15" customFormat="1" ht="16.149999999999999" customHeight="1" x14ac:dyDescent="0.25"/>
    <row r="330" spans="2:256" s="15" customFormat="1" ht="16.149999999999999" customHeight="1" x14ac:dyDescent="0.25"/>
    <row r="331" spans="2:256" s="15" customFormat="1" ht="16.149999999999999" customHeight="1" x14ac:dyDescent="0.25"/>
    <row r="332" spans="2:256" s="15" customFormat="1" ht="16.149999999999999" customHeight="1" x14ac:dyDescent="0.25"/>
    <row r="333" spans="2:256" s="15" customFormat="1" ht="16.149999999999999" customHeight="1" x14ac:dyDescent="0.25"/>
    <row r="334" spans="2:256" ht="15" customHeight="1" x14ac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x14ac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x14ac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x14ac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x14ac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x14ac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x14ac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x14ac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x14ac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wfgx1zxISJ7AZekb5fZ3y7cIfls6XPZqE5ISa/yOVq/N9Yoj5piqRCzoXlZzsjQH6IS3N+xAY8o73yDEud9K+Q==" saltValue="sfwvNF8ndeaa+x21Y0ynUQ==" spinCount="100000" sheet="1" formatCells="0" formatColumns="0" formatRows="0" insertColumns="0" insertRows="0" insertHyperlinks="0" deleteColumns="0" deleteRows="0" sort="0" autoFilter="0" pivotTables="0"/>
  <mergeCells count="322">
    <mergeCell ref="B281:J281"/>
    <mergeCell ref="K281:P281"/>
    <mergeCell ref="Q281:R281"/>
    <mergeCell ref="S281:U281"/>
    <mergeCell ref="V281:Y281"/>
    <mergeCell ref="B279:J279"/>
    <mergeCell ref="K279:P279"/>
    <mergeCell ref="Q279:R279"/>
    <mergeCell ref="S279:T279"/>
    <mergeCell ref="Q280:R280"/>
    <mergeCell ref="S280:T280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104:U104"/>
    <mergeCell ref="D105:U105"/>
    <mergeCell ref="D106:U106"/>
    <mergeCell ref="B107:T107"/>
    <mergeCell ref="B109:J109"/>
    <mergeCell ref="K109:P109"/>
    <mergeCell ref="Q109:R109"/>
    <mergeCell ref="S109:T109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xr:uid="{E3A682C1-4284-4998-9C3E-6C4B7AC56C73}">
          <x14:formula1>
            <xm:f>'Breakdown of areas'!$L:$L</xm:f>
          </x14:formula1>
          <xm:sqref>D271:U276</xm:sqref>
        </x14:dataValidation>
        <x14:dataValidation type="list" allowBlank="1" showInputMessage="1" xr:uid="{8FA2BFF0-96C4-49E3-A668-25002613988C}">
          <x14:formula1>
            <xm:f>'Breakdown of areas'!$J:$J</xm:f>
          </x14:formula1>
          <xm:sqref>D218:U218 D210:U215 D238:U239 D249:U250 D241:U247 D253:U254 D207:U208</xm:sqref>
        </x14:dataValidation>
        <x14:dataValidation type="list" allowBlank="1" showInputMessage="1" xr:uid="{D8A47DB5-8433-4EEF-9BAF-4CBF20EC329C}">
          <x14:formula1>
            <xm:f>'Breakdown of areas'!$I:$I</xm:f>
          </x14:formula1>
          <xm:sqref>D219:U220 D240:U240 D248:U248 D216:U217 D209:U209</xm:sqref>
        </x14:dataValidation>
        <x14:dataValidation type="list" allowBlank="1" showInputMessage="1" xr:uid="{2ADC33EE-EBD5-4668-ACD4-AC7FC9803174}">
          <x14:formula1>
            <xm:f>'Breakdown of areas'!$E:$E</xm:f>
          </x14:formula1>
          <xm:sqref>D73:U73 D141:U149 D152:U155 D157:U159</xm:sqref>
        </x14:dataValidation>
        <x14:dataValidation type="list" allowBlank="1" showInputMessage="1" xr:uid="{5484781E-2E98-4F79-A151-46A9601BE529}">
          <x14:formula1>
            <xm:f>'Breakdown of areas'!$D:$D</xm:f>
          </x14:formula1>
          <xm:sqref>D96:U100 D93:U93</xm:sqref>
        </x14:dataValidation>
        <x14:dataValidation type="list" allowBlank="1" showInputMessage="1" xr:uid="{9897AF6B-CB14-4AE7-A333-5FE12D05FD6F}">
          <x14:formula1>
            <xm:f>'Breakdown of areas'!$B:$B</xm:f>
          </x14:formula1>
          <xm:sqref>D70:U72 D74:U83 D106:U106 D85:U91 D35:U35 D127:U127 D140:U140 D150:U151</xm:sqref>
        </x14:dataValidation>
        <x14:dataValidation type="list" allowBlank="1" showInputMessage="1" xr:uid="{60B74325-1152-464E-91F8-6B75156A675A}">
          <x14:formula1>
            <xm:f>'Breakdown of areas'!$A:$A</xm:f>
          </x14:formula1>
          <xm:sqref>D48:U53 D12:U30 D34:U34 D36:U39 D193:U193</xm:sqref>
        </x14:dataValidation>
        <x14:dataValidation type="list" allowBlank="1" showInputMessage="1" xr:uid="{C8C72A63-95E8-4420-AE9D-CB400A16A2A4}">
          <x14:formula1>
            <xm:f>Common_Defect_List!$B$2:$B$5</xm:f>
          </x14:formula1>
          <xm:sqref>V11:V53 V123:V167 V238:V276 V185:V220 V72:V106</xm:sqref>
        </x14:dataValidation>
        <x14:dataValidation type="list" allowBlank="1" showInputMessage="1" xr:uid="{26581042-DBF0-4A35-BA7B-4BE79AB07149}">
          <x14:formula1>
            <xm:f>'Breakdown of areas'!$G:$G</xm:f>
          </x14:formula1>
          <xm:sqref>D94:U95 D138:U138 D124:U126 D128:U133</xm:sqref>
        </x14:dataValidation>
        <x14:dataValidation type="list" allowBlank="1" showInputMessage="1" xr:uid="{4CEF76CA-B9EE-4342-9DFD-21734A4DD2EE}">
          <x14:formula1>
            <xm:f>'Breakdown of areas'!$F:$F</xm:f>
          </x14:formula1>
          <xm:sqref>D163:U167 D160:U160</xm:sqref>
        </x14:dataValidation>
        <x14:dataValidation type="list" allowBlank="1" showInputMessage="1" xr:uid="{A5C42186-55BC-4968-A218-3A9573DBB516}">
          <x14:formula1>
            <xm:f>'Breakdown of areas'!$H:$H</xm:f>
          </x14:formula1>
          <xm:sqref>D31:U33 D196:U200 D205:U205 D185:U191</xm:sqref>
        </x14:dataValidation>
        <x14:dataValidation type="list" allowBlank="1" showInputMessage="1" xr:uid="{8B0C7875-068C-4A98-9E25-F3A9014D4CCC}">
          <x14:formula1>
            <xm:f>'Breakdown of areas'!$K:$K</xm:f>
          </x14:formula1>
          <xm:sqref>D268:U269 D256:U266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4621-53D1-4C78-8763-367935853192}">
  <sheetPr>
    <pageSetUpPr fitToPage="1"/>
  </sheetPr>
  <dimension ref="A1:IV391"/>
  <sheetViews>
    <sheetView view="pageBreakPreview" zoomScale="85" zoomScaleNormal="100" zoomScaleSheetLayoutView="85" workbookViewId="0">
      <selection activeCell="D266" sqref="D266:U266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1553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106</v>
      </c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0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0</v>
      </c>
    </row>
    <row r="11" spans="2:29" s="4" customFormat="1" ht="16.899999999999999" customHeight="1" thickBot="1" x14ac:dyDescent="0.3">
      <c r="B11" s="8"/>
      <c r="C11" s="11">
        <v>1</v>
      </c>
      <c r="D11" s="70" t="s">
        <v>1575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/>
      <c r="W11" s="10"/>
      <c r="X11" s="10"/>
      <c r="Y11" s="10"/>
      <c r="Z11" s="10"/>
      <c r="AB11" s="4" t="s">
        <v>1385</v>
      </c>
      <c r="AC11" s="4">
        <f>COUNTIF(V:V,"MECH")</f>
        <v>0</v>
      </c>
    </row>
    <row r="12" spans="2:29" s="4" customFormat="1" ht="16.350000000000001" customHeight="1" thickBot="1" x14ac:dyDescent="0.3">
      <c r="B12" s="8"/>
      <c r="C12" s="11">
        <v>2</v>
      </c>
      <c r="D12" s="70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/>
      <c r="W12" s="10"/>
      <c r="X12" s="10"/>
      <c r="Y12" s="10"/>
      <c r="Z12" s="10"/>
      <c r="AB12" s="4" t="s">
        <v>1386</v>
      </c>
      <c r="AC12" s="4">
        <f>AC8-AC9-AC10-AC11</f>
        <v>106</v>
      </c>
    </row>
    <row r="13" spans="2:29" s="4" customFormat="1" ht="16.350000000000001" customHeight="1" thickBot="1" x14ac:dyDescent="0.3">
      <c r="B13" s="8"/>
      <c r="C13" s="11"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/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v>4</v>
      </c>
      <c r="D14" s="70" t="s">
        <v>1576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/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/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v>6</v>
      </c>
      <c r="D16" s="70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/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/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v>8</v>
      </c>
      <c r="D18" s="70" t="s">
        <v>1577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/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v>9</v>
      </c>
      <c r="D19" s="70" t="s">
        <v>1578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/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v>10</v>
      </c>
      <c r="D20" s="70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/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v>11</v>
      </c>
      <c r="D21" s="70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/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v>12</v>
      </c>
      <c r="D22" s="70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/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v>13</v>
      </c>
      <c r="D23" s="70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/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v>14</v>
      </c>
      <c r="D24" s="70" t="s">
        <v>1579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/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v>15</v>
      </c>
      <c r="D25" s="70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/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v>16</v>
      </c>
      <c r="D26" s="70" t="s">
        <v>1580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/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v>17</v>
      </c>
      <c r="D27" s="70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/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v>18</v>
      </c>
      <c r="D28" s="70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/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v>19</v>
      </c>
      <c r="D29" s="70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/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v>20</v>
      </c>
      <c r="D30" s="70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/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v>21</v>
      </c>
      <c r="D31" s="66" t="s">
        <v>1572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10"/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v>22</v>
      </c>
      <c r="D32" s="66" t="s">
        <v>1573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8"/>
      <c r="V32" s="10"/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v>23</v>
      </c>
      <c r="D33" s="66" t="s">
        <v>1574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8"/>
      <c r="V33" s="10"/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>
        <v>24</v>
      </c>
      <c r="D34" s="70" t="s">
        <v>1582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/>
      <c r="W34" s="10"/>
      <c r="X34" s="10"/>
      <c r="Y34" s="10"/>
      <c r="Z34" s="10"/>
    </row>
    <row r="35" spans="2:26" s="4" customFormat="1" ht="16.350000000000001" customHeight="1" thickBot="1" x14ac:dyDescent="0.25">
      <c r="B35" s="8"/>
      <c r="C35" s="11">
        <v>25</v>
      </c>
      <c r="D35" s="95" t="s">
        <v>1585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10"/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>
        <v>26</v>
      </c>
      <c r="D36" s="70" t="s">
        <v>1597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/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>
        <v>27</v>
      </c>
      <c r="D37" s="70" t="s">
        <v>1554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/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/>
      <c r="D38" s="70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/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/>
      <c r="D39" s="70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/>
      <c r="W39" s="10"/>
      <c r="X39" s="10"/>
      <c r="Y39" s="10"/>
      <c r="Z39" s="10"/>
    </row>
    <row r="40" spans="2:26" s="4" customFormat="1" ht="15" customHeight="1" thickBot="1" x14ac:dyDescent="0.3">
      <c r="B40" s="8"/>
      <c r="C40" s="11"/>
      <c r="D40" s="70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/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/>
      <c r="D41" s="70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/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/>
      <c r="D42" s="70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/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/>
      <c r="D43" s="70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/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/>
      <c r="D44" s="70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/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/>
      <c r="D45" s="70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/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/>
      <c r="D46" s="70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/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/>
      <c r="D47" s="70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/>
      <c r="D48" s="70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5.95" customHeight="1" thickBot="1" x14ac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/>
      <c r="W50" s="10"/>
      <c r="X50" s="10"/>
      <c r="Y50" s="10"/>
      <c r="Z50" s="10"/>
    </row>
    <row r="51" spans="2:26" s="4" customFormat="1" ht="15.95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/>
      <c r="W53" s="10"/>
      <c r="X53" s="10"/>
      <c r="Y53" s="10"/>
      <c r="Z53" s="10"/>
    </row>
    <row r="54" spans="2:26" s="1" customFormat="1" ht="15" customHeight="1" x14ac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</row>
    <row r="55" spans="2:26" x14ac:dyDescent="0.25">
      <c r="B55" s="20"/>
      <c r="C55" s="21"/>
      <c r="O55" s="22"/>
      <c r="P55" s="22"/>
      <c r="Q55" s="23"/>
      <c r="R55" s="23"/>
      <c r="S55" s="22"/>
      <c r="T55" s="22"/>
    </row>
    <row r="56" spans="2:26" s="1" customFormat="1" ht="13.5" thickBot="1" x14ac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</row>
    <row r="57" spans="2:26" ht="15" customHeight="1" x14ac:dyDescent="0.25">
      <c r="C57" s="29"/>
      <c r="I57" s="30"/>
      <c r="O57" s="65"/>
      <c r="P57" s="65"/>
      <c r="Q57" s="60"/>
      <c r="R57" s="60"/>
      <c r="S57" s="65"/>
      <c r="T57" s="65"/>
    </row>
    <row r="58" spans="2:26" ht="18" customHeight="1" thickBot="1" x14ac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/>
      <c r="W58" s="62"/>
      <c r="X58" s="62"/>
      <c r="Y58" s="62"/>
    </row>
    <row r="59" spans="2:26" ht="15" customHeight="1" thickBot="1" x14ac:dyDescent="0.3"/>
    <row r="60" spans="2:26" ht="15" customHeight="1" x14ac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92" t="s">
        <v>65</v>
      </c>
      <c r="X60" s="79"/>
      <c r="Y60" s="79"/>
      <c r="Z60" s="79"/>
    </row>
    <row r="61" spans="2:26" ht="15" customHeight="1" thickBot="1" x14ac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</row>
    <row r="62" spans="2:26" ht="10.5" customHeight="1" thickBot="1" x14ac:dyDescent="0.3"/>
    <row r="63" spans="2:26" ht="15" customHeight="1" thickBot="1" x14ac:dyDescent="0.3">
      <c r="J63" s="79" t="s">
        <v>2</v>
      </c>
      <c r="K63" s="79"/>
      <c r="L63" s="79"/>
      <c r="M63" s="80" t="str">
        <f>M4</f>
        <v>C1018</v>
      </c>
      <c r="N63" s="80"/>
      <c r="O63" s="80"/>
      <c r="P63" s="80"/>
    </row>
    <row r="64" spans="2:26" s="15" customFormat="1" ht="15" customHeight="1" thickBot="1" x14ac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/>
    </row>
    <row r="65" spans="1:26" s="15" customFormat="1" ht="15.95" customHeight="1" thickBot="1" x14ac:dyDescent="0.3"/>
    <row r="66" spans="1:26" s="15" customFormat="1" ht="15" customHeight="1" thickBot="1" x14ac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/>
      <c r="W66" s="60"/>
      <c r="X66" s="23"/>
    </row>
    <row r="67" spans="1:26" s="15" customFormat="1" ht="15" customHeight="1" thickBot="1" x14ac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s="15" customFormat="1" ht="22.5" customHeight="1" thickBot="1" x14ac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 t="s">
        <v>8</v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x14ac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W69" s="14"/>
      <c r="X69" s="14"/>
      <c r="Y69" s="14"/>
      <c r="Z69" s="14"/>
    </row>
    <row r="70" spans="1:26" s="15" customFormat="1" ht="15.6" customHeight="1" thickBot="1" x14ac:dyDescent="0.25">
      <c r="B70" s="8"/>
      <c r="C70" s="11">
        <f>IF(ISTEXT(D70),MAX($C$10:C69)+1,"")</f>
        <v>28</v>
      </c>
      <c r="D70" s="95" t="s">
        <v>1583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W70" s="14"/>
      <c r="X70" s="14"/>
      <c r="Y70" s="14"/>
      <c r="Z70" s="14"/>
    </row>
    <row r="71" spans="1:26" s="15" customFormat="1" ht="15.6" customHeight="1" thickBot="1" x14ac:dyDescent="0.25">
      <c r="B71" s="8"/>
      <c r="C71" s="11">
        <f>IF(ISTEXT(D71),MAX($C$10:C70)+1,"")</f>
        <v>29</v>
      </c>
      <c r="D71" s="95" t="s">
        <v>1415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/>
      <c r="W71" s="14"/>
      <c r="X71" s="14"/>
      <c r="Y71" s="14"/>
      <c r="Z71" s="14"/>
    </row>
    <row r="72" spans="1:26" s="15" customFormat="1" ht="15.6" customHeight="1" thickBot="1" x14ac:dyDescent="0.25">
      <c r="B72" s="8"/>
      <c r="C72" s="11">
        <f>IF(ISTEXT(D72),MAX($C$10:C71)+1,"")</f>
        <v>30</v>
      </c>
      <c r="D72" s="95" t="s">
        <v>1490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/>
      <c r="W72" s="14"/>
      <c r="X72" s="14"/>
      <c r="Y72" s="14"/>
      <c r="Z72" s="14"/>
    </row>
    <row r="73" spans="1:26" s="15" customFormat="1" ht="16.149999999999999" customHeight="1" thickBot="1" x14ac:dyDescent="0.25">
      <c r="B73" s="8"/>
      <c r="C73" s="11">
        <f>IF(ISTEXT(D73),MAX($C$10:C72)+1,"")</f>
        <v>31</v>
      </c>
      <c r="D73" s="95" t="s">
        <v>80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/>
      <c r="W73" s="14"/>
      <c r="X73" s="14"/>
      <c r="Y73" s="14"/>
      <c r="Z73" s="14"/>
    </row>
    <row r="74" spans="1:26" s="15" customFormat="1" ht="16.149999999999999" customHeight="1" thickBot="1" x14ac:dyDescent="0.25">
      <c r="B74" s="8"/>
      <c r="C74" s="11">
        <f>IF(ISTEXT(D74),MAX($C$10:C73)+1,"")</f>
        <v>32</v>
      </c>
      <c r="D74" s="95" t="s">
        <v>1267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/>
      <c r="W74" s="14"/>
      <c r="X74" s="14"/>
      <c r="Y74" s="14"/>
      <c r="Z74" s="14"/>
    </row>
    <row r="75" spans="1:26" s="15" customFormat="1" ht="16.149999999999999" customHeight="1" thickBot="1" x14ac:dyDescent="0.25">
      <c r="B75" s="8"/>
      <c r="C75" s="11">
        <f>IF(ISTEXT(D75),MAX($C$10:C74)+1,"")</f>
        <v>33</v>
      </c>
      <c r="D75" s="95" t="s">
        <v>79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/>
      <c r="W75" s="14"/>
      <c r="X75" s="14"/>
      <c r="Y75" s="14"/>
      <c r="Z75" s="14"/>
    </row>
    <row r="76" spans="1:26" s="15" customFormat="1" ht="16.149999999999999" customHeight="1" thickBot="1" x14ac:dyDescent="0.25">
      <c r="B76" s="8"/>
      <c r="C76" s="11">
        <f>IF(ISTEXT(D76),MAX($C$10:C75)+1,"")</f>
        <v>34</v>
      </c>
      <c r="D76" s="95" t="s">
        <v>111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/>
      <c r="W76" s="14"/>
      <c r="X76" s="14"/>
      <c r="Y76" s="14"/>
      <c r="Z76" s="14"/>
    </row>
    <row r="77" spans="1:26" s="15" customFormat="1" ht="16.149999999999999" customHeight="1" thickBot="1" x14ac:dyDescent="0.25">
      <c r="B77" s="8"/>
      <c r="C77" s="11">
        <f>IF(ISTEXT(D77),MAX($C$10:C76)+1,"")</f>
        <v>35</v>
      </c>
      <c r="D77" s="95" t="s">
        <v>1584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/>
      <c r="W77" s="14"/>
      <c r="X77" s="14"/>
      <c r="Y77" s="14"/>
      <c r="Z77" s="14"/>
    </row>
    <row r="78" spans="1:26" ht="16.149999999999999" customHeight="1" thickBot="1" x14ac:dyDescent="0.3">
      <c r="B78" s="8"/>
      <c r="C78" s="11">
        <f>IF(ISTEXT(D78),MAX($C$10:C77)+1,"")</f>
        <v>36</v>
      </c>
      <c r="D78" s="95" t="s">
        <v>1264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/>
      <c r="W78" s="14"/>
      <c r="X78" s="14"/>
      <c r="Y78" s="14"/>
      <c r="Z78" s="14"/>
    </row>
    <row r="79" spans="1:26" s="15" customFormat="1" ht="16.149999999999999" customHeight="1" thickBot="1" x14ac:dyDescent="0.25">
      <c r="A79" s="36"/>
      <c r="B79" s="37"/>
      <c r="C79" s="11">
        <f>IF(ISTEXT(D79),MAX($C$10:C78)+1,"")</f>
        <v>37</v>
      </c>
      <c r="D79" s="95" t="s">
        <v>1585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/>
      <c r="W79" s="14"/>
      <c r="X79" s="14"/>
      <c r="Y79" s="14"/>
      <c r="Z79" s="14"/>
    </row>
    <row r="80" spans="1:26" s="15" customFormat="1" ht="16.149999999999999" customHeight="1" thickBot="1" x14ac:dyDescent="0.25">
      <c r="B80" s="8"/>
      <c r="C80" s="11">
        <f>IF(ISTEXT(D80),MAX($C$10:C79)+1,"")</f>
        <v>38</v>
      </c>
      <c r="D80" s="95" t="s">
        <v>1592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/>
      <c r="W80" s="14"/>
      <c r="X80" s="14"/>
      <c r="Y80" s="14"/>
      <c r="Z80" s="14"/>
    </row>
    <row r="81" spans="2:26" s="15" customFormat="1" ht="16.149999999999999" customHeight="1" thickBot="1" x14ac:dyDescent="0.25">
      <c r="B81" s="8"/>
      <c r="C81" s="11">
        <f>IF(ISTEXT(D81),MAX($C$10:C80)+1,"")</f>
        <v>39</v>
      </c>
      <c r="D81" s="95" t="s">
        <v>817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/>
      <c r="W81" s="14"/>
      <c r="X81" s="14"/>
      <c r="Y81" s="14"/>
      <c r="Z81" s="14"/>
    </row>
    <row r="82" spans="2:26" s="15" customFormat="1" ht="16.149999999999999" customHeight="1" thickBot="1" x14ac:dyDescent="0.25">
      <c r="B82" s="8"/>
      <c r="C82" s="11">
        <f>IF(ISTEXT(D82),MAX($C$10:C81)+1,"")</f>
        <v>40</v>
      </c>
      <c r="D82" s="95" t="s">
        <v>1593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/>
      <c r="W82" s="14"/>
      <c r="X82" s="14"/>
      <c r="Y82" s="14"/>
      <c r="Z82" s="14"/>
    </row>
    <row r="83" spans="2:26" s="15" customFormat="1" ht="16.149999999999999" customHeight="1" thickBot="1" x14ac:dyDescent="0.25">
      <c r="B83" s="8"/>
      <c r="C83" s="11">
        <f>IF(ISTEXT(D83),MAX($C$10:C82)+1,"")</f>
        <v>41</v>
      </c>
      <c r="D83" s="95" t="s">
        <v>108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/>
      <c r="W83" s="14"/>
      <c r="X83" s="14"/>
      <c r="Y83" s="14"/>
      <c r="Z83" s="14"/>
    </row>
    <row r="84" spans="2:26" s="15" customFormat="1" ht="16.149999999999999" customHeight="1" thickBot="1" x14ac:dyDescent="0.25">
      <c r="B84" s="8"/>
      <c r="C84" s="11">
        <f>IF(ISTEXT(D84),MAX($C$10:C83)+1,"")</f>
        <v>42</v>
      </c>
      <c r="D84" s="95" t="s">
        <v>1594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0"/>
      <c r="W84" s="14"/>
      <c r="X84" s="14"/>
      <c r="Y84" s="14"/>
      <c r="Z84" s="14"/>
    </row>
    <row r="85" spans="2:26" s="15" customFormat="1" ht="16.149999999999999" customHeight="1" thickBot="1" x14ac:dyDescent="0.25">
      <c r="B85" s="8"/>
      <c r="C85" s="11" t="str">
        <f>IF(ISTEXT(D85),MAX($C$10:C84)+1,"")</f>
        <v/>
      </c>
      <c r="D85" s="95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/>
      <c r="W85" s="14"/>
      <c r="X85" s="14"/>
      <c r="Y85" s="14"/>
      <c r="Z85" s="14"/>
    </row>
    <row r="86" spans="2:26" s="15" customFormat="1" ht="16.149999999999999" customHeight="1" thickBot="1" x14ac:dyDescent="0.25">
      <c r="B86" s="8"/>
      <c r="C86" s="11" t="str">
        <f>IF(ISTEXT(D86),MAX($C$10:C85)+1,"")</f>
        <v/>
      </c>
      <c r="D86" s="95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/>
      <c r="W86" s="14"/>
      <c r="X86" s="14"/>
      <c r="Y86" s="14"/>
      <c r="Z86" s="14"/>
    </row>
    <row r="87" spans="2:26" s="15" customFormat="1" ht="16.149999999999999" customHeight="1" thickBot="1" x14ac:dyDescent="0.25">
      <c r="B87" s="8"/>
      <c r="C87" s="11" t="str">
        <f>IF(ISTEXT(D87),MAX($C$10:C86)+1,"")</f>
        <v/>
      </c>
      <c r="D87" s="95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/>
      <c r="W87" s="14"/>
      <c r="X87" s="14"/>
      <c r="Y87" s="14"/>
      <c r="Z87" s="14"/>
    </row>
    <row r="88" spans="2:26" s="15" customFormat="1" ht="16.149999999999999" customHeight="1" thickBot="1" x14ac:dyDescent="0.25">
      <c r="B88" s="8"/>
      <c r="C88" s="11" t="str">
        <f>IF(ISTEXT(D88),MAX($C$10:C87)+1,"")</f>
        <v/>
      </c>
      <c r="D88" s="95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/>
      <c r="W88" s="14"/>
      <c r="X88" s="14"/>
      <c r="Y88" s="14"/>
      <c r="Z88" s="14"/>
    </row>
    <row r="89" spans="2:26" s="15" customFormat="1" ht="16.149999999999999" customHeight="1" thickBot="1" x14ac:dyDescent="0.25">
      <c r="B89" s="8"/>
      <c r="C89" s="11" t="str">
        <f>IF(ISTEXT(D89),MAX($C$10:C88)+1,"")</f>
        <v/>
      </c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/>
      <c r="W89" s="14"/>
      <c r="X89" s="14"/>
      <c r="Y89" s="14"/>
      <c r="Z89" s="14"/>
    </row>
    <row r="90" spans="2:26" s="15" customFormat="1" ht="15.95" customHeight="1" thickBot="1" x14ac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/>
      <c r="W90" s="14"/>
      <c r="X90" s="14"/>
      <c r="Y90" s="14"/>
      <c r="Z90" s="14"/>
    </row>
    <row r="91" spans="2:26" s="15" customFormat="1" ht="16.149999999999999" customHeight="1" thickBot="1" x14ac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/>
      <c r="W91" s="14"/>
      <c r="X91" s="14"/>
      <c r="Y91" s="14"/>
      <c r="Z91" s="14"/>
    </row>
    <row r="92" spans="2:26" s="15" customFormat="1" ht="16.149999999999999" customHeight="1" thickBot="1" x14ac:dyDescent="0.3">
      <c r="B92" s="8"/>
      <c r="C92" s="11"/>
      <c r="D92" s="73" t="s">
        <v>92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5"/>
      <c r="V92" s="10"/>
      <c r="W92" s="14"/>
      <c r="X92" s="14"/>
      <c r="Y92" s="14"/>
      <c r="Z92" s="14"/>
    </row>
    <row r="93" spans="2:26" s="15" customFormat="1" ht="16.149999999999999" customHeight="1" thickBot="1" x14ac:dyDescent="0.3">
      <c r="B93" s="8"/>
      <c r="C93" s="11">
        <f>IF(ISTEXT(D93),MAX($C$10:C92)+1,"")</f>
        <v>43</v>
      </c>
      <c r="D93" s="70" t="s">
        <v>108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/>
      <c r="W93" s="14"/>
      <c r="X93" s="14"/>
      <c r="Y93" s="14"/>
      <c r="Z93" s="14"/>
    </row>
    <row r="94" spans="2:26" s="15" customFormat="1" ht="16.149999999999999" customHeight="1" thickBot="1" x14ac:dyDescent="0.3">
      <c r="B94" s="8"/>
      <c r="C94" s="11">
        <f>IF(ISTEXT(D94),MAX($C$10:C93)+1,"")</f>
        <v>44</v>
      </c>
      <c r="D94" s="70" t="s">
        <v>1595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/>
      <c r="W94" s="14"/>
      <c r="X94" s="14"/>
      <c r="Y94" s="14"/>
      <c r="Z94" s="14"/>
    </row>
    <row r="95" spans="2:26" s="15" customFormat="1" ht="16.149999999999999" customHeight="1" thickBot="1" x14ac:dyDescent="0.3">
      <c r="B95" s="8"/>
      <c r="C95" s="11">
        <f>IF(ISTEXT(D95),MAX($C$10:C94)+1,"")</f>
        <v>45</v>
      </c>
      <c r="D95" s="70" t="s">
        <v>1596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/>
      <c r="W95" s="14"/>
      <c r="X95" s="14"/>
      <c r="Y95" s="14"/>
      <c r="Z95" s="14"/>
    </row>
    <row r="96" spans="2:26" s="15" customFormat="1" ht="16.149999999999999" customHeight="1" thickBot="1" x14ac:dyDescent="0.3">
      <c r="B96" s="8"/>
      <c r="C96" s="11">
        <f>IF(ISTEXT(D96),MAX($C$10:C95)+1,"")</f>
        <v>46</v>
      </c>
      <c r="D96" s="70" t="s">
        <v>1482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/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>
        <f>IF(ISTEXT(D97),MAX($C$10:C96)+1,"")</f>
        <v>47</v>
      </c>
      <c r="D97" s="70" t="s">
        <v>1267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/>
      <c r="W97" s="14"/>
      <c r="X97" s="14"/>
      <c r="Y97" s="14"/>
      <c r="Z97" s="14"/>
    </row>
    <row r="98" spans="2:26" s="15" customFormat="1" ht="19.149999999999999" customHeight="1" thickBot="1" x14ac:dyDescent="0.3">
      <c r="B98" s="8"/>
      <c r="C98" s="11">
        <f>IF(ISTEXT(D98),MAX($C$10:C97)+1,"")</f>
        <v>48</v>
      </c>
      <c r="D98" s="70" t="s">
        <v>79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/>
      <c r="W98" s="14"/>
      <c r="X98" s="14"/>
      <c r="Y98" s="14"/>
      <c r="Z98" s="14"/>
    </row>
    <row r="99" spans="2:26" s="15" customFormat="1" ht="16.149999999999999" customHeight="1" thickBot="1" x14ac:dyDescent="0.3">
      <c r="B99" s="8"/>
      <c r="C99" s="11">
        <f>IF(ISTEXT(D99),MAX($C$10:C98)+1,"")</f>
        <v>49</v>
      </c>
      <c r="D99" s="70" t="s">
        <v>111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/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50</v>
      </c>
      <c r="D100" s="70" t="s">
        <v>80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/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51</v>
      </c>
      <c r="D101" s="70" t="s">
        <v>1590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/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 t="str">
        <f>IF(ISTEXT(D102),MAX($C$10:C101)+1,"")</f>
        <v/>
      </c>
      <c r="D102" s="70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/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 t="str">
        <f>IF(ISTEXT(D103),MAX($C$10:C102)+1,"")</f>
        <v/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/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 t="str">
        <f>IF(ISTEXT(D104),MAX($C$10:C103)+1,"")</f>
        <v/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/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/>
      <c r="W105" s="14"/>
      <c r="X105" s="14"/>
      <c r="Y105" s="14"/>
      <c r="Z105" s="14"/>
    </row>
    <row r="106" spans="2:26" s="15" customFormat="1" ht="16.149999999999999" customHeight="1" thickBot="1" x14ac:dyDescent="0.25">
      <c r="B106" s="8"/>
      <c r="C106" s="11" t="str">
        <f>IF(ISTEXT(D106),MAX($C$10:C105)+1,"")</f>
        <v/>
      </c>
      <c r="D106" s="9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/>
      <c r="W106" s="14"/>
      <c r="X106" s="14"/>
      <c r="Y106" s="14"/>
      <c r="Z106" s="14"/>
    </row>
    <row r="107" spans="2:26" ht="15" customHeight="1" x14ac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</row>
    <row r="108" spans="2:26" x14ac:dyDescent="0.25">
      <c r="B108" s="20"/>
      <c r="C108" s="21"/>
      <c r="O108" s="22"/>
      <c r="P108" s="22"/>
      <c r="Q108" s="23"/>
      <c r="R108" s="23"/>
      <c r="S108" s="22"/>
      <c r="T108" s="22"/>
    </row>
    <row r="109" spans="2:26" ht="15.75" thickBot="1" x14ac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</row>
    <row r="110" spans="2:26" ht="15" customHeight="1" x14ac:dyDescent="0.25">
      <c r="C110" s="29"/>
      <c r="I110" s="30"/>
      <c r="O110" s="65"/>
      <c r="P110" s="65"/>
      <c r="Q110" s="60"/>
      <c r="R110" s="60"/>
      <c r="S110" s="65"/>
      <c r="T110" s="65"/>
    </row>
    <row r="111" spans="2:26" ht="18" customHeight="1" thickBot="1" x14ac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/>
      <c r="W111" s="62"/>
      <c r="X111" s="62"/>
      <c r="Y111" s="62"/>
    </row>
    <row r="112" spans="2:26" ht="15" customHeight="1" x14ac:dyDescent="0.25"/>
    <row r="113" spans="2:26" ht="15" customHeight="1" thickBot="1" x14ac:dyDescent="0.3"/>
    <row r="114" spans="2:26" ht="15" customHeight="1" x14ac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2" t="s">
        <v>99</v>
      </c>
      <c r="X114" s="79"/>
      <c r="Y114" s="79"/>
      <c r="Z114" s="79"/>
    </row>
    <row r="115" spans="2:26" ht="15" customHeight="1" thickBot="1" x14ac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</row>
    <row r="116" spans="2:26" ht="10.5" customHeight="1" thickBot="1" x14ac:dyDescent="0.3"/>
    <row r="117" spans="2:26" ht="15" customHeight="1" thickBot="1" x14ac:dyDescent="0.3">
      <c r="J117" s="79" t="s">
        <v>2</v>
      </c>
      <c r="K117" s="79"/>
      <c r="L117" s="79"/>
      <c r="M117" s="80" t="str">
        <f>M4</f>
        <v>C1018</v>
      </c>
      <c r="N117" s="80"/>
      <c r="O117" s="80"/>
      <c r="P117" s="80"/>
    </row>
    <row r="118" spans="2:26" s="15" customFormat="1" ht="15" customHeight="1" thickBot="1" x14ac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/>
    </row>
    <row r="119" spans="2:26" s="15" customFormat="1" ht="17.100000000000001" customHeight="1" thickBot="1" x14ac:dyDescent="0.3"/>
    <row r="120" spans="2:26" s="15" customFormat="1" ht="15" customHeight="1" thickBot="1" x14ac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/>
      <c r="W120" s="60"/>
      <c r="X120" s="23"/>
    </row>
    <row r="121" spans="2:26" s="15" customFormat="1" ht="10.5" customHeight="1" thickBot="1" x14ac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2:26" s="15" customFormat="1" ht="21" customHeight="1" thickBot="1" x14ac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 t="s">
        <v>8</v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x14ac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/>
      <c r="W123" s="14"/>
      <c r="X123" s="14"/>
      <c r="Y123" s="14"/>
      <c r="Z123" s="14"/>
    </row>
    <row r="124" spans="2:26" s="15" customFormat="1" ht="16.149999999999999" customHeight="1" thickBot="1" x14ac:dyDescent="0.3">
      <c r="B124" s="8"/>
      <c r="C124" s="11">
        <f>IF(ISTEXT(D124),MAX($C$10:C123)+1,"")</f>
        <v>52</v>
      </c>
      <c r="D124" s="70" t="s">
        <v>79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/>
      <c r="W124" s="14"/>
      <c r="X124" s="14"/>
      <c r="Y124" s="14"/>
      <c r="Z124" s="14"/>
    </row>
    <row r="125" spans="2:26" s="15" customFormat="1" ht="16.149999999999999" customHeight="1" thickBot="1" x14ac:dyDescent="0.3">
      <c r="B125" s="8"/>
      <c r="C125" s="11">
        <f>IF(ISTEXT(D125),MAX($C$10:C124)+1,"")</f>
        <v>53</v>
      </c>
      <c r="D125" s="70" t="s">
        <v>111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/>
      <c r="W125" s="14"/>
      <c r="X125" s="14"/>
      <c r="Y125" s="14"/>
      <c r="Z125" s="14"/>
    </row>
    <row r="126" spans="2:26" s="15" customFormat="1" ht="16.149999999999999" customHeight="1" thickBot="1" x14ac:dyDescent="0.3">
      <c r="B126" s="8"/>
      <c r="C126" s="11">
        <f>IF(ISTEXT(D126),MAX($C$10:C125)+1,"")</f>
        <v>54</v>
      </c>
      <c r="D126" s="70" t="s">
        <v>80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/>
      <c r="W126" s="14"/>
      <c r="X126" s="14"/>
      <c r="Y126" s="14"/>
      <c r="Z126" s="14"/>
    </row>
    <row r="127" spans="2:26" s="15" customFormat="1" ht="16.149999999999999" customHeight="1" thickBot="1" x14ac:dyDescent="0.25">
      <c r="B127" s="8"/>
      <c r="C127" s="11">
        <f>IF(ISTEXT(D127),MAX($C$10:C126)+1,"")</f>
        <v>55</v>
      </c>
      <c r="D127" s="95" t="s">
        <v>1585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10"/>
      <c r="W127" s="14"/>
      <c r="X127" s="14"/>
      <c r="Y127" s="14"/>
      <c r="Z127" s="14"/>
    </row>
    <row r="128" spans="2:26" s="15" customFormat="1" ht="16.149999999999999" customHeight="1" thickBot="1" x14ac:dyDescent="0.3">
      <c r="B128" s="8"/>
      <c r="C128" s="11">
        <f>IF(ISTEXT(D128),MAX($C$10:C127)+1,"")</f>
        <v>56</v>
      </c>
      <c r="D128" s="70" t="s">
        <v>1591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/>
      <c r="W128" s="14"/>
      <c r="X128" s="14"/>
      <c r="Y128" s="14"/>
      <c r="Z128" s="14"/>
    </row>
    <row r="129" spans="2:26" s="15" customFormat="1" ht="16.149999999999999" customHeight="1" thickBot="1" x14ac:dyDescent="0.3">
      <c r="B129" s="8"/>
      <c r="C129" s="11">
        <f>IF(ISTEXT(D129),MAX($C$10:C128)+1,"")</f>
        <v>57</v>
      </c>
      <c r="D129" s="70" t="s">
        <v>108</v>
      </c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/>
      <c r="W129" s="14"/>
      <c r="X129" s="14"/>
      <c r="Y129" s="14"/>
      <c r="Z129" s="14"/>
    </row>
    <row r="130" spans="2:26" ht="16.149999999999999" customHeight="1" thickBot="1" x14ac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/>
      <c r="W130" s="14"/>
      <c r="X130" s="14"/>
      <c r="Y130" s="14"/>
      <c r="Z130" s="14"/>
    </row>
    <row r="131" spans="2:26" s="15" customFormat="1" ht="16.149999999999999" customHeight="1" thickBot="1" x14ac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/>
      <c r="W131" s="14"/>
      <c r="X131" s="14"/>
      <c r="Y131" s="14"/>
      <c r="Z131" s="14"/>
    </row>
    <row r="132" spans="2:26" s="15" customFormat="1" ht="16.149999999999999" customHeight="1" thickBot="1" x14ac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/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/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/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/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/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/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/>
      <c r="W138" s="14"/>
      <c r="X138" s="14"/>
      <c r="Y138" s="14"/>
      <c r="Z138" s="14"/>
    </row>
    <row r="139" spans="2:26" ht="16.5" thickBot="1" x14ac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/>
      <c r="W139" s="14"/>
      <c r="X139" s="14"/>
      <c r="Y139" s="14"/>
      <c r="Z139" s="14"/>
    </row>
    <row r="140" spans="2:26" s="15" customFormat="1" ht="16.149999999999999" customHeight="1" thickBot="1" x14ac:dyDescent="0.25">
      <c r="B140" s="8"/>
      <c r="C140" s="11">
        <f>IF(ISTEXT(D140),MAX($C$10:C139)+1,"")</f>
        <v>58</v>
      </c>
      <c r="D140" s="95" t="s">
        <v>1585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10"/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>
        <f>IF(ISTEXT(D141),MAX($C$10:C140)+1,"")</f>
        <v>59</v>
      </c>
      <c r="D141" s="70" t="s">
        <v>79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/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60</v>
      </c>
      <c r="D142" s="70" t="s">
        <v>111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/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61</v>
      </c>
      <c r="D143" s="70" t="s">
        <v>80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/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62</v>
      </c>
      <c r="D144" s="70" t="s">
        <v>1586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/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>
        <f>IF(ISTEXT(D145),MAX($C$10:C144)+1,"")</f>
        <v>63</v>
      </c>
      <c r="D145" s="70" t="s">
        <v>1415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/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>
        <f>IF(ISTEXT(D146),MAX($C$10:C145)+1,"")</f>
        <v>64</v>
      </c>
      <c r="D146" s="70" t="s">
        <v>1414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/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>
        <f>IF(ISTEXT(D147),MAX($C$10:C146)+1,"")</f>
        <v>65</v>
      </c>
      <c r="D147" s="70" t="s">
        <v>1540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/>
      <c r="W147" s="14"/>
      <c r="X147" s="14"/>
      <c r="Y147" s="14"/>
      <c r="Z147" s="14"/>
    </row>
    <row r="148" spans="2:26" s="15" customFormat="1" ht="16.149999999999999" customHeight="1" thickBot="1" x14ac:dyDescent="0.3">
      <c r="B148" s="8"/>
      <c r="C148" s="11">
        <f>IF(ISTEXT(D148),MAX($C$10:C147)+1,"")</f>
        <v>66</v>
      </c>
      <c r="D148" s="70" t="s">
        <v>1587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/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67</v>
      </c>
      <c r="D149" s="70" t="s">
        <v>1588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/>
      <c r="W149" s="14"/>
      <c r="X149" s="14"/>
      <c r="Y149" s="14"/>
      <c r="Z149" s="14"/>
    </row>
    <row r="150" spans="2:26" s="15" customFormat="1" ht="16.149999999999999" customHeight="1" thickBot="1" x14ac:dyDescent="0.25">
      <c r="B150" s="8"/>
      <c r="C150" s="11">
        <f>IF(ISTEXT(D150),MAX($C$10:C149)+1,"")</f>
        <v>68</v>
      </c>
      <c r="D150" s="95" t="s">
        <v>1584</v>
      </c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10"/>
      <c r="W150" s="14"/>
      <c r="X150" s="14"/>
      <c r="Y150" s="14"/>
      <c r="Z150" s="14"/>
    </row>
    <row r="151" spans="2:26" s="15" customFormat="1" ht="16.149999999999999" customHeight="1" thickBot="1" x14ac:dyDescent="0.25">
      <c r="B151" s="8"/>
      <c r="C151" s="11" t="str">
        <f>IF(ISTEXT(D151),MAX($C$10:C150)+1,"")</f>
        <v/>
      </c>
      <c r="D151" s="95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10"/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/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/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/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/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69</v>
      </c>
      <c r="D157" s="70" t="s">
        <v>1483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/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70</v>
      </c>
      <c r="D158" s="70" t="s">
        <v>1589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/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>
        <f>IF(ISTEXT(D159),MAX($C$10:C158)+1,"")</f>
        <v>71</v>
      </c>
      <c r="D159" s="70" t="s">
        <v>1590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/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/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/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/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/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/>
      <c r="W167" s="14"/>
      <c r="X167" s="14"/>
      <c r="Y167" s="14"/>
      <c r="Z167" s="14"/>
    </row>
    <row r="168" spans="2:26" ht="15" customHeight="1" x14ac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</row>
    <row r="169" spans="2:26" x14ac:dyDescent="0.25">
      <c r="B169" s="20"/>
      <c r="C169" s="21"/>
      <c r="O169" s="22"/>
      <c r="P169" s="22"/>
      <c r="Q169" s="23"/>
      <c r="R169" s="23"/>
      <c r="S169" s="22"/>
      <c r="T169" s="22"/>
    </row>
    <row r="170" spans="2:26" ht="15.75" thickBot="1" x14ac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</row>
    <row r="171" spans="2:26" ht="15" customHeight="1" x14ac:dyDescent="0.25">
      <c r="C171" s="29"/>
      <c r="I171" s="30"/>
      <c r="O171" s="65"/>
      <c r="P171" s="65"/>
      <c r="Q171" s="60"/>
      <c r="R171" s="60"/>
      <c r="S171" s="65"/>
      <c r="T171" s="65"/>
    </row>
    <row r="172" spans="2:26" ht="15.75" thickBot="1" x14ac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/>
      <c r="W172" s="93"/>
      <c r="X172" s="93"/>
      <c r="Y172" s="93"/>
    </row>
    <row r="173" spans="2:26" ht="15" customHeight="1" x14ac:dyDescent="0.25"/>
    <row r="174" spans="2:26" ht="15" customHeight="1" thickBot="1" x14ac:dyDescent="0.3"/>
    <row r="175" spans="2:26" ht="15" customHeight="1" x14ac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2" t="s">
        <v>126</v>
      </c>
      <c r="X175" s="79"/>
      <c r="Y175" s="79"/>
      <c r="Z175" s="79"/>
    </row>
    <row r="176" spans="2:26" ht="15" customHeight="1" thickBot="1" x14ac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</row>
    <row r="177" spans="2:26" ht="10.5" customHeight="1" thickBot="1" x14ac:dyDescent="0.3"/>
    <row r="178" spans="2:26" ht="15" customHeight="1" thickBot="1" x14ac:dyDescent="0.3">
      <c r="J178" s="79" t="s">
        <v>2</v>
      </c>
      <c r="K178" s="79"/>
      <c r="L178" s="79"/>
      <c r="M178" s="80" t="str">
        <f>M4</f>
        <v>C1018</v>
      </c>
      <c r="N178" s="80"/>
      <c r="O178" s="80"/>
      <c r="P178" s="80"/>
    </row>
    <row r="179" spans="2:26" s="15" customFormat="1" ht="15" customHeight="1" thickBot="1" x14ac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/>
    </row>
    <row r="180" spans="2:26" s="15" customFormat="1" ht="8.25" customHeight="1" thickBot="1" x14ac:dyDescent="0.3">
      <c r="M180" s="38"/>
      <c r="N180" s="38"/>
      <c r="O180" s="38"/>
      <c r="P180" s="38"/>
    </row>
    <row r="181" spans="2:26" s="15" customFormat="1" ht="15" customHeight="1" thickBot="1" x14ac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/>
      <c r="W181" s="60"/>
      <c r="X181" s="23"/>
    </row>
    <row r="182" spans="2:26" s="15" customFormat="1" ht="10.5" customHeight="1" thickBot="1" x14ac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2:26" s="15" customFormat="1" ht="21" customHeight="1" thickBot="1" x14ac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 t="s">
        <v>8</v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x14ac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/>
      <c r="W184" s="14"/>
      <c r="X184" s="14"/>
      <c r="Y184" s="14"/>
      <c r="Z184" s="14"/>
    </row>
    <row r="185" spans="2:26" s="15" customFormat="1" ht="16.149999999999999" customHeight="1" thickBot="1" x14ac:dyDescent="0.3">
      <c r="B185" s="8"/>
      <c r="C185" s="11">
        <f>IF(ISTEXT(D185),MAX($C$10:C184)+1,"")</f>
        <v>72</v>
      </c>
      <c r="D185" s="66" t="s">
        <v>267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/>
      <c r="W185" s="14"/>
      <c r="X185" s="14"/>
      <c r="Y185" s="14"/>
      <c r="Z185" s="14"/>
    </row>
    <row r="186" spans="2:26" s="15" customFormat="1" ht="16.149999999999999" customHeight="1" thickBot="1" x14ac:dyDescent="0.3">
      <c r="B186" s="8"/>
      <c r="C186" s="11">
        <f>IF(ISTEXT(D186),MAX($C$10:C185)+1,"")</f>
        <v>73</v>
      </c>
      <c r="D186" s="66" t="s">
        <v>1568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/>
      <c r="W186" s="14"/>
      <c r="X186" s="14"/>
      <c r="Y186" s="14"/>
      <c r="Z186" s="14"/>
    </row>
    <row r="187" spans="2:26" s="15" customFormat="1" ht="16.149999999999999" customHeight="1" thickBot="1" x14ac:dyDescent="0.3">
      <c r="B187" s="8"/>
      <c r="C187" s="11">
        <f>IF(ISTEXT(D187),MAX($C$10:C186)+1,"")</f>
        <v>74</v>
      </c>
      <c r="D187" s="66" t="s">
        <v>1511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/>
      <c r="W187" s="14"/>
      <c r="X187" s="14"/>
      <c r="Y187" s="14"/>
      <c r="Z187" s="14"/>
    </row>
    <row r="188" spans="2:26" s="15" customFormat="1" ht="16.149999999999999" customHeight="1" thickBot="1" x14ac:dyDescent="0.3">
      <c r="B188" s="8"/>
      <c r="C188" s="11">
        <f>IF(ISTEXT(D188),MAX($C$10:C187)+1,"")</f>
        <v>75</v>
      </c>
      <c r="D188" s="66" t="s">
        <v>1569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/>
      <c r="W188" s="14"/>
      <c r="X188" s="14"/>
      <c r="Y188" s="14"/>
      <c r="Z188" s="14"/>
    </row>
    <row r="189" spans="2:26" s="15" customFormat="1" ht="16.149999999999999" customHeight="1" thickBot="1" x14ac:dyDescent="0.3">
      <c r="B189" s="8"/>
      <c r="C189" s="11">
        <f>IF(ISTEXT(D189),MAX($C$10:C188)+1,"")</f>
        <v>76</v>
      </c>
      <c r="D189" s="66" t="s">
        <v>1571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/>
      <c r="W189" s="14"/>
      <c r="X189" s="14"/>
      <c r="Y189" s="14"/>
      <c r="Z189" s="14"/>
    </row>
    <row r="190" spans="2:26" s="15" customFormat="1" ht="16.149999999999999" customHeight="1" thickBot="1" x14ac:dyDescent="0.3">
      <c r="B190" s="8"/>
      <c r="C190" s="11">
        <f>IF(ISTEXT(D190),MAX($C$10:C189)+1,"")</f>
        <v>77</v>
      </c>
      <c r="D190" s="66" t="s">
        <v>1570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/>
      <c r="W190" s="14"/>
      <c r="X190" s="14"/>
      <c r="Y190" s="14"/>
      <c r="Z190" s="14"/>
    </row>
    <row r="191" spans="2:26" ht="16.149999999999999" customHeight="1" thickBot="1" x14ac:dyDescent="0.3">
      <c r="B191" s="8"/>
      <c r="C191" s="11">
        <f>IF(ISTEXT(D191),MAX($C$10:C190)+1,"")</f>
        <v>78</v>
      </c>
      <c r="D191" s="66" t="s">
        <v>1581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/>
      <c r="W191" s="14"/>
      <c r="X191" s="14"/>
      <c r="Y191" s="14"/>
      <c r="Z191" s="14"/>
    </row>
    <row r="192" spans="2:26" s="15" customFormat="1" ht="16.149999999999999" customHeight="1" thickBot="1" x14ac:dyDescent="0.3">
      <c r="B192" s="8"/>
      <c r="C192" s="11">
        <f>IF(ISTEXT(D192),MAX($C$10:C191)+1,"")</f>
        <v>79</v>
      </c>
      <c r="D192" s="66" t="s">
        <v>1527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/>
      <c r="W192" s="14"/>
      <c r="X192" s="14"/>
      <c r="Y192" s="14"/>
      <c r="Z192" s="14"/>
    </row>
    <row r="193" spans="2:26" s="15" customFormat="1" ht="16.149999999999999" customHeight="1" thickBot="1" x14ac:dyDescent="0.3">
      <c r="B193" s="8"/>
      <c r="C193" s="11" t="str">
        <f>IF(ISTEXT(D193),MAX($C$10:C192)+1,"")</f>
        <v/>
      </c>
      <c r="D193" s="66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/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/>
      <c r="W194" s="14"/>
      <c r="X194" s="14"/>
      <c r="Y194" s="14"/>
      <c r="Z194" s="14"/>
    </row>
    <row r="195" spans="2:26" s="15" customFormat="1" ht="15.95" customHeight="1" thickBot="1" x14ac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/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/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/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/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/>
      <c r="W199" s="14"/>
      <c r="X199" s="14"/>
      <c r="Y199" s="14"/>
      <c r="Z199" s="14"/>
    </row>
    <row r="200" spans="2:26" s="15" customFormat="1" ht="16.149999999999999" customHeight="1" thickBot="1" x14ac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/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/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/>
      <c r="W203" s="14"/>
      <c r="X203" s="14"/>
      <c r="Y203" s="14"/>
      <c r="Z203" s="14"/>
    </row>
    <row r="204" spans="2:26" s="15" customFormat="1" ht="16.149999999999999" customHeight="1" thickBot="1" x14ac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/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/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>
        <f>IF(ISTEXT(D207),MAX($C$10:C206)+1,"")</f>
        <v>80</v>
      </c>
      <c r="D207" s="66" t="s">
        <v>157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/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>
        <f>IF(ISTEXT(D208),MAX($C$10:C207)+1,"")</f>
        <v>81</v>
      </c>
      <c r="D208" s="66" t="s">
        <v>1275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/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>
        <f>IF(ISTEXT(D209),MAX($C$10:C208)+1,"")</f>
        <v>82</v>
      </c>
      <c r="D209" s="66" t="s">
        <v>1566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/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>
        <f>IF(ISTEXT(D210),MAX($C$10:C209)+1,"")</f>
        <v>83</v>
      </c>
      <c r="D210" s="66" t="s">
        <v>1567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/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 t="str">
        <f>IF(ISTEXT(D211),MAX($C$10:C210)+1,"")</f>
        <v/>
      </c>
      <c r="D211" s="66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/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 t="str">
        <f>IF(ISTEXT(D212),MAX($C$10:C211)+1,"")</f>
        <v/>
      </c>
      <c r="D212" s="66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/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/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 t="str">
        <f>IF(ISTEXT(D215),MAX($C$10:C214)+1,"")</f>
        <v/>
      </c>
      <c r="D215" s="66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/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/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/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/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/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/>
      <c r="W220" s="14"/>
      <c r="X220" s="14"/>
      <c r="Y220" s="14"/>
      <c r="Z220" s="14"/>
    </row>
    <row r="221" spans="2:26" ht="15" customHeight="1" x14ac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</row>
    <row r="222" spans="2:26" x14ac:dyDescent="0.25">
      <c r="B222" s="20"/>
      <c r="C222" s="21"/>
      <c r="O222" s="22"/>
      <c r="P222" s="22"/>
      <c r="Q222" s="23"/>
      <c r="R222" s="23"/>
      <c r="S222" s="22"/>
      <c r="T222" s="22"/>
    </row>
    <row r="223" spans="2:26" ht="15.75" thickBot="1" x14ac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</row>
    <row r="224" spans="2:26" ht="15" customHeight="1" x14ac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</row>
    <row r="225" spans="2:26" ht="18" customHeight="1" thickBot="1" x14ac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/>
      <c r="W225" s="63"/>
      <c r="X225" s="62"/>
      <c r="Y225" s="62"/>
    </row>
    <row r="226" spans="2:26" ht="18" customHeight="1" thickBot="1" x14ac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/>
      <c r="W226" s="1"/>
      <c r="X226" s="4"/>
      <c r="Y226" s="4"/>
    </row>
    <row r="227" spans="2:26" ht="18" customHeight="1" thickBot="1" x14ac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/>
      <c r="W227" s="1"/>
      <c r="X227" s="4"/>
      <c r="Y227" s="4"/>
    </row>
    <row r="228" spans="2:26" ht="15" customHeight="1" x14ac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2" t="s">
        <v>159</v>
      </c>
      <c r="X228" s="79"/>
      <c r="Y228" s="79"/>
      <c r="Z228" s="79"/>
    </row>
    <row r="229" spans="2:26" ht="15" customHeight="1" thickBot="1" x14ac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</row>
    <row r="230" spans="2:26" ht="10.5" customHeight="1" thickBot="1" x14ac:dyDescent="0.3"/>
    <row r="231" spans="2:26" ht="15" customHeight="1" thickBot="1" x14ac:dyDescent="0.3">
      <c r="J231" s="79" t="s">
        <v>2</v>
      </c>
      <c r="K231" s="79"/>
      <c r="L231" s="79"/>
      <c r="M231" s="80" t="str">
        <f>M4</f>
        <v>C1018</v>
      </c>
      <c r="N231" s="80"/>
      <c r="O231" s="80"/>
      <c r="P231" s="80"/>
    </row>
    <row r="232" spans="2:26" s="15" customFormat="1" ht="15" customHeight="1" thickBot="1" x14ac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/>
    </row>
    <row r="233" spans="2:26" s="15" customFormat="1" ht="8.25" customHeight="1" thickBot="1" x14ac:dyDescent="0.3">
      <c r="M233" s="38"/>
      <c r="N233" s="38"/>
      <c r="O233" s="38"/>
      <c r="P233" s="38"/>
    </row>
    <row r="234" spans="2:26" s="15" customFormat="1" ht="15" customHeight="1" thickBot="1" x14ac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/>
      <c r="W234" s="60"/>
      <c r="X234" s="23"/>
    </row>
    <row r="235" spans="2:26" s="15" customFormat="1" ht="10.5" customHeight="1" thickBot="1" x14ac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2:26" s="15" customFormat="1" ht="21" customHeight="1" thickBot="1" x14ac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 t="s">
        <v>8</v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x14ac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/>
      <c r="W237" s="14"/>
      <c r="X237" s="14"/>
      <c r="Y237" s="14"/>
      <c r="Z237" s="14"/>
    </row>
    <row r="238" spans="2:26" s="15" customFormat="1" ht="16.149999999999999" customHeight="1" thickBot="1" x14ac:dyDescent="0.3">
      <c r="B238" s="8"/>
      <c r="C238" s="11">
        <f>IF(ISTEXT(D238),MAX($C$10:C237)+1,"")</f>
        <v>84</v>
      </c>
      <c r="D238" s="66" t="s">
        <v>157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/>
      <c r="W238" s="14"/>
      <c r="X238" s="14"/>
      <c r="Y238" s="14"/>
      <c r="Z238" s="14"/>
    </row>
    <row r="239" spans="2:26" s="15" customFormat="1" ht="16.149999999999999" customHeight="1" thickBot="1" x14ac:dyDescent="0.3">
      <c r="B239" s="8"/>
      <c r="C239" s="11">
        <f>IF(ISTEXT(D239),MAX($C$10:C238)+1,"")</f>
        <v>85</v>
      </c>
      <c r="D239" s="66" t="s">
        <v>1275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/>
      <c r="W239" s="14"/>
      <c r="X239" s="14"/>
      <c r="Y239" s="14"/>
      <c r="Z239" s="14"/>
    </row>
    <row r="240" spans="2:26" s="15" customFormat="1" ht="16.149999999999999" customHeight="1" thickBot="1" x14ac:dyDescent="0.3">
      <c r="B240" s="8"/>
      <c r="C240" s="11">
        <f>IF(ISTEXT(D240),MAX($C$10:C239)+1,"")</f>
        <v>86</v>
      </c>
      <c r="D240" s="66" t="s">
        <v>1563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/>
      <c r="W240" s="14"/>
      <c r="X240" s="14"/>
      <c r="Y240" s="14"/>
      <c r="Z240" s="14"/>
    </row>
    <row r="241" spans="2:26" s="15" customFormat="1" ht="16.149999999999999" customHeight="1" thickBot="1" x14ac:dyDescent="0.3">
      <c r="B241" s="8"/>
      <c r="C241" s="11">
        <f>IF(ISTEXT(D241),MAX($C$10:C240)+1,"")</f>
        <v>87</v>
      </c>
      <c r="D241" s="66" t="s">
        <v>1506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/>
      <c r="W241" s="14"/>
      <c r="X241" s="14"/>
      <c r="Y241" s="14"/>
      <c r="Z241" s="14"/>
    </row>
    <row r="242" spans="2:26" s="15" customFormat="1" ht="16.149999999999999" customHeight="1" thickBot="1" x14ac:dyDescent="0.3">
      <c r="B242" s="8"/>
      <c r="C242" s="11">
        <f>IF(ISTEXT(D242),MAX($C$10:C241)+1,"")</f>
        <v>88</v>
      </c>
      <c r="D242" s="66" t="s">
        <v>1507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/>
      <c r="W242" s="14"/>
      <c r="X242" s="14"/>
      <c r="Y242" s="14"/>
      <c r="Z242" s="14"/>
    </row>
    <row r="243" spans="2:26" s="15" customFormat="1" ht="16.149999999999999" customHeight="1" thickBot="1" x14ac:dyDescent="0.3">
      <c r="B243" s="8"/>
      <c r="C243" s="11">
        <f>IF(ISTEXT(D243),MAX($C$10:C242)+1,"")</f>
        <v>89</v>
      </c>
      <c r="D243" s="66" t="s">
        <v>1564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/>
      <c r="W243" s="14"/>
      <c r="X243" s="14"/>
      <c r="Y243" s="14"/>
      <c r="Z243" s="14"/>
    </row>
    <row r="244" spans="2:26" s="15" customFormat="1" ht="16.149999999999999" customHeight="1" thickBot="1" x14ac:dyDescent="0.3">
      <c r="B244" s="8"/>
      <c r="C244" s="11">
        <f>IF(ISTEXT(D244),MAX($C$10:C243)+1,"")</f>
        <v>90</v>
      </c>
      <c r="D244" s="66" t="s">
        <v>1565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/>
      <c r="W244" s="14"/>
      <c r="X244" s="14"/>
      <c r="Y244" s="14"/>
      <c r="Z244" s="14"/>
    </row>
    <row r="245" spans="2:26" ht="16.149999999999999" customHeight="1" thickBot="1" x14ac:dyDescent="0.3">
      <c r="B245" s="8"/>
      <c r="C245" s="11">
        <f>IF(ISTEXT(D245),MAX($C$10:C244)+1,"")</f>
        <v>91</v>
      </c>
      <c r="D245" s="66" t="s">
        <v>1567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/>
      <c r="W245" s="14"/>
      <c r="X245" s="14"/>
      <c r="Y245" s="14"/>
      <c r="Z245" s="14"/>
    </row>
    <row r="246" spans="2:26" s="15" customFormat="1" ht="16.149999999999999" customHeight="1" thickBot="1" x14ac:dyDescent="0.3">
      <c r="B246" s="8"/>
      <c r="C246" s="11" t="str">
        <f>IF(ISTEXT(D246),MAX($C$10:C245)+1,"")</f>
        <v/>
      </c>
      <c r="D246" s="66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/>
      <c r="W246" s="14"/>
      <c r="X246" s="14"/>
      <c r="Y246" s="14"/>
      <c r="Z246" s="14"/>
    </row>
    <row r="247" spans="2:26" s="15" customFormat="1" ht="16.149999999999999" customHeight="1" thickBot="1" x14ac:dyDescent="0.3">
      <c r="B247" s="13"/>
      <c r="C247" s="11" t="str">
        <f>IF(ISTEXT(D247),MAX($C$10:C246)+1,"")</f>
        <v/>
      </c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/>
      <c r="W247" s="14"/>
      <c r="X247" s="14"/>
      <c r="Y247" s="14"/>
      <c r="Z247" s="14"/>
    </row>
    <row r="248" spans="2:26" s="15" customFormat="1" ht="16.149999999999999" customHeight="1" thickBot="1" x14ac:dyDescent="0.3">
      <c r="B248" s="13"/>
      <c r="C248" s="11"/>
      <c r="D248" s="73" t="s">
        <v>168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0"/>
      <c r="W248" s="14"/>
      <c r="X248" s="14"/>
      <c r="Y248" s="14"/>
      <c r="Z248" s="14"/>
    </row>
    <row r="249" spans="2:26" s="15" customFormat="1" ht="15.95" customHeight="1" thickBot="1" x14ac:dyDescent="0.3">
      <c r="B249" s="13"/>
      <c r="C249" s="11">
        <f>IF(ISTEXT(D249),MAX($C$10:C248)+1,"")</f>
        <v>92</v>
      </c>
      <c r="D249" s="66" t="s">
        <v>1556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/>
      <c r="W249" s="14"/>
      <c r="X249" s="14"/>
      <c r="Y249" s="14"/>
      <c r="Z249" s="14"/>
    </row>
    <row r="250" spans="2:26" s="15" customFormat="1" ht="16.149999999999999" customHeight="1" thickBot="1" x14ac:dyDescent="0.3">
      <c r="B250" s="13"/>
      <c r="C250" s="11">
        <f>IF(ISTEXT(D250),MAX($C$10:C249)+1,"")</f>
        <v>93</v>
      </c>
      <c r="D250" s="66" t="s">
        <v>1557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/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11">
        <f>IF(ISTEXT(D251),MAX($C$10:C250)+1,"")</f>
        <v>94</v>
      </c>
      <c r="D251" s="66" t="s">
        <v>1555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/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>
        <f>IF(ISTEXT(D252),MAX($C$10:C251)+1,"")</f>
        <v>95</v>
      </c>
      <c r="D252" s="66" t="s">
        <v>303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/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96</v>
      </c>
      <c r="D253" s="66" t="s">
        <v>1558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/>
      <c r="W253" s="14"/>
      <c r="X253" s="14"/>
      <c r="Y253" s="14"/>
      <c r="Z253" s="14"/>
    </row>
    <row r="254" spans="2:26" s="15" customFormat="1" ht="16.149999999999999" customHeight="1" thickBot="1" x14ac:dyDescent="0.3">
      <c r="B254" s="8"/>
      <c r="C254" s="44">
        <f>IF(ISTEXT(D254),MAX($C$10:C253)+1,"")</f>
        <v>97</v>
      </c>
      <c r="D254" s="66" t="s">
        <v>1559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/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>
        <f>IF(ISTEXT(D255),MAX($C$10:C254)+1,"")</f>
        <v>98</v>
      </c>
      <c r="D255" s="66" t="s">
        <v>1560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/>
      <c r="W255" s="14"/>
      <c r="X255" s="14"/>
      <c r="Y255" s="14"/>
      <c r="Z255" s="14"/>
    </row>
    <row r="256" spans="2:26" s="15" customFormat="1" ht="16.149999999999999" customHeight="1" thickBot="1" x14ac:dyDescent="0.3">
      <c r="B256" s="8"/>
      <c r="C256" s="11">
        <f>IF(ISTEXT(D256),MAX($C$10:C255)+1,"")</f>
        <v>99</v>
      </c>
      <c r="D256" s="70" t="s">
        <v>1561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/>
      <c r="W256" s="14"/>
      <c r="X256" s="14"/>
      <c r="Y256" s="14"/>
      <c r="Z256" s="14"/>
    </row>
    <row r="257" spans="2:26" s="15" customFormat="1" ht="16.149999999999999" customHeight="1" thickBot="1" x14ac:dyDescent="0.3">
      <c r="B257" s="8"/>
      <c r="C257" s="11">
        <f>IF(ISTEXT(D257),MAX($C$10:C256)+1,"")</f>
        <v>100</v>
      </c>
      <c r="D257" s="70" t="s">
        <v>1562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/>
      <c r="W257" s="14"/>
      <c r="X257" s="14"/>
      <c r="Y257" s="14"/>
      <c r="Z257" s="14"/>
    </row>
    <row r="258" spans="2:26" s="15" customFormat="1" ht="16.149999999999999" customHeight="1" thickBot="1" x14ac:dyDescent="0.3">
      <c r="B258" s="8"/>
      <c r="C258" s="11">
        <f>IF(ISTEXT(D258),MAX($C$10:C257)+1,"")</f>
        <v>101</v>
      </c>
      <c r="D258" s="70" t="s">
        <v>1303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/>
      <c r="W258" s="14"/>
      <c r="X258" s="14"/>
      <c r="Y258" s="14"/>
      <c r="Z258" s="14"/>
    </row>
    <row r="259" spans="2:26" s="15" customFormat="1" ht="16.149999999999999" customHeight="1" thickBot="1" x14ac:dyDescent="0.3">
      <c r="B259" s="8"/>
      <c r="C259" s="11">
        <f>IF(ISTEXT(D259),MAX($C$10:C258)+1,"")</f>
        <v>102</v>
      </c>
      <c r="D259" s="70" t="s">
        <v>1518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/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11">
        <f>IF(ISTEXT(D260),MAX($C$10:C259)+1,"")</f>
        <v>103</v>
      </c>
      <c r="D260" s="70" t="s">
        <v>1514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/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11" t="str">
        <f>IF(ISTEXT(D261),MAX($C$10:C260)+1,"")</f>
        <v/>
      </c>
      <c r="D261" s="70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11" t="str">
        <f>IF(ISTEXT(D262),MAX($C$10:C261)+1,"")</f>
        <v/>
      </c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 t="str">
        <f>IF(ISTEXT(D263),MAX($C$10:C262)+1,"")</f>
        <v/>
      </c>
      <c r="D263" s="70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 t="str">
        <f>IF(ISTEXT(D265),MAX($C$10:C264)+1,"")</f>
        <v/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/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/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/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/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/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/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 t="str">
        <f>IF(ISTEXT(D271),MAX($C$10:C270)+1,"")</f>
        <v/>
      </c>
      <c r="D271" s="66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/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 t="str">
        <f>IF(ISTEXT(D272),MAX($C$10:C271)+1,"")</f>
        <v/>
      </c>
      <c r="D272" s="66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/>
      <c r="W272" s="14"/>
      <c r="X272" s="14"/>
      <c r="Y272" s="14"/>
      <c r="Z272" s="14"/>
    </row>
    <row r="273" spans="2:256" s="15" customFormat="1" ht="16.149999999999999" customHeight="1" thickBot="1" x14ac:dyDescent="0.3">
      <c r="B273" s="8"/>
      <c r="C273" s="11">
        <f>IF(ISTEXT(D273),MAX($C$10:C272)+1,"")</f>
        <v>104</v>
      </c>
      <c r="D273" s="66" t="s">
        <v>1485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/>
      <c r="W273" s="14"/>
      <c r="X273" s="14"/>
      <c r="Y273" s="14"/>
      <c r="Z273" s="14"/>
    </row>
    <row r="274" spans="2:256" s="15" customFormat="1" ht="16.149999999999999" customHeight="1" thickBot="1" x14ac:dyDescent="0.3">
      <c r="B274" s="8"/>
      <c r="C274" s="11">
        <f>IF(ISTEXT(D274),MAX($C$10:C273)+1,"")</f>
        <v>105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/>
      <c r="W274" s="14"/>
      <c r="X274" s="14"/>
      <c r="Y274" s="14"/>
      <c r="Z274" s="14"/>
    </row>
    <row r="275" spans="2:256" s="15" customFormat="1" ht="16.149999999999999" customHeight="1" thickBot="1" x14ac:dyDescent="0.3">
      <c r="B275" s="8"/>
      <c r="C275" s="11">
        <f>IF(ISTEXT(D275),MAX($C$10:C274)+1,"")</f>
        <v>106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/>
      <c r="W275" s="14"/>
      <c r="X275" s="14"/>
      <c r="Y275" s="14"/>
      <c r="Z275" s="14"/>
    </row>
    <row r="276" spans="2:256" s="15" customFormat="1" ht="16.149999999999999" customHeight="1" thickBot="1" x14ac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/>
      <c r="W276" s="14"/>
      <c r="X276" s="14"/>
      <c r="Y276" s="14"/>
      <c r="Z276" s="14"/>
    </row>
    <row r="277" spans="2:256" ht="15" customHeight="1" x14ac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</row>
    <row r="278" spans="2:256" x14ac:dyDescent="0.25">
      <c r="B278" s="20"/>
      <c r="C278" s="21"/>
      <c r="O278" s="22"/>
      <c r="P278" s="22"/>
      <c r="Q278" s="23"/>
      <c r="R278" s="23"/>
      <c r="S278" s="22"/>
      <c r="T278" s="22"/>
    </row>
    <row r="279" spans="2:256" ht="15.75" thickBot="1" x14ac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</row>
    <row r="280" spans="2:256" ht="15" customHeight="1" x14ac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</row>
    <row r="281" spans="2:256" ht="18" customHeight="1" thickBot="1" x14ac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/>
      <c r="W281" s="63"/>
      <c r="X281" s="62"/>
      <c r="Y281" s="62"/>
    </row>
    <row r="282" spans="2:256" ht="20.100000000000001" customHeight="1" x14ac:dyDescent="0.25">
      <c r="B282" s="15"/>
      <c r="C282" s="15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x14ac:dyDescent="0.25">
      <c r="B283" s="15"/>
      <c r="C283" s="15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x14ac:dyDescent="0.25">
      <c r="B284" s="15"/>
      <c r="C284" s="15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x14ac:dyDescent="0.25">
      <c r="B285" s="15"/>
      <c r="C285" s="1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x14ac:dyDescent="0.25">
      <c r="B286" s="15"/>
      <c r="C286" s="15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x14ac:dyDescent="0.25">
      <c r="B287" s="15"/>
      <c r="C287" s="15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x14ac:dyDescent="0.25">
      <c r="B288" s="15"/>
      <c r="C288" s="15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x14ac:dyDescent="0.25">
      <c r="B289" s="15"/>
      <c r="C289" s="15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x14ac:dyDescent="0.25">
      <c r="B290" s="15"/>
      <c r="C290" s="15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x14ac:dyDescent="0.25"/>
    <row r="292" spans="2:256" s="15" customFormat="1" ht="15.95" customHeight="1" x14ac:dyDescent="0.25"/>
    <row r="293" spans="2:256" s="15" customFormat="1" ht="17.100000000000001" customHeight="1" x14ac:dyDescent="0.25"/>
    <row r="294" spans="2:256" s="15" customFormat="1" ht="18.95" customHeight="1" x14ac:dyDescent="0.25"/>
    <row r="295" spans="2:256" s="15" customFormat="1" ht="21" customHeight="1" x14ac:dyDescent="0.25"/>
    <row r="296" spans="2:256" s="15" customFormat="1" ht="16.149999999999999" customHeight="1" x14ac:dyDescent="0.25"/>
    <row r="297" spans="2:256" s="15" customFormat="1" ht="16.149999999999999" customHeight="1" x14ac:dyDescent="0.25"/>
    <row r="298" spans="2:256" s="15" customFormat="1" ht="16.149999999999999" customHeight="1" x14ac:dyDescent="0.25"/>
    <row r="299" spans="2:256" s="15" customFormat="1" ht="16.149999999999999" customHeight="1" x14ac:dyDescent="0.25"/>
    <row r="300" spans="2:256" s="15" customFormat="1" ht="16.149999999999999" customHeight="1" x14ac:dyDescent="0.25"/>
    <row r="301" spans="2:256" s="15" customFormat="1" ht="16.149999999999999" customHeight="1" x14ac:dyDescent="0.25"/>
    <row r="302" spans="2:256" s="15" customFormat="1" ht="16.149999999999999" customHeight="1" x14ac:dyDescent="0.25"/>
    <row r="303" spans="2:256" ht="16.149999999999999" customHeight="1" x14ac:dyDescent="0.25">
      <c r="B303" s="15"/>
      <c r="C303" s="15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x14ac:dyDescent="0.25"/>
    <row r="305" s="15" customFormat="1" ht="16.149999999999999" customHeight="1" x14ac:dyDescent="0.25"/>
    <row r="306" s="15" customFormat="1" ht="16.149999999999999" customHeight="1" x14ac:dyDescent="0.25"/>
    <row r="307" s="15" customFormat="1" ht="16.149999999999999" customHeight="1" x14ac:dyDescent="0.25"/>
    <row r="308" s="15" customFormat="1" ht="16.149999999999999" customHeight="1" x14ac:dyDescent="0.25"/>
    <row r="309" s="15" customFormat="1" ht="16.149999999999999" customHeight="1" x14ac:dyDescent="0.25"/>
    <row r="310" s="15" customFormat="1" ht="16.149999999999999" customHeight="1" x14ac:dyDescent="0.25"/>
    <row r="311" s="15" customFormat="1" ht="16.149999999999999" customHeight="1" x14ac:dyDescent="0.25"/>
    <row r="312" s="15" customFormat="1" ht="16.149999999999999" customHeight="1" x14ac:dyDescent="0.25"/>
    <row r="313" s="15" customFormat="1" ht="16.149999999999999" customHeight="1" x14ac:dyDescent="0.25"/>
    <row r="314" s="15" customFormat="1" ht="16.149999999999999" customHeight="1" x14ac:dyDescent="0.25"/>
    <row r="315" s="15" customFormat="1" ht="16.149999999999999" customHeight="1" x14ac:dyDescent="0.25"/>
    <row r="316" s="15" customFormat="1" ht="16.149999999999999" customHeight="1" x14ac:dyDescent="0.25"/>
    <row r="317" s="15" customFormat="1" ht="16.149999999999999" customHeight="1" x14ac:dyDescent="0.25"/>
    <row r="318" s="15" customFormat="1" ht="16.149999999999999" customHeight="1" x14ac:dyDescent="0.25"/>
    <row r="319" s="15" customFormat="1" ht="16.149999999999999" customHeight="1" x14ac:dyDescent="0.25"/>
    <row r="320" s="15" customFormat="1" ht="16.149999999999999" customHeight="1" x14ac:dyDescent="0.25"/>
    <row r="321" spans="2:256" s="15" customFormat="1" ht="16.149999999999999" customHeight="1" x14ac:dyDescent="0.25"/>
    <row r="322" spans="2:256" s="15" customFormat="1" ht="16.149999999999999" customHeight="1" x14ac:dyDescent="0.25"/>
    <row r="323" spans="2:256" s="15" customFormat="1" ht="16.149999999999999" customHeight="1" x14ac:dyDescent="0.25"/>
    <row r="324" spans="2:256" s="15" customFormat="1" ht="16.149999999999999" customHeight="1" x14ac:dyDescent="0.25"/>
    <row r="325" spans="2:256" s="15" customFormat="1" ht="16.149999999999999" customHeight="1" x14ac:dyDescent="0.25"/>
    <row r="326" spans="2:256" s="15" customFormat="1" ht="16.149999999999999" customHeight="1" x14ac:dyDescent="0.25"/>
    <row r="327" spans="2:256" s="15" customFormat="1" ht="16.149999999999999" customHeight="1" x14ac:dyDescent="0.25"/>
    <row r="328" spans="2:256" s="15" customFormat="1" ht="16.149999999999999" customHeight="1" x14ac:dyDescent="0.25"/>
    <row r="329" spans="2:256" s="15" customFormat="1" ht="16.149999999999999" customHeight="1" x14ac:dyDescent="0.25"/>
    <row r="330" spans="2:256" s="15" customFormat="1" ht="16.149999999999999" customHeight="1" x14ac:dyDescent="0.25"/>
    <row r="331" spans="2:256" s="15" customFormat="1" ht="16.149999999999999" customHeight="1" x14ac:dyDescent="0.25"/>
    <row r="332" spans="2:256" s="15" customFormat="1" ht="16.149999999999999" customHeight="1" x14ac:dyDescent="0.25"/>
    <row r="333" spans="2:256" s="15" customFormat="1" ht="16.149999999999999" customHeight="1" x14ac:dyDescent="0.25"/>
    <row r="334" spans="2:256" ht="15" customHeight="1" x14ac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x14ac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x14ac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x14ac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x14ac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x14ac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x14ac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x14ac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x14ac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wP/rbCKErrpxP2HyIx9kJpCi7MkEy5heuqooXVj8UaVzai8notOOVUp6ezASM4KTTGzMDGemBRJgLAreh4fkKw==" saltValue="WQ+fNHZU859mXlMtQB86Pw==" spinCount="100000" sheet="1" formatCells="0" formatColumns="0" formatRows="0" insertColumns="0" insertRows="0" insertHyperlinks="0" deleteColumns="0" deleteRows="0" sort="0" autoFilter="0" pivotTables="0"/>
  <mergeCells count="322"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104:U104"/>
    <mergeCell ref="D105:U105"/>
    <mergeCell ref="D106:U106"/>
    <mergeCell ref="B107:T107"/>
    <mergeCell ref="B109:J109"/>
    <mergeCell ref="K109:P109"/>
    <mergeCell ref="Q109:R109"/>
    <mergeCell ref="S109:T109"/>
    <mergeCell ref="D98:U98"/>
    <mergeCell ref="D99:U99"/>
    <mergeCell ref="D100:U100"/>
    <mergeCell ref="D101:U101"/>
    <mergeCell ref="D102:U102"/>
    <mergeCell ref="D103:U103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B281:J281"/>
    <mergeCell ref="K281:P281"/>
    <mergeCell ref="Q281:R281"/>
    <mergeCell ref="S281:U281"/>
    <mergeCell ref="V281:Y281"/>
    <mergeCell ref="B279:J279"/>
    <mergeCell ref="K279:P279"/>
    <mergeCell ref="Q279:R279"/>
    <mergeCell ref="S279:T279"/>
    <mergeCell ref="Q280:R280"/>
    <mergeCell ref="S280:T280"/>
  </mergeCell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xr:uid="{435614B3-C0E2-478B-A4E4-5CDCCDA8AEFC}">
          <x14:formula1>
            <xm:f>'Breakdown of areas'!$K:$K</xm:f>
          </x14:formula1>
          <xm:sqref>D268:U269 D256:U266</xm:sqref>
        </x14:dataValidation>
        <x14:dataValidation type="list" allowBlank="1" showInputMessage="1" xr:uid="{B98DE4C5-5C05-42B6-8CCC-69A1EBDA7BE7}">
          <x14:formula1>
            <xm:f>'Breakdown of areas'!$H:$H</xm:f>
          </x14:formula1>
          <xm:sqref>D31:U33 D196:U200 D205:U205 D185:U191 D193:U193</xm:sqref>
        </x14:dataValidation>
        <x14:dataValidation type="list" allowBlank="1" showInputMessage="1" xr:uid="{D7256A69-9252-4D6A-A013-55399751CBC7}">
          <x14:formula1>
            <xm:f>'Breakdown of areas'!$F:$F</xm:f>
          </x14:formula1>
          <xm:sqref>D163:U167 D160:U160</xm:sqref>
        </x14:dataValidation>
        <x14:dataValidation type="list" allowBlank="1" showInputMessage="1" xr:uid="{A86D4105-8472-4B2A-8749-1625E077FDD5}">
          <x14:formula1>
            <xm:f>'Breakdown of areas'!$G:$G</xm:f>
          </x14:formula1>
          <xm:sqref>D94:U95 D138:U138 D124:U126 D128:U133</xm:sqref>
        </x14:dataValidation>
        <x14:dataValidation type="list" allowBlank="1" showInputMessage="1" xr:uid="{7B062C20-445F-4906-A853-BF0FB1FE23F4}">
          <x14:formula1>
            <xm:f>Common_Defect_List!$B$2:$B$5</xm:f>
          </x14:formula1>
          <xm:sqref>V11:V53 V123:V167 V238:V276 V185:V220 V72:V106</xm:sqref>
        </x14:dataValidation>
        <x14:dataValidation type="list" allowBlank="1" showInputMessage="1" xr:uid="{CB9FEBC3-1B9A-4491-882B-429677C44497}">
          <x14:formula1>
            <xm:f>'Breakdown of areas'!$A:$A</xm:f>
          </x14:formula1>
          <xm:sqref>D48:U53 D12:U30 D34:U34 D36:U39</xm:sqref>
        </x14:dataValidation>
        <x14:dataValidation type="list" allowBlank="1" showInputMessage="1" xr:uid="{091F059E-7A5E-450D-A527-C8923D82ADB4}">
          <x14:formula1>
            <xm:f>'Breakdown of areas'!$B:$B</xm:f>
          </x14:formula1>
          <xm:sqref>D70:U72 D74:U83 D106:U106 D85:U91 D35:U35 D127:U127 D140:U140 D150:U151</xm:sqref>
        </x14:dataValidation>
        <x14:dataValidation type="list" allowBlank="1" showInputMessage="1" xr:uid="{91FCAD32-2BAC-4CF4-AEED-9BC12BFD9564}">
          <x14:formula1>
            <xm:f>'Breakdown of areas'!$D:$D</xm:f>
          </x14:formula1>
          <xm:sqref>D96:U100 D93:U93</xm:sqref>
        </x14:dataValidation>
        <x14:dataValidation type="list" allowBlank="1" showInputMessage="1" xr:uid="{9C21D8B8-3DE3-4B6F-80D4-7A5379B9CFF1}">
          <x14:formula1>
            <xm:f>'Breakdown of areas'!$E:$E</xm:f>
          </x14:formula1>
          <xm:sqref>D73:U73 D157:U159 D152:U155 D141:U149</xm:sqref>
        </x14:dataValidation>
        <x14:dataValidation type="list" allowBlank="1" showInputMessage="1" xr:uid="{D2DB6EA0-0EAF-40CC-A01A-51DF5592F4B2}">
          <x14:formula1>
            <xm:f>'Breakdown of areas'!$I:$I</xm:f>
          </x14:formula1>
          <xm:sqref>D219:U220 D240:U240 D248:U248 D216:U217 D209:U209</xm:sqref>
        </x14:dataValidation>
        <x14:dataValidation type="list" allowBlank="1" showInputMessage="1" xr:uid="{8D2AFDE4-8BEE-4144-A069-28567E4014CF}">
          <x14:formula1>
            <xm:f>'Breakdown of areas'!$J:$J</xm:f>
          </x14:formula1>
          <xm:sqref>D218:U218 D210:U215 D238:U239 D249:U250 D207:U208 D253:U254 D241:U247</xm:sqref>
        </x14:dataValidation>
        <x14:dataValidation type="list" allowBlank="1" showInputMessage="1" xr:uid="{B56DF091-C642-447D-ABA4-F45F8A8F83ED}">
          <x14:formula1>
            <xm:f>'Breakdown of areas'!$L:$L</xm:f>
          </x14:formula1>
          <xm:sqref>D271:U276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A493-9141-4CAA-99A5-F64DEF2504FE}">
  <sheetPr>
    <pageSetUpPr fitToPage="1"/>
  </sheetPr>
  <dimension ref="A1:IV391"/>
  <sheetViews>
    <sheetView view="pageBreakPreview" zoomScale="85" zoomScaleNormal="100" zoomScaleSheetLayoutView="85" workbookViewId="0">
      <selection activeCell="D134" sqref="D134:U134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1477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123</v>
      </c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64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37</v>
      </c>
    </row>
    <row r="11" spans="2:29" s="4" customFormat="1" ht="16.899999999999999" customHeight="1" thickBot="1" x14ac:dyDescent="0.3">
      <c r="B11" s="8"/>
      <c r="C11" s="11">
        <v>1</v>
      </c>
      <c r="D11" s="70" t="s">
        <v>1496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 t="s">
        <v>22</v>
      </c>
      <c r="W11" s="10"/>
      <c r="X11" s="10"/>
      <c r="Y11" s="10"/>
      <c r="Z11" s="10"/>
      <c r="AB11" s="4" t="s">
        <v>1385</v>
      </c>
      <c r="AC11" s="4">
        <f>COUNTIF(V:V,"MECH")</f>
        <v>13</v>
      </c>
    </row>
    <row r="12" spans="2:29" s="4" customFormat="1" ht="16.350000000000001" customHeight="1" thickBot="1" x14ac:dyDescent="0.3">
      <c r="B12" s="8"/>
      <c r="C12" s="11">
        <v>2</v>
      </c>
      <c r="D12" s="70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 t="str">
        <f>_xlfn.XLOOKUP(D12,Common_Defect_List!A:A,Common_Defect_List!B:B,"")</f>
        <v>FA</v>
      </c>
      <c r="W12" s="10"/>
      <c r="X12" s="10"/>
      <c r="Y12" s="10"/>
      <c r="Z12" s="10"/>
      <c r="AB12" s="4" t="s">
        <v>1386</v>
      </c>
      <c r="AC12" s="4">
        <f>AC8-AC9-AC10-AC11</f>
        <v>9</v>
      </c>
    </row>
    <row r="13" spans="2:29" s="4" customFormat="1" ht="16.350000000000001" customHeight="1" thickBot="1" x14ac:dyDescent="0.3">
      <c r="B13" s="8"/>
      <c r="C13" s="11"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 t="s">
        <v>22</v>
      </c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v>4</v>
      </c>
      <c r="D14" s="70" t="s">
        <v>1497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 t="s">
        <v>22</v>
      </c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 t="s">
        <v>22</v>
      </c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v>6</v>
      </c>
      <c r="D16" s="70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 t="str">
        <f>_xlfn.XLOOKUP(D16,Common_Defect_List!A:A,Common_Defect_List!B:B,"")</f>
        <v>CARP</v>
      </c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 t="s">
        <v>76</v>
      </c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v>8</v>
      </c>
      <c r="D18" s="70" t="s">
        <v>1498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 t="s">
        <v>22</v>
      </c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v>9</v>
      </c>
      <c r="D19" s="70" t="s">
        <v>1499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 t="s">
        <v>22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v>10</v>
      </c>
      <c r="D20" s="70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 t="s">
        <v>28</v>
      </c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v>11</v>
      </c>
      <c r="D21" s="70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 t="str">
        <f>_xlfn.XLOOKUP(D21,Common_Defect_List!A:A,Common_Defect_List!B:B,"")</f>
        <v>CARP</v>
      </c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v>12</v>
      </c>
      <c r="D22" s="70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 t="str">
        <f>_xlfn.XLOOKUP(D22,Common_Defect_List!A:A,Common_Defect_List!B:B,"")</f>
        <v>CARP</v>
      </c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v>13</v>
      </c>
      <c r="D23" s="70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 t="s">
        <v>22</v>
      </c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v>14</v>
      </c>
      <c r="D24" s="70" t="s">
        <v>1461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 t="s">
        <v>22</v>
      </c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v>15</v>
      </c>
      <c r="D25" s="70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 t="s">
        <v>22</v>
      </c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v>16</v>
      </c>
      <c r="D26" s="70" t="s">
        <v>1534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 t="s">
        <v>22</v>
      </c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v>17</v>
      </c>
      <c r="D27" s="70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 t="s">
        <v>22</v>
      </c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v>18</v>
      </c>
      <c r="D28" s="70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 t="str">
        <f>_xlfn.XLOOKUP(D28,Common_Defect_List!A:A,Common_Defect_List!B:B,"")</f>
        <v>ELEC</v>
      </c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v>19</v>
      </c>
      <c r="D29" s="70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 t="s">
        <v>22</v>
      </c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v>20</v>
      </c>
      <c r="D30" s="70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 t="s">
        <v>52</v>
      </c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v>21</v>
      </c>
      <c r="D31" s="70" t="s">
        <v>1478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 t="s">
        <v>22</v>
      </c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v>22</v>
      </c>
      <c r="D32" s="70" t="s">
        <v>1458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 t="s">
        <v>22</v>
      </c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v>23</v>
      </c>
      <c r="D33" s="70" t="s">
        <v>1535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 t="s">
        <v>22</v>
      </c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>
        <v>24</v>
      </c>
      <c r="D34" s="70" t="s">
        <v>1536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 t="s">
        <v>22</v>
      </c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>
        <v>25</v>
      </c>
      <c r="D35" s="70" t="s">
        <v>502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 t="s">
        <v>22</v>
      </c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>
        <v>26</v>
      </c>
      <c r="D36" s="70" t="s">
        <v>1537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 t="s">
        <v>22</v>
      </c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>
        <v>27</v>
      </c>
      <c r="D37" s="70" t="s">
        <v>1538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 t="s">
        <v>22</v>
      </c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>
        <v>28</v>
      </c>
      <c r="D38" s="70" t="s">
        <v>1464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 t="s">
        <v>22</v>
      </c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>
        <v>29</v>
      </c>
      <c r="D39" s="70" t="s">
        <v>1255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 t="s">
        <v>22</v>
      </c>
      <c r="W39" s="10"/>
      <c r="X39" s="10"/>
      <c r="Y39" s="10"/>
      <c r="Z39" s="10"/>
    </row>
    <row r="40" spans="2:26" s="4" customFormat="1" ht="15" customHeight="1" thickBot="1" x14ac:dyDescent="0.3">
      <c r="B40" s="8"/>
      <c r="C40" s="11">
        <v>30</v>
      </c>
      <c r="D40" s="70" t="s">
        <v>1542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 t="s">
        <v>22</v>
      </c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>
        <v>31</v>
      </c>
      <c r="D41" s="70" t="s">
        <v>198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 t="s">
        <v>22</v>
      </c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>
        <v>32</v>
      </c>
      <c r="D42" s="70" t="s">
        <v>1543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 t="s">
        <v>22</v>
      </c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>
        <v>33</v>
      </c>
      <c r="D43" s="70" t="s">
        <v>1469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 t="s">
        <v>22</v>
      </c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>
        <v>34</v>
      </c>
      <c r="D44" s="70" t="s">
        <v>1544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 t="s">
        <v>22</v>
      </c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>
        <v>35</v>
      </c>
      <c r="D45" s="70" t="s">
        <v>1547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 t="s">
        <v>22</v>
      </c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>
        <v>36</v>
      </c>
      <c r="D46" s="70" t="s">
        <v>1476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 t="s">
        <v>74</v>
      </c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>
        <v>37</v>
      </c>
      <c r="D47" s="70" t="s">
        <v>1548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 t="s">
        <v>22</v>
      </c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>
        <v>38</v>
      </c>
      <c r="D48" s="70" t="s">
        <v>1549</v>
      </c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 t="s">
        <v>22</v>
      </c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5.95" customHeight="1" thickBot="1" x14ac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/>
      <c r="W50" s="10"/>
      <c r="X50" s="10"/>
      <c r="Y50" s="10"/>
      <c r="Z50" s="10"/>
    </row>
    <row r="51" spans="2:26" s="4" customFormat="1" ht="15.95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/>
      <c r="W53" s="10"/>
      <c r="X53" s="10"/>
      <c r="Y53" s="10"/>
      <c r="Z53" s="10"/>
    </row>
    <row r="54" spans="2:26" s="1" customFormat="1" ht="15" customHeight="1" x14ac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</row>
    <row r="55" spans="2:26" x14ac:dyDescent="0.25">
      <c r="B55" s="20"/>
      <c r="C55" s="21"/>
      <c r="O55" s="22"/>
      <c r="P55" s="22"/>
      <c r="Q55" s="23"/>
      <c r="R55" s="23"/>
      <c r="S55" s="22"/>
      <c r="T55" s="22"/>
    </row>
    <row r="56" spans="2:26" s="1" customFormat="1" ht="13.5" thickBot="1" x14ac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</row>
    <row r="57" spans="2:26" ht="15" customHeight="1" x14ac:dyDescent="0.25">
      <c r="C57" s="29"/>
      <c r="I57" s="30"/>
      <c r="O57" s="65"/>
      <c r="P57" s="65"/>
      <c r="Q57" s="60"/>
      <c r="R57" s="60"/>
      <c r="S57" s="65"/>
      <c r="T57" s="65"/>
    </row>
    <row r="58" spans="2:26" ht="18" customHeight="1" thickBot="1" x14ac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/>
      <c r="W58" s="62"/>
      <c r="X58" s="62"/>
      <c r="Y58" s="62"/>
    </row>
    <row r="59" spans="2:26" ht="15" customHeight="1" thickBot="1" x14ac:dyDescent="0.3"/>
    <row r="60" spans="2:26" ht="15" customHeight="1" x14ac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92" t="s">
        <v>65</v>
      </c>
      <c r="X60" s="79"/>
      <c r="Y60" s="79"/>
      <c r="Z60" s="79"/>
    </row>
    <row r="61" spans="2:26" ht="15" customHeight="1" thickBot="1" x14ac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</row>
    <row r="62" spans="2:26" ht="10.5" customHeight="1" thickBot="1" x14ac:dyDescent="0.3"/>
    <row r="63" spans="2:26" ht="15" customHeight="1" thickBot="1" x14ac:dyDescent="0.3">
      <c r="J63" s="79" t="s">
        <v>2</v>
      </c>
      <c r="K63" s="79"/>
      <c r="L63" s="79"/>
      <c r="M63" s="80" t="str">
        <f>M4</f>
        <v>C1013</v>
      </c>
      <c r="N63" s="80"/>
      <c r="O63" s="80"/>
      <c r="P63" s="80"/>
    </row>
    <row r="64" spans="2:26" s="15" customFormat="1" ht="15" customHeight="1" thickBot="1" x14ac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/>
    </row>
    <row r="65" spans="1:26" s="15" customFormat="1" ht="15.95" customHeight="1" thickBot="1" x14ac:dyDescent="0.3"/>
    <row r="66" spans="1:26" s="15" customFormat="1" ht="15" customHeight="1" thickBot="1" x14ac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/>
      <c r="W66" s="60"/>
      <c r="X66" s="23"/>
    </row>
    <row r="67" spans="1:26" s="15" customFormat="1" ht="15" customHeight="1" thickBot="1" x14ac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s="15" customFormat="1" ht="22.5" customHeight="1" thickBot="1" x14ac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 t="s">
        <v>8</v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x14ac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 s="10"/>
      <c r="W69" s="14"/>
      <c r="X69" s="14"/>
      <c r="Y69" s="14"/>
      <c r="Z69" s="14"/>
    </row>
    <row r="70" spans="1:26" s="15" customFormat="1" ht="15.6" customHeight="1" thickBot="1" x14ac:dyDescent="0.25">
      <c r="B70" s="8"/>
      <c r="C70" s="11">
        <f>IF(ISTEXT(D70),MAX($C$10:C69)+1,"")</f>
        <v>39</v>
      </c>
      <c r="D70" s="95" t="s">
        <v>1489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0" t="s">
        <v>76</v>
      </c>
      <c r="W70" s="14"/>
      <c r="X70" s="14"/>
      <c r="Y70" s="14"/>
      <c r="Z70" s="14"/>
    </row>
    <row r="71" spans="1:26" s="15" customFormat="1" ht="15.6" customHeight="1" thickBot="1" x14ac:dyDescent="0.25">
      <c r="B71" s="8"/>
      <c r="C71" s="11">
        <f>IF(ISTEXT(D71),MAX($C$10:C70)+1,"")</f>
        <v>40</v>
      </c>
      <c r="D71" s="95" t="s">
        <v>1415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 t="s">
        <v>76</v>
      </c>
      <c r="W71" s="14"/>
      <c r="X71" s="14"/>
      <c r="Y71" s="14"/>
      <c r="Z71" s="14"/>
    </row>
    <row r="72" spans="1:26" s="15" customFormat="1" ht="15.6" customHeight="1" thickBot="1" x14ac:dyDescent="0.25">
      <c r="B72" s="8"/>
      <c r="C72" s="11">
        <f>IF(ISTEXT(D72),MAX($C$10:C71)+1,"")</f>
        <v>41</v>
      </c>
      <c r="D72" s="95" t="s">
        <v>1490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 t="s">
        <v>76</v>
      </c>
      <c r="W72" s="14"/>
      <c r="X72" s="14"/>
      <c r="Y72" s="14"/>
      <c r="Z72" s="14"/>
    </row>
    <row r="73" spans="1:26" s="15" customFormat="1" ht="16.149999999999999" customHeight="1" thickBot="1" x14ac:dyDescent="0.25">
      <c r="B73" s="8"/>
      <c r="C73" s="11">
        <f>IF(ISTEXT(D73),MAX($C$10:C72)+1,"")</f>
        <v>42</v>
      </c>
      <c r="D73" s="95" t="s">
        <v>80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 t="s">
        <v>76</v>
      </c>
      <c r="W73" s="14"/>
      <c r="X73" s="14"/>
      <c r="Y73" s="14"/>
      <c r="Z73" s="14"/>
    </row>
    <row r="74" spans="1:26" s="15" customFormat="1" ht="16.149999999999999" customHeight="1" thickBot="1" x14ac:dyDescent="0.25">
      <c r="B74" s="8"/>
      <c r="C74" s="11">
        <f>IF(ISTEXT(D74),MAX($C$10:C73)+1,"")</f>
        <v>43</v>
      </c>
      <c r="D74" s="95" t="s">
        <v>1267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 t="s">
        <v>76</v>
      </c>
      <c r="W74" s="14"/>
      <c r="X74" s="14"/>
      <c r="Y74" s="14"/>
      <c r="Z74" s="14"/>
    </row>
    <row r="75" spans="1:26" s="15" customFormat="1" ht="16.149999999999999" customHeight="1" thickBot="1" x14ac:dyDescent="0.25">
      <c r="B75" s="8"/>
      <c r="C75" s="11">
        <f>IF(ISTEXT(D75),MAX($C$10:C74)+1,"")</f>
        <v>44</v>
      </c>
      <c r="D75" s="95" t="s">
        <v>79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 t="s">
        <v>76</v>
      </c>
      <c r="W75" s="14"/>
      <c r="X75" s="14"/>
      <c r="Y75" s="14"/>
      <c r="Z75" s="14"/>
    </row>
    <row r="76" spans="1:26" s="15" customFormat="1" ht="16.149999999999999" customHeight="1" thickBot="1" x14ac:dyDescent="0.25">
      <c r="B76" s="8"/>
      <c r="C76" s="11">
        <f>IF(ISTEXT(D76),MAX($C$10:C75)+1,"")</f>
        <v>45</v>
      </c>
      <c r="D76" s="95" t="s">
        <v>111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 t="s">
        <v>76</v>
      </c>
      <c r="W76" s="14"/>
      <c r="X76" s="14"/>
      <c r="Y76" s="14"/>
      <c r="Z76" s="14"/>
    </row>
    <row r="77" spans="1:26" s="15" customFormat="1" ht="16.149999999999999" customHeight="1" thickBot="1" x14ac:dyDescent="0.25">
      <c r="B77" s="8"/>
      <c r="C77" s="11">
        <f>IF(ISTEXT(D77),MAX($C$10:C76)+1,"")</f>
        <v>46</v>
      </c>
      <c r="D77" s="95" t="s">
        <v>1500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 t="s">
        <v>22</v>
      </c>
      <c r="W77" s="14"/>
      <c r="X77" s="14"/>
      <c r="Y77" s="14"/>
      <c r="Z77" s="14"/>
    </row>
    <row r="78" spans="1:26" ht="16.149999999999999" customHeight="1" thickBot="1" x14ac:dyDescent="0.3">
      <c r="B78" s="8"/>
      <c r="C78" s="11">
        <f>IF(ISTEXT(D78),MAX($C$10:C77)+1,"")</f>
        <v>47</v>
      </c>
      <c r="D78" s="95" t="s">
        <v>1501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 t="s">
        <v>22</v>
      </c>
      <c r="W78" s="14"/>
      <c r="X78" s="14"/>
      <c r="Y78" s="14"/>
      <c r="Z78" s="14"/>
    </row>
    <row r="79" spans="1:26" s="15" customFormat="1" ht="16.149999999999999" customHeight="1" thickBot="1" x14ac:dyDescent="0.25">
      <c r="A79" s="36"/>
      <c r="B79" s="37"/>
      <c r="C79" s="11">
        <f>IF(ISTEXT(D79),MAX($C$10:C78)+1,"")</f>
        <v>48</v>
      </c>
      <c r="D79" s="95" t="s">
        <v>1546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 t="s">
        <v>22</v>
      </c>
      <c r="W79" s="14"/>
      <c r="X79" s="14"/>
      <c r="Y79" s="14"/>
      <c r="Z79" s="14"/>
    </row>
    <row r="80" spans="1:26" s="15" customFormat="1" ht="16.149999999999999" customHeight="1" thickBot="1" x14ac:dyDescent="0.25">
      <c r="B80" s="8"/>
      <c r="C80" s="11" t="str">
        <f>IF(ISTEXT(D80),MAX($C$10:C79)+1,"")</f>
        <v/>
      </c>
      <c r="D80" s="95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/>
      <c r="W80" s="14"/>
      <c r="X80" s="14"/>
      <c r="Y80" s="14"/>
      <c r="Z80" s="14"/>
    </row>
    <row r="81" spans="2:26" s="15" customFormat="1" ht="16.149999999999999" customHeight="1" thickBot="1" x14ac:dyDescent="0.25">
      <c r="B81" s="8"/>
      <c r="C81" s="11" t="str">
        <f>IF(ISTEXT(D81),MAX($C$10:C80)+1,"")</f>
        <v/>
      </c>
      <c r="D81" s="95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/>
      <c r="W81" s="14"/>
      <c r="X81" s="14"/>
      <c r="Y81" s="14"/>
      <c r="Z81" s="14"/>
    </row>
    <row r="82" spans="2:26" s="15" customFormat="1" ht="16.149999999999999" customHeight="1" thickBot="1" x14ac:dyDescent="0.25">
      <c r="B82" s="8"/>
      <c r="C82" s="11" t="str">
        <f>IF(ISTEXT(D82),MAX($C$10:C81)+1,"")</f>
        <v/>
      </c>
      <c r="D82" s="95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/>
      <c r="W82" s="14"/>
      <c r="X82" s="14"/>
      <c r="Y82" s="14"/>
      <c r="Z82" s="14"/>
    </row>
    <row r="83" spans="2:26" s="15" customFormat="1" ht="16.149999999999999" customHeight="1" thickBot="1" x14ac:dyDescent="0.25">
      <c r="B83" s="8"/>
      <c r="C83" s="11" t="str">
        <f>IF(ISTEXT(D83),MAX($C$10:C82)+1,"")</f>
        <v/>
      </c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/>
      <c r="W83" s="14"/>
      <c r="X83" s="14"/>
      <c r="Y83" s="14"/>
      <c r="Z83" s="14"/>
    </row>
    <row r="84" spans="2:26" s="15" customFormat="1" ht="16.149999999999999" customHeight="1" thickBot="1" x14ac:dyDescent="0.3">
      <c r="B84" s="8"/>
      <c r="C84" s="11"/>
      <c r="D84" s="73" t="s">
        <v>82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5"/>
      <c r="V84" s="10" t="str">
        <f>_xlfn.XLOOKUP(D84,Common_Defect_List!A:A,Common_Defect_List!B:B,"")</f>
        <v/>
      </c>
      <c r="W84" s="14"/>
      <c r="X84" s="14"/>
      <c r="Y84" s="14"/>
      <c r="Z84" s="14"/>
    </row>
    <row r="85" spans="2:26" s="15" customFormat="1" ht="16.149999999999999" customHeight="1" thickBot="1" x14ac:dyDescent="0.25">
      <c r="B85" s="8"/>
      <c r="C85" s="11">
        <f>IF(ISTEXT(D85),MAX($C$10:C84)+1,"")</f>
        <v>49</v>
      </c>
      <c r="D85" s="95" t="s">
        <v>79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 t="s">
        <v>76</v>
      </c>
      <c r="W85" s="14"/>
      <c r="X85" s="14"/>
      <c r="Y85" s="14"/>
      <c r="Z85" s="14"/>
    </row>
    <row r="86" spans="2:26" s="15" customFormat="1" ht="16.149999999999999" customHeight="1" thickBot="1" x14ac:dyDescent="0.25">
      <c r="B86" s="8"/>
      <c r="C86" s="11">
        <f>IF(ISTEXT(D86),MAX($C$10:C85)+1,"")</f>
        <v>50</v>
      </c>
      <c r="D86" s="95" t="s">
        <v>111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 t="s">
        <v>76</v>
      </c>
      <c r="W86" s="14"/>
      <c r="X86" s="14"/>
      <c r="Y86" s="14"/>
      <c r="Z86" s="14"/>
    </row>
    <row r="87" spans="2:26" s="15" customFormat="1" ht="16.149999999999999" customHeight="1" thickBot="1" x14ac:dyDescent="0.25">
      <c r="B87" s="8"/>
      <c r="C87" s="11">
        <f>IF(ISTEXT(D87),MAX($C$10:C86)+1,"")</f>
        <v>51</v>
      </c>
      <c r="D87" s="95" t="s">
        <v>1492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 t="s">
        <v>76</v>
      </c>
      <c r="W87" s="14"/>
      <c r="X87" s="14"/>
      <c r="Y87" s="14"/>
      <c r="Z87" s="14"/>
    </row>
    <row r="88" spans="2:26" s="15" customFormat="1" ht="16.149999999999999" customHeight="1" thickBot="1" x14ac:dyDescent="0.25">
      <c r="B88" s="8"/>
      <c r="C88" s="11">
        <v>50</v>
      </c>
      <c r="D88" s="95" t="s">
        <v>1550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 t="s">
        <v>22</v>
      </c>
      <c r="W88" s="14"/>
      <c r="X88" s="14"/>
      <c r="Y88" s="14"/>
      <c r="Z88" s="14"/>
    </row>
    <row r="89" spans="2:26" s="15" customFormat="1" ht="16.149999999999999" customHeight="1" thickBot="1" x14ac:dyDescent="0.25">
      <c r="B89" s="8"/>
      <c r="C89" s="11">
        <v>51</v>
      </c>
      <c r="D89" s="95" t="s">
        <v>1551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 t="s">
        <v>22</v>
      </c>
      <c r="W89" s="14"/>
      <c r="X89" s="14"/>
      <c r="Y89" s="14"/>
      <c r="Z89" s="14"/>
    </row>
    <row r="90" spans="2:26" s="15" customFormat="1" ht="15.95" customHeight="1" thickBot="1" x14ac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/>
      <c r="W90" s="14"/>
      <c r="X90" s="14"/>
      <c r="Y90" s="14"/>
      <c r="Z90" s="14"/>
    </row>
    <row r="91" spans="2:26" s="15" customFormat="1" ht="16.149999999999999" customHeight="1" thickBot="1" x14ac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/>
      <c r="W91" s="14"/>
      <c r="X91" s="14"/>
      <c r="Y91" s="14"/>
      <c r="Z91" s="14"/>
    </row>
    <row r="92" spans="2:26" s="15" customFormat="1" ht="16.149999999999999" customHeight="1" thickBot="1" x14ac:dyDescent="0.3">
      <c r="B92" s="8"/>
      <c r="C92" s="11"/>
      <c r="D92" s="73" t="s">
        <v>92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5"/>
      <c r="V92" s="10"/>
      <c r="W92" s="14"/>
      <c r="X92" s="14"/>
      <c r="Y92" s="14"/>
      <c r="Z92" s="14"/>
    </row>
    <row r="93" spans="2:26" s="15" customFormat="1" ht="16.149999999999999" customHeight="1" thickBot="1" x14ac:dyDescent="0.3">
      <c r="B93" s="8"/>
      <c r="C93" s="11">
        <f>IF(ISTEXT(D93),MAX($C$10:C92)+1,"")</f>
        <v>52</v>
      </c>
      <c r="D93" s="70" t="s">
        <v>1479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 t="s">
        <v>76</v>
      </c>
      <c r="W93" s="14"/>
      <c r="X93" s="14"/>
      <c r="Y93" s="14"/>
      <c r="Z93" s="14"/>
    </row>
    <row r="94" spans="2:26" s="15" customFormat="1" ht="16.149999999999999" customHeight="1" thickBot="1" x14ac:dyDescent="0.3">
      <c r="B94" s="8"/>
      <c r="C94" s="11">
        <f>IF(ISTEXT(D94),MAX($C$10:C93)+1,"")</f>
        <v>53</v>
      </c>
      <c r="D94" s="70" t="s">
        <v>1480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 t="s">
        <v>76</v>
      </c>
      <c r="W94" s="14"/>
      <c r="X94" s="14"/>
      <c r="Y94" s="14"/>
      <c r="Z94" s="14"/>
    </row>
    <row r="95" spans="2:26" s="15" customFormat="1" ht="16.149999999999999" customHeight="1" thickBot="1" x14ac:dyDescent="0.3">
      <c r="B95" s="8"/>
      <c r="C95" s="11">
        <f>IF(ISTEXT(D95),MAX($C$10:C94)+1,"")</f>
        <v>54</v>
      </c>
      <c r="D95" s="70" t="s">
        <v>1481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 t="s">
        <v>76</v>
      </c>
      <c r="W95" s="14"/>
      <c r="X95" s="14"/>
      <c r="Y95" s="14"/>
      <c r="Z95" s="14"/>
    </row>
    <row r="96" spans="2:26" s="15" customFormat="1" ht="16.149999999999999" customHeight="1" thickBot="1" x14ac:dyDescent="0.3">
      <c r="B96" s="8"/>
      <c r="C96" s="11">
        <f>IF(ISTEXT(D96),MAX($C$10:C95)+1,"")</f>
        <v>55</v>
      </c>
      <c r="D96" s="70" t="s">
        <v>1482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 t="s">
        <v>76</v>
      </c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>
        <f>IF(ISTEXT(D97),MAX($C$10:C96)+1,"")</f>
        <v>56</v>
      </c>
      <c r="D97" s="70" t="s">
        <v>1267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 t="s">
        <v>76</v>
      </c>
      <c r="W97" s="14"/>
      <c r="X97" s="14"/>
      <c r="Y97" s="14"/>
      <c r="Z97" s="14"/>
    </row>
    <row r="98" spans="2:26" s="15" customFormat="1" ht="19.149999999999999" customHeight="1" thickBot="1" x14ac:dyDescent="0.3">
      <c r="B98" s="8"/>
      <c r="C98" s="11">
        <f>IF(ISTEXT(D98),MAX($C$10:C97)+1,"")</f>
        <v>57</v>
      </c>
      <c r="D98" s="70" t="s">
        <v>79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 t="s">
        <v>76</v>
      </c>
      <c r="W98" s="14"/>
      <c r="X98" s="14"/>
      <c r="Y98" s="14"/>
      <c r="Z98" s="14"/>
    </row>
    <row r="99" spans="2:26" s="15" customFormat="1" ht="16.149999999999999" customHeight="1" thickBot="1" x14ac:dyDescent="0.3">
      <c r="B99" s="8"/>
      <c r="C99" s="11">
        <f>IF(ISTEXT(D99),MAX($C$10:C98)+1,"")</f>
        <v>58</v>
      </c>
      <c r="D99" s="70" t="s">
        <v>111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 t="s">
        <v>76</v>
      </c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59</v>
      </c>
      <c r="D100" s="70" t="s">
        <v>80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 t="s">
        <v>76</v>
      </c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60</v>
      </c>
      <c r="D101" s="70" t="s">
        <v>1491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 t="s">
        <v>76</v>
      </c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61</v>
      </c>
      <c r="D102" s="70" t="s">
        <v>1493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 t="s">
        <v>22</v>
      </c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>
        <f>IF(ISTEXT(D103),MAX($C$10:C102)+1,"")</f>
        <v>62</v>
      </c>
      <c r="D103" s="70" t="s">
        <v>1539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 t="s">
        <v>22</v>
      </c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63</v>
      </c>
      <c r="D104" s="70" t="s">
        <v>204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 t="s">
        <v>22</v>
      </c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/>
      <c r="W105" s="14"/>
      <c r="X105" s="14"/>
      <c r="Y105" s="14"/>
      <c r="Z105" s="14"/>
    </row>
    <row r="106" spans="2:26" s="15" customFormat="1" ht="16.149999999999999" customHeight="1" thickBot="1" x14ac:dyDescent="0.25">
      <c r="B106" s="8"/>
      <c r="C106" s="11" t="str">
        <f>IF(ISTEXT(D106),MAX($C$10:C105)+1,"")</f>
        <v/>
      </c>
      <c r="D106" s="9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/>
      <c r="W106" s="14"/>
      <c r="X106" s="14"/>
      <c r="Y106" s="14"/>
      <c r="Z106" s="14"/>
    </row>
    <row r="107" spans="2:26" ht="15" customHeight="1" x14ac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</row>
    <row r="108" spans="2:26" x14ac:dyDescent="0.25">
      <c r="B108" s="20"/>
      <c r="C108" s="21"/>
      <c r="O108" s="22"/>
      <c r="P108" s="22"/>
      <c r="Q108" s="23"/>
      <c r="R108" s="23"/>
      <c r="S108" s="22"/>
      <c r="T108" s="22"/>
    </row>
    <row r="109" spans="2:26" ht="15.75" thickBot="1" x14ac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</row>
    <row r="110" spans="2:26" ht="15" customHeight="1" x14ac:dyDescent="0.25">
      <c r="C110" s="29"/>
      <c r="I110" s="30"/>
      <c r="O110" s="65"/>
      <c r="P110" s="65"/>
      <c r="Q110" s="60"/>
      <c r="R110" s="60"/>
      <c r="S110" s="65"/>
      <c r="T110" s="65"/>
    </row>
    <row r="111" spans="2:26" ht="18" customHeight="1" thickBot="1" x14ac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/>
      <c r="W111" s="62"/>
      <c r="X111" s="62"/>
      <c r="Y111" s="62"/>
    </row>
    <row r="112" spans="2:26" ht="15" customHeight="1" x14ac:dyDescent="0.25"/>
    <row r="113" spans="2:26" ht="15" customHeight="1" thickBot="1" x14ac:dyDescent="0.3"/>
    <row r="114" spans="2:26" ht="15" customHeight="1" x14ac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2" t="s">
        <v>99</v>
      </c>
      <c r="X114" s="79"/>
      <c r="Y114" s="79"/>
      <c r="Z114" s="79"/>
    </row>
    <row r="115" spans="2:26" ht="15" customHeight="1" thickBot="1" x14ac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</row>
    <row r="116" spans="2:26" ht="10.5" customHeight="1" thickBot="1" x14ac:dyDescent="0.3"/>
    <row r="117" spans="2:26" ht="15" customHeight="1" thickBot="1" x14ac:dyDescent="0.3">
      <c r="J117" s="79" t="s">
        <v>2</v>
      </c>
      <c r="K117" s="79"/>
      <c r="L117" s="79"/>
      <c r="M117" s="80" t="str">
        <f>M4</f>
        <v>C1013</v>
      </c>
      <c r="N117" s="80"/>
      <c r="O117" s="80"/>
      <c r="P117" s="80"/>
    </row>
    <row r="118" spans="2:26" s="15" customFormat="1" ht="15" customHeight="1" thickBot="1" x14ac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/>
    </row>
    <row r="119" spans="2:26" s="15" customFormat="1" ht="17.100000000000001" customHeight="1" thickBot="1" x14ac:dyDescent="0.3"/>
    <row r="120" spans="2:26" s="15" customFormat="1" ht="15" customHeight="1" thickBot="1" x14ac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/>
      <c r="W120" s="60"/>
      <c r="X120" s="23"/>
    </row>
    <row r="121" spans="2:26" s="15" customFormat="1" ht="10.5" customHeight="1" thickBot="1" x14ac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2:26" s="15" customFormat="1" ht="21" customHeight="1" thickBot="1" x14ac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 t="s">
        <v>8</v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x14ac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/>
      <c r="W123" s="14"/>
      <c r="X123" s="14"/>
      <c r="Y123" s="14"/>
      <c r="Z123" s="14"/>
    </row>
    <row r="124" spans="2:26" s="15" customFormat="1" ht="16.149999999999999" customHeight="1" thickBot="1" x14ac:dyDescent="0.3">
      <c r="B124" s="8"/>
      <c r="C124" s="11">
        <f>IF(ISTEXT(D124),MAX($C$10:C123)+1,"")</f>
        <v>64</v>
      </c>
      <c r="D124" s="70" t="s">
        <v>79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 t="s">
        <v>76</v>
      </c>
      <c r="W124" s="14"/>
      <c r="X124" s="14"/>
      <c r="Y124" s="14"/>
      <c r="Z124" s="14"/>
    </row>
    <row r="125" spans="2:26" s="15" customFormat="1" ht="16.149999999999999" customHeight="1" thickBot="1" x14ac:dyDescent="0.3">
      <c r="B125" s="8"/>
      <c r="C125" s="11">
        <f>IF(ISTEXT(D125),MAX($C$10:C124)+1,"")</f>
        <v>65</v>
      </c>
      <c r="D125" s="70" t="s">
        <v>111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 t="s">
        <v>76</v>
      </c>
      <c r="W125" s="14"/>
      <c r="X125" s="14"/>
      <c r="Y125" s="14"/>
      <c r="Z125" s="14"/>
    </row>
    <row r="126" spans="2:26" s="15" customFormat="1" ht="16.149999999999999" customHeight="1" thickBot="1" x14ac:dyDescent="0.3">
      <c r="B126" s="8"/>
      <c r="C126" s="11">
        <f>IF(ISTEXT(D126),MAX($C$10:C125)+1,"")</f>
        <v>66</v>
      </c>
      <c r="D126" s="70" t="s">
        <v>80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 t="s">
        <v>76</v>
      </c>
      <c r="W126" s="14"/>
      <c r="X126" s="14"/>
      <c r="Y126" s="14"/>
      <c r="Z126" s="14"/>
    </row>
    <row r="127" spans="2:26" s="15" customFormat="1" ht="16.149999999999999" customHeight="1" thickBot="1" x14ac:dyDescent="0.3">
      <c r="B127" s="8"/>
      <c r="C127" s="11">
        <f>IF(ISTEXT(D127),MAX($C$10:C126)+1,"")</f>
        <v>67</v>
      </c>
      <c r="D127" s="70" t="s">
        <v>1413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2"/>
      <c r="V127" s="10" t="s">
        <v>76</v>
      </c>
      <c r="W127" s="14"/>
      <c r="X127" s="14"/>
      <c r="Y127" s="14"/>
      <c r="Z127" s="14"/>
    </row>
    <row r="128" spans="2:26" s="15" customFormat="1" ht="16.149999999999999" customHeight="1" thickBot="1" x14ac:dyDescent="0.3">
      <c r="B128" s="8"/>
      <c r="C128" s="11">
        <f>IF(ISTEXT(D128),MAX($C$10:C127)+1,"")</f>
        <v>68</v>
      </c>
      <c r="D128" s="70" t="s">
        <v>1504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 t="s">
        <v>76</v>
      </c>
      <c r="W128" s="14"/>
      <c r="X128" s="14"/>
      <c r="Y128" s="14"/>
      <c r="Z128" s="14"/>
    </row>
    <row r="129" spans="2:26" s="15" customFormat="1" ht="16.149999999999999" customHeight="1" thickBot="1" x14ac:dyDescent="0.3">
      <c r="B129" s="8"/>
      <c r="C129" s="11" t="str">
        <f>IF(ISTEXT(D129),MAX($C$10:C128)+1,"")</f>
        <v/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/>
      <c r="W129" s="14"/>
      <c r="X129" s="14"/>
      <c r="Y129" s="14"/>
      <c r="Z129" s="14"/>
    </row>
    <row r="130" spans="2:26" ht="16.149999999999999" customHeight="1" thickBot="1" x14ac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/>
      <c r="W130" s="14"/>
      <c r="X130" s="14"/>
      <c r="Y130" s="14"/>
      <c r="Z130" s="14"/>
    </row>
    <row r="131" spans="2:26" s="15" customFormat="1" ht="16.149999999999999" customHeight="1" thickBot="1" x14ac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/>
      <c r="W131" s="14"/>
      <c r="X131" s="14"/>
      <c r="Y131" s="14"/>
      <c r="Z131" s="14"/>
    </row>
    <row r="132" spans="2:26" s="15" customFormat="1" ht="16.149999999999999" customHeight="1" thickBot="1" x14ac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/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/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/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/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/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/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/>
      <c r="W138" s="14"/>
      <c r="X138" s="14"/>
      <c r="Y138" s="14"/>
      <c r="Z138" s="14"/>
    </row>
    <row r="139" spans="2:26" ht="16.5" thickBot="1" x14ac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 t="str">
        <f>_xlfn.XLOOKUP(D139,Common_Defect_List!A:A,Common_Defect_List!B:B,"")</f>
        <v/>
      </c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>
        <f>IF(ISTEXT(D140),MAX($C$10:C139)+1,"")</f>
        <v>69</v>
      </c>
      <c r="D140" s="70" t="s">
        <v>91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 t="s">
        <v>22</v>
      </c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>
        <f>IF(ISTEXT(D141),MAX($C$10:C140)+1,"")</f>
        <v>70</v>
      </c>
      <c r="D141" s="70" t="s">
        <v>79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 t="s">
        <v>76</v>
      </c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71</v>
      </c>
      <c r="D142" s="70" t="s">
        <v>111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 t="s">
        <v>76</v>
      </c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72</v>
      </c>
      <c r="D143" s="70" t="s">
        <v>80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 t="s">
        <v>76</v>
      </c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73</v>
      </c>
      <c r="D144" s="70" t="s">
        <v>1486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 t="s">
        <v>76</v>
      </c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>
        <f>IF(ISTEXT(D145),MAX($C$10:C144)+1,"")</f>
        <v>74</v>
      </c>
      <c r="D145" s="70" t="s">
        <v>1415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 t="s">
        <v>76</v>
      </c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>
        <f>IF(ISTEXT(D146),MAX($C$10:C145)+1,"")</f>
        <v>75</v>
      </c>
      <c r="D146" s="70" t="s">
        <v>1414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 t="s">
        <v>76</v>
      </c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>
        <f>IF(ISTEXT(D147),MAX($C$10:C146)+1,"")</f>
        <v>76</v>
      </c>
      <c r="D147" s="70" t="s">
        <v>1540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 t="s">
        <v>22</v>
      </c>
      <c r="W147" s="14"/>
      <c r="X147" s="14"/>
      <c r="Y147" s="14"/>
      <c r="Z147" s="14"/>
    </row>
    <row r="148" spans="2:26" s="15" customFormat="1" ht="16.149999999999999" customHeight="1" thickBot="1" x14ac:dyDescent="0.3">
      <c r="B148" s="8"/>
      <c r="C148" s="11" t="str">
        <f>IF(ISTEXT(D148),MAX($C$10:C147)+1,"")</f>
        <v/>
      </c>
      <c r="D148" s="70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/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 t="str">
        <f>IF(ISTEXT(D149),MAX($C$10:C148)+1,"")</f>
        <v/>
      </c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/>
      <c r="W149" s="14"/>
      <c r="X149" s="14"/>
      <c r="Y149" s="14"/>
      <c r="Z149" s="14"/>
    </row>
    <row r="150" spans="2:26" s="15" customFormat="1" ht="16.149999999999999" customHeight="1" thickBot="1" x14ac:dyDescent="0.3">
      <c r="B150" s="8"/>
      <c r="C150" s="11" t="str">
        <f>IF(ISTEXT(D150),MAX($C$10:C149)+1,"")</f>
        <v/>
      </c>
      <c r="D150" s="70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/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 t="str">
        <f>IF(ISTEXT(D151),MAX($C$10:C150)+1,"")</f>
        <v/>
      </c>
      <c r="D151" s="70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/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/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/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/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/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77</v>
      </c>
      <c r="D157" s="70" t="s">
        <v>1483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 t="s">
        <v>76</v>
      </c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78</v>
      </c>
      <c r="D158" s="70" t="s">
        <v>1484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 t="s">
        <v>76</v>
      </c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/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/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/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/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/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/>
      <c r="W167" s="14"/>
      <c r="X167" s="14"/>
      <c r="Y167" s="14"/>
      <c r="Z167" s="14"/>
    </row>
    <row r="168" spans="2:26" ht="15" customHeight="1" x14ac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</row>
    <row r="169" spans="2:26" x14ac:dyDescent="0.25">
      <c r="B169" s="20"/>
      <c r="C169" s="21"/>
      <c r="O169" s="22"/>
      <c r="P169" s="22"/>
      <c r="Q169" s="23"/>
      <c r="R169" s="23"/>
      <c r="S169" s="22"/>
      <c r="T169" s="22"/>
    </row>
    <row r="170" spans="2:26" ht="15.75" thickBot="1" x14ac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</row>
    <row r="171" spans="2:26" ht="15" customHeight="1" x14ac:dyDescent="0.25">
      <c r="C171" s="29"/>
      <c r="I171" s="30"/>
      <c r="O171" s="65"/>
      <c r="P171" s="65"/>
      <c r="Q171" s="60"/>
      <c r="R171" s="60"/>
      <c r="S171" s="65"/>
      <c r="T171" s="65"/>
    </row>
    <row r="172" spans="2:26" ht="15.75" thickBot="1" x14ac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/>
      <c r="W172" s="93"/>
      <c r="X172" s="93"/>
      <c r="Y172" s="93"/>
    </row>
    <row r="173" spans="2:26" ht="15" customHeight="1" x14ac:dyDescent="0.25"/>
    <row r="174" spans="2:26" ht="15" customHeight="1" thickBot="1" x14ac:dyDescent="0.3"/>
    <row r="175" spans="2:26" ht="15" customHeight="1" x14ac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2" t="s">
        <v>126</v>
      </c>
      <c r="X175" s="79"/>
      <c r="Y175" s="79"/>
      <c r="Z175" s="79"/>
    </row>
    <row r="176" spans="2:26" ht="15" customHeight="1" thickBot="1" x14ac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</row>
    <row r="177" spans="2:26" ht="10.5" customHeight="1" thickBot="1" x14ac:dyDescent="0.3"/>
    <row r="178" spans="2:26" ht="15" customHeight="1" thickBot="1" x14ac:dyDescent="0.3">
      <c r="J178" s="79" t="s">
        <v>2</v>
      </c>
      <c r="K178" s="79"/>
      <c r="L178" s="79"/>
      <c r="M178" s="80" t="str">
        <f>M4</f>
        <v>C1013</v>
      </c>
      <c r="N178" s="80"/>
      <c r="O178" s="80"/>
      <c r="P178" s="80"/>
    </row>
    <row r="179" spans="2:26" s="15" customFormat="1" ht="15" customHeight="1" thickBot="1" x14ac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/>
    </row>
    <row r="180" spans="2:26" s="15" customFormat="1" ht="8.25" customHeight="1" thickBot="1" x14ac:dyDescent="0.3">
      <c r="M180" s="38"/>
      <c r="N180" s="38"/>
      <c r="O180" s="38"/>
      <c r="P180" s="38"/>
    </row>
    <row r="181" spans="2:26" s="15" customFormat="1" ht="15" customHeight="1" thickBot="1" x14ac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/>
      <c r="W181" s="60"/>
      <c r="X181" s="23"/>
    </row>
    <row r="182" spans="2:26" s="15" customFormat="1" ht="10.5" customHeight="1" thickBot="1" x14ac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2:26" s="15" customFormat="1" ht="21" customHeight="1" thickBot="1" x14ac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 t="s">
        <v>8</v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x14ac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/>
      <c r="W184" s="14"/>
      <c r="X184" s="14"/>
      <c r="Y184" s="14"/>
      <c r="Z184" s="14"/>
    </row>
    <row r="185" spans="2:26" s="15" customFormat="1" ht="16.149999999999999" customHeight="1" thickBot="1" x14ac:dyDescent="0.3">
      <c r="B185" s="8"/>
      <c r="C185" s="11">
        <f>IF(ISTEXT(D185),MAX($C$10:C184),"")</f>
        <v>78</v>
      </c>
      <c r="D185" s="66" t="s">
        <v>1487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 t="s">
        <v>76</v>
      </c>
      <c r="W185" s="14"/>
      <c r="X185" s="14"/>
      <c r="Y185" s="14"/>
      <c r="Z185" s="14"/>
    </row>
    <row r="186" spans="2:26" s="15" customFormat="1" ht="16.149999999999999" customHeight="1" thickBot="1" x14ac:dyDescent="0.3">
      <c r="B186" s="8"/>
      <c r="C186" s="11">
        <f>IF(ISTEXT(D186),MAX($C$10:C185),"")</f>
        <v>78</v>
      </c>
      <c r="D186" s="66" t="s">
        <v>1488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 t="s">
        <v>76</v>
      </c>
      <c r="W186" s="14"/>
      <c r="X186" s="14"/>
      <c r="Y186" s="14"/>
      <c r="Z186" s="14"/>
    </row>
    <row r="187" spans="2:26" s="15" customFormat="1" ht="16.149999999999999" customHeight="1" thickBot="1" x14ac:dyDescent="0.3">
      <c r="B187" s="8"/>
      <c r="C187" s="11">
        <f>IF(ISTEXT(D187),MAX($C$10:C186),"")</f>
        <v>78</v>
      </c>
      <c r="D187" s="66" t="s">
        <v>1511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 t="s">
        <v>129</v>
      </c>
      <c r="W187" s="14"/>
      <c r="X187" s="14"/>
      <c r="Y187" s="14"/>
      <c r="Z187" s="14"/>
    </row>
    <row r="188" spans="2:26" s="15" customFormat="1" ht="16.149999999999999" customHeight="1" thickBot="1" x14ac:dyDescent="0.3">
      <c r="B188" s="8"/>
      <c r="C188" s="11">
        <f>IF(ISTEXT(D188),MAX($C$10:C187),"")</f>
        <v>78</v>
      </c>
      <c r="D188" s="66" t="s">
        <v>1279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 t="s">
        <v>129</v>
      </c>
      <c r="W188" s="14"/>
      <c r="X188" s="14"/>
      <c r="Y188" s="14"/>
      <c r="Z188" s="14"/>
    </row>
    <row r="189" spans="2:26" s="15" customFormat="1" ht="16.149999999999999" customHeight="1" thickBot="1" x14ac:dyDescent="0.3">
      <c r="B189" s="8"/>
      <c r="C189" s="11">
        <f>IF(ISTEXT(D189),MAX($C$10:C188),"")</f>
        <v>78</v>
      </c>
      <c r="D189" s="66" t="s">
        <v>1512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 t="s">
        <v>74</v>
      </c>
      <c r="W189" s="14"/>
      <c r="X189" s="14"/>
      <c r="Y189" s="14"/>
      <c r="Z189" s="14"/>
    </row>
    <row r="190" spans="2:26" s="15" customFormat="1" ht="16.149999999999999" customHeight="1" thickBot="1" x14ac:dyDescent="0.3">
      <c r="B190" s="8"/>
      <c r="C190" s="11">
        <f>IF(ISTEXT(D190),MAX($C$10:C189),"")</f>
        <v>78</v>
      </c>
      <c r="D190" s="66" t="s">
        <v>1513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 t="s">
        <v>129</v>
      </c>
      <c r="W190" s="14"/>
      <c r="X190" s="14"/>
      <c r="Y190" s="14"/>
      <c r="Z190" s="14"/>
    </row>
    <row r="191" spans="2:26" ht="16.149999999999999" customHeight="1" thickBot="1" x14ac:dyDescent="0.3">
      <c r="B191" s="8"/>
      <c r="C191" s="11">
        <f>IF(ISTEXT(D191),MAX($C$10:C190),"")</f>
        <v>78</v>
      </c>
      <c r="D191" s="66" t="s">
        <v>1521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 t="s">
        <v>22</v>
      </c>
      <c r="W191" s="14"/>
      <c r="X191" s="14"/>
      <c r="Y191" s="14"/>
      <c r="Z191" s="14"/>
    </row>
    <row r="192" spans="2:26" s="15" customFormat="1" ht="16.149999999999999" customHeight="1" thickBot="1" x14ac:dyDescent="0.3">
      <c r="B192" s="8"/>
      <c r="C192" s="11">
        <f>IF(ISTEXT(D192),MAX($C$10:C191),"")</f>
        <v>78</v>
      </c>
      <c r="D192" s="66" t="s">
        <v>1522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 t="s">
        <v>22</v>
      </c>
      <c r="W192" s="14"/>
      <c r="X192" s="14"/>
      <c r="Y192" s="14"/>
      <c r="Z192" s="14"/>
    </row>
    <row r="193" spans="2:26" s="15" customFormat="1" ht="16.149999999999999" customHeight="1" thickBot="1" x14ac:dyDescent="0.3">
      <c r="B193" s="8"/>
      <c r="C193" s="11">
        <f>IF(ISTEXT(D193),MAX($C$10:C192),"")</f>
        <v>78</v>
      </c>
      <c r="D193" s="66" t="s">
        <v>1523</v>
      </c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 t="s">
        <v>22</v>
      </c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>
        <f>IF(ISTEXT(D194),MAX($C$10:C193),"")</f>
        <v>78</v>
      </c>
      <c r="D194" s="66" t="s">
        <v>1527</v>
      </c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 t="s">
        <v>22</v>
      </c>
      <c r="W194" s="14"/>
      <c r="X194" s="14"/>
      <c r="Y194" s="14"/>
      <c r="Z194" s="14"/>
    </row>
    <row r="195" spans="2:26" s="15" customFormat="1" ht="15.95" customHeight="1" thickBot="1" x14ac:dyDescent="0.3">
      <c r="B195" s="8"/>
      <c r="C195" s="11">
        <f>IF(ISTEXT(D195),MAX($C$10:C194),"")</f>
        <v>78</v>
      </c>
      <c r="D195" s="66" t="s">
        <v>1541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 t="s">
        <v>22</v>
      </c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IF(ISTEXT(D196),MAX($C$10:C195),"")</f>
        <v>78</v>
      </c>
      <c r="D196" s="66" t="s">
        <v>1545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 t="s">
        <v>22</v>
      </c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/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/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/>
      <c r="W199" s="14"/>
      <c r="X199" s="14"/>
      <c r="Y199" s="14"/>
      <c r="Z199" s="14"/>
    </row>
    <row r="200" spans="2:26" s="15" customFormat="1" ht="16.149999999999999" customHeight="1" thickBot="1" x14ac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/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/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/>
      <c r="W203" s="14"/>
      <c r="X203" s="14"/>
      <c r="Y203" s="14"/>
      <c r="Z203" s="14"/>
    </row>
    <row r="204" spans="2:26" s="15" customFormat="1" ht="16.149999999999999" customHeight="1" thickBot="1" x14ac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/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/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>
        <f>IF(ISTEXT(D207),MAX($C$10:C206)+1,"")</f>
        <v>79</v>
      </c>
      <c r="D207" s="66" t="s">
        <v>157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 t="s">
        <v>22</v>
      </c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>
        <f>IF(ISTEXT(D208),MAX($C$10:C207)+1,"")</f>
        <v>80</v>
      </c>
      <c r="D208" s="66" t="s">
        <v>1275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 t="s">
        <v>72</v>
      </c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>
        <f>IF(ISTEXT(D209),MAX($C$10:C208)+1,"")</f>
        <v>81</v>
      </c>
      <c r="D209" s="66" t="s">
        <v>291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 t="s">
        <v>72</v>
      </c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>
        <f>IF(ISTEXT(D210),MAX($C$10:C209)+1,"")</f>
        <v>82</v>
      </c>
      <c r="D210" s="66" t="s">
        <v>1524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 t="s">
        <v>22</v>
      </c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>
        <f>IF(ISTEXT(D211),MAX($C$10:C210)+1,"")</f>
        <v>83</v>
      </c>
      <c r="D211" s="66" t="s">
        <v>1525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 t="s">
        <v>72</v>
      </c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>
        <f>IF(ISTEXT(D212),MAX($C$10:C211)+1,"")</f>
        <v>84</v>
      </c>
      <c r="D212" s="66" t="s">
        <v>1526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 t="s">
        <v>76</v>
      </c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>
        <f>IF(ISTEXT(D213),MAX($C$10:C212)+1,"")</f>
        <v>85</v>
      </c>
      <c r="D213" s="66" t="s">
        <v>506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 t="s">
        <v>72</v>
      </c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>
        <f>IF(ISTEXT(D214),MAX($C$10:C213)+1,"")</f>
        <v>86</v>
      </c>
      <c r="D214" s="66" t="s">
        <v>1509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 t="s">
        <v>72</v>
      </c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>
        <f>IF(ISTEXT(D215),MAX($C$10:C214)+1,"")</f>
        <v>87</v>
      </c>
      <c r="D215" s="66" t="s">
        <v>1510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 t="s">
        <v>22</v>
      </c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/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/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/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/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/>
      <c r="W220" s="14"/>
      <c r="X220" s="14"/>
      <c r="Y220" s="14"/>
      <c r="Z220" s="14"/>
    </row>
    <row r="221" spans="2:26" ht="15" customHeight="1" x14ac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</row>
    <row r="222" spans="2:26" x14ac:dyDescent="0.25">
      <c r="B222" s="20"/>
      <c r="C222" s="21"/>
      <c r="O222" s="22"/>
      <c r="P222" s="22"/>
      <c r="Q222" s="23"/>
      <c r="R222" s="23"/>
      <c r="S222" s="22"/>
      <c r="T222" s="22"/>
    </row>
    <row r="223" spans="2:26" ht="15.75" thickBot="1" x14ac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</row>
    <row r="224" spans="2:26" ht="15" customHeight="1" x14ac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</row>
    <row r="225" spans="2:26" ht="18" customHeight="1" thickBot="1" x14ac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/>
      <c r="W225" s="63"/>
      <c r="X225" s="62"/>
      <c r="Y225" s="62"/>
    </row>
    <row r="226" spans="2:26" ht="18" customHeight="1" thickBot="1" x14ac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/>
      <c r="W226" s="1"/>
      <c r="X226" s="4"/>
      <c r="Y226" s="4"/>
    </row>
    <row r="227" spans="2:26" ht="18" customHeight="1" thickBot="1" x14ac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/>
      <c r="W227" s="1"/>
      <c r="X227" s="4"/>
      <c r="Y227" s="4"/>
    </row>
    <row r="228" spans="2:26" ht="15" customHeight="1" x14ac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2" t="s">
        <v>159</v>
      </c>
      <c r="X228" s="79"/>
      <c r="Y228" s="79"/>
      <c r="Z228" s="79"/>
    </row>
    <row r="229" spans="2:26" ht="15" customHeight="1" thickBot="1" x14ac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</row>
    <row r="230" spans="2:26" ht="10.5" customHeight="1" thickBot="1" x14ac:dyDescent="0.3"/>
    <row r="231" spans="2:26" ht="15" customHeight="1" thickBot="1" x14ac:dyDescent="0.3">
      <c r="J231" s="79" t="s">
        <v>2</v>
      </c>
      <c r="K231" s="79"/>
      <c r="L231" s="79"/>
      <c r="M231" s="80" t="str">
        <f>M4</f>
        <v>C1013</v>
      </c>
      <c r="N231" s="80"/>
      <c r="O231" s="80"/>
      <c r="P231" s="80"/>
    </row>
    <row r="232" spans="2:26" s="15" customFormat="1" ht="15" customHeight="1" thickBot="1" x14ac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/>
    </row>
    <row r="233" spans="2:26" s="15" customFormat="1" ht="8.25" customHeight="1" thickBot="1" x14ac:dyDescent="0.3">
      <c r="M233" s="38"/>
      <c r="N233" s="38"/>
      <c r="O233" s="38"/>
      <c r="P233" s="38"/>
    </row>
    <row r="234" spans="2:26" s="15" customFormat="1" ht="15" customHeight="1" thickBot="1" x14ac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/>
      <c r="W234" s="60"/>
      <c r="X234" s="23"/>
    </row>
    <row r="235" spans="2:26" s="15" customFormat="1" ht="10.5" customHeight="1" thickBot="1" x14ac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2:26" s="15" customFormat="1" ht="21" customHeight="1" thickBot="1" x14ac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 t="s">
        <v>8</v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x14ac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/>
      <c r="W237" s="14"/>
      <c r="X237" s="14"/>
      <c r="Y237" s="14"/>
      <c r="Z237" s="14"/>
    </row>
    <row r="238" spans="2:26" s="15" customFormat="1" ht="16.149999999999999" customHeight="1" thickBot="1" x14ac:dyDescent="0.3">
      <c r="B238" s="8"/>
      <c r="C238" s="11">
        <f>IF(ISTEXT(D238),MAX($C$10:C237)+1,"")</f>
        <v>88</v>
      </c>
      <c r="D238" s="66" t="s">
        <v>157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 t="s">
        <v>22</v>
      </c>
      <c r="W238" s="14"/>
      <c r="X238" s="14"/>
      <c r="Y238" s="14"/>
      <c r="Z238" s="14"/>
    </row>
    <row r="239" spans="2:26" s="15" customFormat="1" ht="16.149999999999999" customHeight="1" thickBot="1" x14ac:dyDescent="0.3">
      <c r="B239" s="8"/>
      <c r="C239" s="11">
        <f>IF(ISTEXT(D239),MAX($C$10:C238)+1,"")</f>
        <v>89</v>
      </c>
      <c r="D239" s="66" t="s">
        <v>1275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 t="s">
        <v>72</v>
      </c>
      <c r="W239" s="14"/>
      <c r="X239" s="14"/>
      <c r="Y239" s="14"/>
      <c r="Z239" s="14"/>
    </row>
    <row r="240" spans="2:26" s="15" customFormat="1" ht="16.149999999999999" customHeight="1" thickBot="1" x14ac:dyDescent="0.3">
      <c r="B240" s="8"/>
      <c r="C240" s="11">
        <f>IF(ISTEXT(D240),MAX($C$10:C239)+1,"")</f>
        <v>90</v>
      </c>
      <c r="D240" s="66" t="s">
        <v>1505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 t="s">
        <v>72</v>
      </c>
      <c r="W240" s="14"/>
      <c r="X240" s="14"/>
      <c r="Y240" s="14"/>
      <c r="Z240" s="14"/>
    </row>
    <row r="241" spans="2:26" s="15" customFormat="1" ht="16.149999999999999" customHeight="1" thickBot="1" x14ac:dyDescent="0.3">
      <c r="B241" s="8"/>
      <c r="C241" s="11">
        <f>IF(ISTEXT(D241),MAX($C$10:C240)+1,"")</f>
        <v>91</v>
      </c>
      <c r="D241" s="66" t="s">
        <v>1506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 t="s">
        <v>22</v>
      </c>
      <c r="W241" s="14"/>
      <c r="X241" s="14"/>
      <c r="Y241" s="14"/>
      <c r="Z241" s="14"/>
    </row>
    <row r="242" spans="2:26" s="15" customFormat="1" ht="16.149999999999999" customHeight="1" thickBot="1" x14ac:dyDescent="0.3">
      <c r="B242" s="8"/>
      <c r="C242" s="11">
        <f>IF(ISTEXT(D242),MAX($C$10:C241)+1,"")</f>
        <v>92</v>
      </c>
      <c r="D242" s="66" t="s">
        <v>1507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 t="s">
        <v>22</v>
      </c>
      <c r="W242" s="14"/>
      <c r="X242" s="14"/>
      <c r="Y242" s="14"/>
      <c r="Z242" s="14"/>
    </row>
    <row r="243" spans="2:26" s="15" customFormat="1" ht="16.149999999999999" customHeight="1" thickBot="1" x14ac:dyDescent="0.3">
      <c r="B243" s="8"/>
      <c r="C243" s="11">
        <f>IF(ISTEXT(D243),MAX($C$10:C242)+1,"")</f>
        <v>93</v>
      </c>
      <c r="D243" s="66" t="s">
        <v>1508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 t="s">
        <v>72</v>
      </c>
      <c r="W243" s="14"/>
      <c r="X243" s="14"/>
      <c r="Y243" s="14"/>
      <c r="Z243" s="14"/>
    </row>
    <row r="244" spans="2:26" s="15" customFormat="1" ht="16.149999999999999" customHeight="1" thickBot="1" x14ac:dyDescent="0.3">
      <c r="B244" s="8"/>
      <c r="C244" s="11">
        <f>IF(ISTEXT(D244),MAX($C$10:C243)+1,"")</f>
        <v>94</v>
      </c>
      <c r="D244" s="66" t="s">
        <v>506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 t="s">
        <v>72</v>
      </c>
      <c r="W244" s="14"/>
      <c r="X244" s="14"/>
      <c r="Y244" s="14"/>
      <c r="Z244" s="14"/>
    </row>
    <row r="245" spans="2:26" ht="16.149999999999999" customHeight="1" thickBot="1" x14ac:dyDescent="0.3">
      <c r="B245" s="8"/>
      <c r="C245" s="11">
        <f>IF(ISTEXT(D245),MAX($C$10:C244)+1,"")</f>
        <v>95</v>
      </c>
      <c r="D245" s="66" t="s">
        <v>1509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 t="s">
        <v>72</v>
      </c>
      <c r="W245" s="14"/>
      <c r="X245" s="14"/>
      <c r="Y245" s="14"/>
      <c r="Z245" s="14"/>
    </row>
    <row r="246" spans="2:26" s="15" customFormat="1" ht="16.149999999999999" customHeight="1" thickBot="1" x14ac:dyDescent="0.3">
      <c r="B246" s="8"/>
      <c r="C246" s="11">
        <f>IF(ISTEXT(D246),MAX($C$10:C245)+1,"")</f>
        <v>96</v>
      </c>
      <c r="D246" s="66" t="s">
        <v>1510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 t="s">
        <v>22</v>
      </c>
      <c r="W246" s="14"/>
      <c r="X246" s="14"/>
      <c r="Y246" s="14"/>
      <c r="Z246" s="14"/>
    </row>
    <row r="247" spans="2:26" s="15" customFormat="1" ht="16.149999999999999" customHeight="1" thickBot="1" x14ac:dyDescent="0.3">
      <c r="B247" s="13"/>
      <c r="C247" s="11" t="str">
        <f>IF(ISTEXT(D247),MAX($C$10:C246)+1,"")</f>
        <v/>
      </c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/>
      <c r="W247" s="14"/>
      <c r="X247" s="14"/>
      <c r="Y247" s="14"/>
      <c r="Z247" s="14"/>
    </row>
    <row r="248" spans="2:26" s="15" customFormat="1" ht="16.149999999999999" customHeight="1" thickBot="1" x14ac:dyDescent="0.3">
      <c r="B248" s="13"/>
      <c r="C248" s="11">
        <f>IF(ISTEXT(D248),MAX($C$10:C247)+1,"")</f>
        <v>97</v>
      </c>
      <c r="D248" s="73" t="s">
        <v>168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0"/>
      <c r="W248" s="14"/>
      <c r="X248" s="14"/>
      <c r="Y248" s="14"/>
      <c r="Z248" s="14"/>
    </row>
    <row r="249" spans="2:26" s="15" customFormat="1" ht="15.95" customHeight="1" thickBot="1" x14ac:dyDescent="0.3">
      <c r="B249" s="13"/>
      <c r="C249" s="11">
        <f>IF(ISTEXT(D249),MAX($C$10:C248)+1,"")</f>
        <v>98</v>
      </c>
      <c r="D249" s="66" t="s">
        <v>1533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 t="s">
        <v>22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13"/>
      <c r="C250" s="11">
        <f>IF(ISTEXT(D250),MAX($C$10:C249)+1,"")</f>
        <v>99</v>
      </c>
      <c r="D250" s="66" t="s">
        <v>1532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">
        <v>72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11">
        <f>IF(ISTEXT(D251),MAX($C$10:C250)+1,"")</f>
        <v>100</v>
      </c>
      <c r="D251" s="66" t="s">
        <v>1531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 t="s">
        <v>22</v>
      </c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>
        <f>IF(ISTEXT(D252),MAX($C$10:C251)+1,"")</f>
        <v>101</v>
      </c>
      <c r="D252" s="66" t="s">
        <v>303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 t="s">
        <v>22</v>
      </c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102</v>
      </c>
      <c r="D253" s="66" t="s">
        <v>1528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 t="s">
        <v>129</v>
      </c>
      <c r="W253" s="14"/>
      <c r="X253" s="14"/>
      <c r="Y253" s="14"/>
      <c r="Z253" s="14"/>
    </row>
    <row r="254" spans="2:26" s="15" customFormat="1" ht="16.149999999999999" customHeight="1" thickBot="1" x14ac:dyDescent="0.3">
      <c r="B254" s="8"/>
      <c r="C254" s="44">
        <f>IF(ISTEXT(D254),MAX($C$10:C253)+1,"")</f>
        <v>103</v>
      </c>
      <c r="D254" s="66" t="s">
        <v>1529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 t="s">
        <v>22</v>
      </c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>
        <f>IF(ISTEXT(D255),MAX($C$10:C254)+1,"")</f>
        <v>104</v>
      </c>
      <c r="D255" s="66" t="s">
        <v>1530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 t="s">
        <v>22</v>
      </c>
      <c r="W255" s="14"/>
      <c r="X255" s="14"/>
      <c r="Y255" s="14"/>
      <c r="Z255" s="14"/>
    </row>
    <row r="256" spans="2:26" s="15" customFormat="1" ht="16.149999999999999" customHeight="1" thickBot="1" x14ac:dyDescent="0.3">
      <c r="B256" s="8"/>
      <c r="C256" s="11">
        <f>IF(ISTEXT(D256),MAX($C$10:C255)+1,"")</f>
        <v>105</v>
      </c>
      <c r="D256" s="70" t="s">
        <v>1494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 t="s">
        <v>22</v>
      </c>
      <c r="W256" s="14"/>
      <c r="X256" s="14"/>
      <c r="Y256" s="14"/>
      <c r="Z256" s="14"/>
    </row>
    <row r="257" spans="2:26" s="15" customFormat="1" ht="16.149999999999999" customHeight="1" thickBot="1" x14ac:dyDescent="0.3">
      <c r="B257" s="8"/>
      <c r="C257" s="11">
        <f>IF(ISTEXT(D257),MAX($C$10:C256)+1,"")</f>
        <v>106</v>
      </c>
      <c r="D257" s="70" t="s">
        <v>1495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 t="s">
        <v>22</v>
      </c>
      <c r="W257" s="14"/>
      <c r="X257" s="14"/>
      <c r="Y257" s="14"/>
      <c r="Z257" s="14"/>
    </row>
    <row r="258" spans="2:26" s="15" customFormat="1" ht="16.149999999999999" customHeight="1" thickBot="1" x14ac:dyDescent="0.3">
      <c r="B258" s="8"/>
      <c r="C258" s="11">
        <f>IF(ISTEXT(D258),MAX($C$10:C257)+1,"")</f>
        <v>107</v>
      </c>
      <c r="D258" s="70" t="s">
        <v>1502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 t="s">
        <v>72</v>
      </c>
      <c r="W258" s="14"/>
      <c r="X258" s="14"/>
      <c r="Y258" s="14"/>
      <c r="Z258" s="14"/>
    </row>
    <row r="259" spans="2:26" s="15" customFormat="1" ht="16.149999999999999" customHeight="1" thickBot="1" x14ac:dyDescent="0.3">
      <c r="B259" s="8"/>
      <c r="C259" s="11">
        <f>IF(ISTEXT(D259),MAX($C$10:C258)+1,"")</f>
        <v>108</v>
      </c>
      <c r="D259" s="70" t="s">
        <v>1503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 t="s">
        <v>72</v>
      </c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11">
        <f>IF(ISTEXT(D260),MAX($C$10:C259)+1,"")</f>
        <v>109</v>
      </c>
      <c r="D260" s="70" t="s">
        <v>1514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 t="s">
        <v>129</v>
      </c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11">
        <f>IF(ISTEXT(D261),MAX($C$10:C260)+1,"")</f>
        <v>110</v>
      </c>
      <c r="D261" s="70" t="s">
        <v>1515</v>
      </c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 t="s">
        <v>1552</v>
      </c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11">
        <f>IF(ISTEXT(D262),MAX($C$10:C261)+1,"")</f>
        <v>111</v>
      </c>
      <c r="D262" s="70" t="s">
        <v>1303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 t="s">
        <v>129</v>
      </c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>
        <f>IF(ISTEXT(D263),MAX($C$10:C262)+1,"")</f>
        <v>112</v>
      </c>
      <c r="D263" s="70" t="s">
        <v>1315</v>
      </c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 t="s">
        <v>129</v>
      </c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11">
        <f>IF(ISTEXT(D264),MAX($C$10:C263)+1,"")</f>
        <v>113</v>
      </c>
      <c r="D264" s="70" t="s">
        <v>1516</v>
      </c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 t="s">
        <v>22</v>
      </c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>
        <f>IF(ISTEXT(D265),MAX($C$10:C264)+1,"")</f>
        <v>114</v>
      </c>
      <c r="D265" s="70" t="s">
        <v>1517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 t="s">
        <v>129</v>
      </c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>
        <f>IF(ISTEXT(D266),MAX($C$10:C265)+1,"")</f>
        <v>115</v>
      </c>
      <c r="D266" s="70" t="s">
        <v>1518</v>
      </c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 t="s">
        <v>129</v>
      </c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>
        <f>IF(ISTEXT(D267),MAX($C$10:C266)+1,"")</f>
        <v>116</v>
      </c>
      <c r="D267" s="70" t="s">
        <v>1519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 t="s">
        <v>74</v>
      </c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>
        <f>IF(ISTEXT(D268),MAX($C$10:C267)+1,"")</f>
        <v>117</v>
      </c>
      <c r="D268" s="70" t="s">
        <v>1520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 t="s">
        <v>22</v>
      </c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>
        <f>IF(ISTEXT(D269),MAX($C$10:C268)+1,"")</f>
        <v>118</v>
      </c>
      <c r="D269" s="70" t="s">
        <v>502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 t="s">
        <v>22</v>
      </c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/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119</v>
      </c>
      <c r="D271" s="66" t="s">
        <v>1337</v>
      </c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 t="s">
        <v>74</v>
      </c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120</v>
      </c>
      <c r="D272" s="66" t="s">
        <v>1338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 t="s">
        <v>74</v>
      </c>
      <c r="W272" s="14"/>
      <c r="X272" s="14"/>
      <c r="Y272" s="14"/>
      <c r="Z272" s="14"/>
    </row>
    <row r="273" spans="2:256" s="15" customFormat="1" ht="16.149999999999999" customHeight="1" thickBot="1" x14ac:dyDescent="0.3">
      <c r="B273" s="8"/>
      <c r="C273" s="11">
        <f>IF(ISTEXT(D273),MAX($C$10:C272)+1,"")</f>
        <v>121</v>
      </c>
      <c r="D273" s="66" t="s">
        <v>1485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 t="s">
        <v>76</v>
      </c>
      <c r="W273" s="14"/>
      <c r="X273" s="14"/>
      <c r="Y273" s="14"/>
      <c r="Z273" s="14"/>
    </row>
    <row r="274" spans="2:256" s="15" customFormat="1" ht="16.149999999999999" customHeight="1" thickBot="1" x14ac:dyDescent="0.3">
      <c r="B274" s="8"/>
      <c r="C274" s="11">
        <f>IF(ISTEXT(D274),MAX($C$10:C273)+1,"")</f>
        <v>122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 t="s">
        <v>28</v>
      </c>
      <c r="W274" s="14"/>
      <c r="X274" s="14"/>
      <c r="Y274" s="14"/>
      <c r="Z274" s="14"/>
    </row>
    <row r="275" spans="2:256" s="15" customFormat="1" ht="16.149999999999999" customHeight="1" thickBot="1" x14ac:dyDescent="0.3">
      <c r="B275" s="8"/>
      <c r="C275" s="11">
        <f>IF(ISTEXT(D275),MAX($C$10:C274)+1,"")</f>
        <v>123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 t="s">
        <v>22</v>
      </c>
      <c r="W275" s="14"/>
      <c r="X275" s="14"/>
      <c r="Y275" s="14"/>
      <c r="Z275" s="14"/>
    </row>
    <row r="276" spans="2:256" s="15" customFormat="1" ht="16.149999999999999" customHeight="1" thickBot="1" x14ac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/>
      <c r="W276" s="14"/>
      <c r="X276" s="14"/>
      <c r="Y276" s="14"/>
      <c r="Z276" s="14"/>
    </row>
    <row r="277" spans="2:256" ht="15" customHeight="1" x14ac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</row>
    <row r="278" spans="2:256" x14ac:dyDescent="0.25">
      <c r="B278" s="20"/>
      <c r="C278" s="21"/>
      <c r="O278" s="22"/>
      <c r="P278" s="22"/>
      <c r="Q278" s="23"/>
      <c r="R278" s="23"/>
      <c r="S278" s="22"/>
      <c r="T278" s="22"/>
    </row>
    <row r="279" spans="2:256" ht="15.75" thickBot="1" x14ac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</row>
    <row r="280" spans="2:256" ht="15" customHeight="1" x14ac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</row>
    <row r="281" spans="2:256" ht="18" customHeight="1" thickBot="1" x14ac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/>
      <c r="W281" s="63"/>
      <c r="X281" s="62"/>
      <c r="Y281" s="62"/>
    </row>
    <row r="282" spans="2:256" ht="20.100000000000001" customHeight="1" x14ac:dyDescent="0.25">
      <c r="B282" s="15"/>
      <c r="C282" s="15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x14ac:dyDescent="0.25">
      <c r="B283" s="15"/>
      <c r="C283" s="15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x14ac:dyDescent="0.25">
      <c r="B284" s="15"/>
      <c r="C284" s="15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x14ac:dyDescent="0.25">
      <c r="B285" s="15"/>
      <c r="C285" s="1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x14ac:dyDescent="0.25">
      <c r="B286" s="15"/>
      <c r="C286" s="15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x14ac:dyDescent="0.25">
      <c r="B287" s="15"/>
      <c r="C287" s="15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x14ac:dyDescent="0.25">
      <c r="B288" s="15"/>
      <c r="C288" s="15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x14ac:dyDescent="0.25">
      <c r="B289" s="15"/>
      <c r="C289" s="15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x14ac:dyDescent="0.25">
      <c r="B290" s="15"/>
      <c r="C290" s="15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x14ac:dyDescent="0.25"/>
    <row r="292" spans="2:256" s="15" customFormat="1" ht="15.95" customHeight="1" x14ac:dyDescent="0.25"/>
    <row r="293" spans="2:256" s="15" customFormat="1" ht="17.100000000000001" customHeight="1" x14ac:dyDescent="0.25"/>
    <row r="294" spans="2:256" s="15" customFormat="1" ht="18.95" customHeight="1" x14ac:dyDescent="0.25"/>
    <row r="295" spans="2:256" s="15" customFormat="1" ht="21" customHeight="1" x14ac:dyDescent="0.25"/>
    <row r="296" spans="2:256" s="15" customFormat="1" ht="16.149999999999999" customHeight="1" x14ac:dyDescent="0.25"/>
    <row r="297" spans="2:256" s="15" customFormat="1" ht="16.149999999999999" customHeight="1" x14ac:dyDescent="0.25"/>
    <row r="298" spans="2:256" s="15" customFormat="1" ht="16.149999999999999" customHeight="1" x14ac:dyDescent="0.25"/>
    <row r="299" spans="2:256" s="15" customFormat="1" ht="16.149999999999999" customHeight="1" x14ac:dyDescent="0.25"/>
    <row r="300" spans="2:256" s="15" customFormat="1" ht="16.149999999999999" customHeight="1" x14ac:dyDescent="0.25"/>
    <row r="301" spans="2:256" s="15" customFormat="1" ht="16.149999999999999" customHeight="1" x14ac:dyDescent="0.25"/>
    <row r="302" spans="2:256" s="15" customFormat="1" ht="16.149999999999999" customHeight="1" x14ac:dyDescent="0.25"/>
    <row r="303" spans="2:256" ht="16.149999999999999" customHeight="1" x14ac:dyDescent="0.25">
      <c r="B303" s="15"/>
      <c r="C303" s="15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x14ac:dyDescent="0.25"/>
    <row r="305" s="15" customFormat="1" ht="16.149999999999999" customHeight="1" x14ac:dyDescent="0.25"/>
    <row r="306" s="15" customFormat="1" ht="16.149999999999999" customHeight="1" x14ac:dyDescent="0.25"/>
    <row r="307" s="15" customFormat="1" ht="16.149999999999999" customHeight="1" x14ac:dyDescent="0.25"/>
    <row r="308" s="15" customFormat="1" ht="16.149999999999999" customHeight="1" x14ac:dyDescent="0.25"/>
    <row r="309" s="15" customFormat="1" ht="16.149999999999999" customHeight="1" x14ac:dyDescent="0.25"/>
    <row r="310" s="15" customFormat="1" ht="16.149999999999999" customHeight="1" x14ac:dyDescent="0.25"/>
    <row r="311" s="15" customFormat="1" ht="16.149999999999999" customHeight="1" x14ac:dyDescent="0.25"/>
    <row r="312" s="15" customFormat="1" ht="16.149999999999999" customHeight="1" x14ac:dyDescent="0.25"/>
    <row r="313" s="15" customFormat="1" ht="16.149999999999999" customHeight="1" x14ac:dyDescent="0.25"/>
    <row r="314" s="15" customFormat="1" ht="16.149999999999999" customHeight="1" x14ac:dyDescent="0.25"/>
    <row r="315" s="15" customFormat="1" ht="16.149999999999999" customHeight="1" x14ac:dyDescent="0.25"/>
    <row r="316" s="15" customFormat="1" ht="16.149999999999999" customHeight="1" x14ac:dyDescent="0.25"/>
    <row r="317" s="15" customFormat="1" ht="16.149999999999999" customHeight="1" x14ac:dyDescent="0.25"/>
    <row r="318" s="15" customFormat="1" ht="16.149999999999999" customHeight="1" x14ac:dyDescent="0.25"/>
    <row r="319" s="15" customFormat="1" ht="16.149999999999999" customHeight="1" x14ac:dyDescent="0.25"/>
    <row r="320" s="15" customFormat="1" ht="16.149999999999999" customHeight="1" x14ac:dyDescent="0.25"/>
    <row r="321" spans="2:256" s="15" customFormat="1" ht="16.149999999999999" customHeight="1" x14ac:dyDescent="0.25"/>
    <row r="322" spans="2:256" s="15" customFormat="1" ht="16.149999999999999" customHeight="1" x14ac:dyDescent="0.25"/>
    <row r="323" spans="2:256" s="15" customFormat="1" ht="16.149999999999999" customHeight="1" x14ac:dyDescent="0.25"/>
    <row r="324" spans="2:256" s="15" customFormat="1" ht="16.149999999999999" customHeight="1" x14ac:dyDescent="0.25"/>
    <row r="325" spans="2:256" s="15" customFormat="1" ht="16.149999999999999" customHeight="1" x14ac:dyDescent="0.25"/>
    <row r="326" spans="2:256" s="15" customFormat="1" ht="16.149999999999999" customHeight="1" x14ac:dyDescent="0.25"/>
    <row r="327" spans="2:256" s="15" customFormat="1" ht="16.149999999999999" customHeight="1" x14ac:dyDescent="0.25"/>
    <row r="328" spans="2:256" s="15" customFormat="1" ht="16.149999999999999" customHeight="1" x14ac:dyDescent="0.25"/>
    <row r="329" spans="2:256" s="15" customFormat="1" ht="16.149999999999999" customHeight="1" x14ac:dyDescent="0.25"/>
    <row r="330" spans="2:256" s="15" customFormat="1" ht="16.149999999999999" customHeight="1" x14ac:dyDescent="0.25"/>
    <row r="331" spans="2:256" s="15" customFormat="1" ht="16.149999999999999" customHeight="1" x14ac:dyDescent="0.25"/>
    <row r="332" spans="2:256" s="15" customFormat="1" ht="16.149999999999999" customHeight="1" x14ac:dyDescent="0.25"/>
    <row r="333" spans="2:256" s="15" customFormat="1" ht="16.149999999999999" customHeight="1" x14ac:dyDescent="0.25"/>
    <row r="334" spans="2:256" ht="15" customHeight="1" x14ac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x14ac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x14ac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x14ac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x14ac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x14ac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x14ac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x14ac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x14ac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nhkzu52a8l+l2gFpmlLocg1P9usfgofGv/4irNKK9iSqhp+53lt1200X2ewqK/auG7ARx/rIkItekX9AG8/k4Q==" saltValue="NzQACD9+I9UMSXD1QCGytw==" spinCount="100000" sheet="1" formatCells="0" formatColumns="0" formatRows="0" insertColumns="0" insertRows="0" insertHyperlinks="0" deleteColumns="0" deleteRows="0" sort="0" autoFilter="0" pivotTables="0"/>
  <mergeCells count="322"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104:U104"/>
    <mergeCell ref="D105:U105"/>
    <mergeCell ref="D106:U106"/>
    <mergeCell ref="B107:T107"/>
    <mergeCell ref="B109:J109"/>
    <mergeCell ref="K109:P109"/>
    <mergeCell ref="Q109:R109"/>
    <mergeCell ref="S109:T109"/>
    <mergeCell ref="D98:U98"/>
    <mergeCell ref="D99:U99"/>
    <mergeCell ref="D100:U100"/>
    <mergeCell ref="D101:U101"/>
    <mergeCell ref="D102:U102"/>
    <mergeCell ref="D103:U103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B281:J281"/>
    <mergeCell ref="K281:P281"/>
    <mergeCell ref="Q281:R281"/>
    <mergeCell ref="S281:U281"/>
    <mergeCell ref="V281:Y281"/>
    <mergeCell ref="B279:J279"/>
    <mergeCell ref="K279:P279"/>
    <mergeCell ref="Q279:R279"/>
    <mergeCell ref="S279:T279"/>
    <mergeCell ref="Q280:R280"/>
    <mergeCell ref="S280:T280"/>
  </mergeCell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xr:uid="{5969897F-543E-44AE-93F5-5923081B6912}">
          <x14:formula1>
            <xm:f>'Breakdown of areas'!$L:$L</xm:f>
          </x14:formula1>
          <xm:sqref>D271:U276</xm:sqref>
        </x14:dataValidation>
        <x14:dataValidation type="list" allowBlank="1" showInputMessage="1" xr:uid="{0FACF208-3030-462A-BCCC-67D1B9EBDEA7}">
          <x14:formula1>
            <xm:f>'Breakdown of areas'!$J:$J</xm:f>
          </x14:formula1>
          <xm:sqref>D218:U218 D210:U215 D238:U239 D241:U247 D207:U208 D253:U254 D249:U250</xm:sqref>
        </x14:dataValidation>
        <x14:dataValidation type="list" allowBlank="1" showInputMessage="1" xr:uid="{C4CE844E-3363-4C09-B13A-2C0443EE6248}">
          <x14:formula1>
            <xm:f>'Breakdown of areas'!$I:$I</xm:f>
          </x14:formula1>
          <xm:sqref>D219:U220 D240:U240 D248:U248 D216:U217 D209:U209</xm:sqref>
        </x14:dataValidation>
        <x14:dataValidation type="list" allowBlank="1" showInputMessage="1" xr:uid="{20A9DDA8-948B-49C1-BEC8-F06B45746CE2}">
          <x14:formula1>
            <xm:f>'Breakdown of areas'!$E:$E</xm:f>
          </x14:formula1>
          <xm:sqref>D73:U73 D140:U150 D152:U155 D157:U159</xm:sqref>
        </x14:dataValidation>
        <x14:dataValidation type="list" allowBlank="1" showInputMessage="1" xr:uid="{0E0BB3AE-7470-4DD4-9521-A1A83AB5F2FB}">
          <x14:formula1>
            <xm:f>'Breakdown of areas'!$D:$D</xm:f>
          </x14:formula1>
          <xm:sqref>D96:U100 D93:U93</xm:sqref>
        </x14:dataValidation>
        <x14:dataValidation type="list" allowBlank="1" showInputMessage="1" xr:uid="{FFAAAE14-4E4E-4EBF-ABB4-230114A3F59A}">
          <x14:formula1>
            <xm:f>'Breakdown of areas'!$B:$B</xm:f>
          </x14:formula1>
          <xm:sqref>D70:U72 D74:U83 D106:U106 D85:U91</xm:sqref>
        </x14:dataValidation>
        <x14:dataValidation type="list" allowBlank="1" showInputMessage="1" xr:uid="{9DA0ED80-819D-41ED-B963-44A855B37D5B}">
          <x14:formula1>
            <xm:f>'Breakdown of areas'!$A:$A</xm:f>
          </x14:formula1>
          <xm:sqref>D48:U53 D12:U39</xm:sqref>
        </x14:dataValidation>
        <x14:dataValidation type="list" allowBlank="1" showInputMessage="1" xr:uid="{24B275E3-BAAC-442F-9164-0B3142382CC1}">
          <x14:formula1>
            <xm:f>Common_Defect_List!$B$2:$B$5</xm:f>
          </x14:formula1>
          <xm:sqref>V11:V53 V123:V167 V70:V106 V238:V276 V185:V220</xm:sqref>
        </x14:dataValidation>
        <x14:dataValidation type="list" allowBlank="1" showInputMessage="1" xr:uid="{0D302229-15C4-4D5E-BA33-3C53AC8B3C2F}">
          <x14:formula1>
            <xm:f>Common_Defect_List!$A:$A</xm:f>
          </x14:formula1>
          <xm:sqref>D32</xm:sqref>
        </x14:dataValidation>
        <x14:dataValidation type="list" allowBlank="1" showInputMessage="1" xr:uid="{806D214C-13BC-4AA7-A519-871ABDAA041C}">
          <x14:formula1>
            <xm:f>'Breakdown of areas'!$G:$G</xm:f>
          </x14:formula1>
          <xm:sqref>D124:U133 D138:U138 D94:U95</xm:sqref>
        </x14:dataValidation>
        <x14:dataValidation type="list" allowBlank="1" showInputMessage="1" xr:uid="{CB6BB89F-5EE7-4FEC-86B1-1C01BE816FAA}">
          <x14:formula1>
            <xm:f>'Breakdown of areas'!$F:$F</xm:f>
          </x14:formula1>
          <xm:sqref>D163:U167 D160:U160</xm:sqref>
        </x14:dataValidation>
        <x14:dataValidation type="list" allowBlank="1" showInputMessage="1" xr:uid="{E087B952-242C-4519-B6A1-F2B84EEF8A5D}">
          <x14:formula1>
            <xm:f>'Breakdown of areas'!$H:$H</xm:f>
          </x14:formula1>
          <xm:sqref>D185:U193 D196:U200 D205:U205</xm:sqref>
        </x14:dataValidation>
        <x14:dataValidation type="list" allowBlank="1" showInputMessage="1" xr:uid="{99CEB8BB-D36E-4F09-8652-5FDF75162C0C}">
          <x14:formula1>
            <xm:f>'Breakdown of areas'!$K:$K</xm:f>
          </x14:formula1>
          <xm:sqref>D268:U269 D256:U266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43C6-3B8C-4BBA-8E92-4CC2F5423BB3}">
  <sheetPr>
    <pageSetUpPr fitToPage="1"/>
  </sheetPr>
  <dimension ref="A1:IV391"/>
  <sheetViews>
    <sheetView view="pageBreakPreview" zoomScaleNormal="100" zoomScaleSheetLayoutView="100" workbookViewId="0">
      <selection activeCell="V273" sqref="V273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1388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132</v>
      </c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62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37</v>
      </c>
    </row>
    <row r="11" spans="2:29" s="4" customFormat="1" ht="16.899999999999999" customHeight="1" thickBot="1" x14ac:dyDescent="0.3">
      <c r="B11" s="8"/>
      <c r="C11" s="11">
        <v>1</v>
      </c>
      <c r="D11" s="70" t="s">
        <v>1470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 t="s">
        <v>22</v>
      </c>
      <c r="W11" s="10"/>
      <c r="X11" s="10"/>
      <c r="Y11" s="10"/>
      <c r="Z11" s="10"/>
      <c r="AB11" s="4" t="s">
        <v>1385</v>
      </c>
      <c r="AC11" s="4">
        <f>COUNTIF(V:V,"MECH")</f>
        <v>14</v>
      </c>
    </row>
    <row r="12" spans="2:29" s="4" customFormat="1" ht="16.350000000000001" customHeight="1" thickBot="1" x14ac:dyDescent="0.3">
      <c r="B12" s="8"/>
      <c r="C12" s="11">
        <v>2</v>
      </c>
      <c r="D12" s="70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 t="str">
        <f>_xlfn.XLOOKUP(D12,Common_Defect_List!A:A,Common_Defect_List!B:B,"")</f>
        <v>FA</v>
      </c>
      <c r="W12" s="10"/>
      <c r="X12" s="10"/>
      <c r="Y12" s="10"/>
      <c r="Z12" s="10"/>
      <c r="AB12" s="4" t="s">
        <v>1386</v>
      </c>
      <c r="AC12" s="4">
        <f>AC8-AC9-AC10-AC11</f>
        <v>19</v>
      </c>
    </row>
    <row r="13" spans="2:29" s="4" customFormat="1" ht="16.350000000000001" customHeight="1" thickBot="1" x14ac:dyDescent="0.3">
      <c r="B13" s="8"/>
      <c r="C13" s="11"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 t="s">
        <v>22</v>
      </c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v>4</v>
      </c>
      <c r="D14" s="70" t="s">
        <v>1424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 t="s">
        <v>22</v>
      </c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 t="s">
        <v>22</v>
      </c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v>6</v>
      </c>
      <c r="D16" s="70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 t="str">
        <f>_xlfn.XLOOKUP(D16,Common_Defect_List!A:A,Common_Defect_List!B:B,"")</f>
        <v>CARP</v>
      </c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 t="s">
        <v>76</v>
      </c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v>8</v>
      </c>
      <c r="D18" s="70" t="s">
        <v>1448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 t="s">
        <v>74</v>
      </c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v>9</v>
      </c>
      <c r="D19" s="70" t="s">
        <v>1452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 t="s">
        <v>28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v>10</v>
      </c>
      <c r="D20" s="70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 t="s">
        <v>28</v>
      </c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v>11</v>
      </c>
      <c r="D21" s="70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 t="str">
        <f>_xlfn.XLOOKUP(D21,Common_Defect_List!A:A,Common_Defect_List!B:B,"")</f>
        <v>CARP</v>
      </c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v>12</v>
      </c>
      <c r="D22" s="70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 t="str">
        <f>_xlfn.XLOOKUP(D22,Common_Defect_List!A:A,Common_Defect_List!B:B,"")</f>
        <v>CARP</v>
      </c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v>13</v>
      </c>
      <c r="D23" s="70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 t="s">
        <v>22</v>
      </c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v>14</v>
      </c>
      <c r="D24" s="70" t="s">
        <v>1456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 t="s">
        <v>22</v>
      </c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v>15</v>
      </c>
      <c r="D25" s="70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 t="s">
        <v>22</v>
      </c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v>16</v>
      </c>
      <c r="D26" s="70" t="s">
        <v>1457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 t="s">
        <v>22</v>
      </c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v>17</v>
      </c>
      <c r="D27" s="70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 t="s">
        <v>22</v>
      </c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v>18</v>
      </c>
      <c r="D28" s="70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 t="str">
        <f>_xlfn.XLOOKUP(D28,Common_Defect_List!A:A,Common_Defect_List!B:B,"")</f>
        <v>ELEC</v>
      </c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v>19</v>
      </c>
      <c r="D29" s="70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 t="s">
        <v>22</v>
      </c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v>20</v>
      </c>
      <c r="D30" s="70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 t="s">
        <v>52</v>
      </c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v>21</v>
      </c>
      <c r="D31" s="70" t="s">
        <v>1389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 t="s">
        <v>22</v>
      </c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v>22</v>
      </c>
      <c r="D32" s="70" t="s">
        <v>1458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 t="s">
        <v>22</v>
      </c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v>23</v>
      </c>
      <c r="D33" s="70" t="s">
        <v>1459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 t="s">
        <v>22</v>
      </c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>
        <v>24</v>
      </c>
      <c r="D34" s="70" t="s">
        <v>1460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 t="s">
        <v>22</v>
      </c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>
        <v>25</v>
      </c>
      <c r="D35" s="70" t="s">
        <v>502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 t="s">
        <v>22</v>
      </c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>
        <v>26</v>
      </c>
      <c r="D36" s="70" t="s">
        <v>1461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 t="s">
        <v>22</v>
      </c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>
        <v>27</v>
      </c>
      <c r="D37" s="70" t="s">
        <v>1462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 t="s">
        <v>22</v>
      </c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>
        <v>28</v>
      </c>
      <c r="D38" s="70" t="s">
        <v>1464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 t="s">
        <v>22</v>
      </c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>
        <v>29</v>
      </c>
      <c r="D39" s="70" t="s">
        <v>1466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 t="s">
        <v>22</v>
      </c>
      <c r="W39" s="10"/>
      <c r="X39" s="10"/>
      <c r="Y39" s="10"/>
      <c r="Z39" s="10"/>
    </row>
    <row r="40" spans="2:26" s="4" customFormat="1" ht="15" customHeight="1" thickBot="1" x14ac:dyDescent="0.3">
      <c r="B40" s="8"/>
      <c r="C40" s="11">
        <v>30</v>
      </c>
      <c r="D40" s="70" t="s">
        <v>1467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 t="s">
        <v>22</v>
      </c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>
        <v>31</v>
      </c>
      <c r="D41" s="70" t="s">
        <v>198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 t="s">
        <v>22</v>
      </c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>
        <v>32</v>
      </c>
      <c r="D42" s="70" t="s">
        <v>1468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 t="s">
        <v>22</v>
      </c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>
        <v>33</v>
      </c>
      <c r="D43" s="70" t="s">
        <v>1469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 t="s">
        <v>22</v>
      </c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>
        <v>34</v>
      </c>
      <c r="D44" s="70" t="s">
        <v>1471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 t="s">
        <v>28</v>
      </c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>
        <v>35</v>
      </c>
      <c r="D45" s="70" t="s">
        <v>1475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 t="s">
        <v>74</v>
      </c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>
        <v>36</v>
      </c>
      <c r="D46" s="70" t="s">
        <v>1476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 t="s">
        <v>74</v>
      </c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 t="str">
        <f>IF(ISTEXT(D48),MAX($C$10:C47)+1,"")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 t="str">
        <f>IF(ISTEXT(#REF!),MAX($C$10:C48)+1,"")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5.95" customHeight="1" thickBot="1" x14ac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/>
      <c r="W50" s="10"/>
      <c r="X50" s="10"/>
      <c r="Y50" s="10"/>
      <c r="Z50" s="10"/>
    </row>
    <row r="51" spans="2:26" s="4" customFormat="1" ht="15.95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/>
      <c r="W53" s="10"/>
      <c r="X53" s="10"/>
      <c r="Y53" s="10"/>
      <c r="Z53" s="10"/>
    </row>
    <row r="54" spans="2:26" s="1" customFormat="1" ht="15" customHeight="1" x14ac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</row>
    <row r="55" spans="2:26" x14ac:dyDescent="0.25">
      <c r="B55" s="20"/>
      <c r="C55" s="21"/>
      <c r="O55" s="22"/>
      <c r="P55" s="22"/>
      <c r="Q55" s="23"/>
      <c r="R55" s="23"/>
      <c r="S55" s="22"/>
      <c r="T55" s="22"/>
    </row>
    <row r="56" spans="2:26" s="1" customFormat="1" ht="13.5" thickBot="1" x14ac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</row>
    <row r="57" spans="2:26" ht="15" customHeight="1" x14ac:dyDescent="0.25">
      <c r="C57" s="29"/>
      <c r="I57" s="30"/>
      <c r="O57" s="65"/>
      <c r="P57" s="65"/>
      <c r="Q57" s="60"/>
      <c r="R57" s="60"/>
      <c r="S57" s="65"/>
      <c r="T57" s="65"/>
    </row>
    <row r="58" spans="2:26" ht="18" customHeight="1" thickBot="1" x14ac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/>
      <c r="W58" s="62"/>
      <c r="X58" s="62"/>
      <c r="Y58" s="62"/>
    </row>
    <row r="59" spans="2:26" ht="15" customHeight="1" thickBot="1" x14ac:dyDescent="0.3"/>
    <row r="60" spans="2:26" ht="15" customHeight="1" x14ac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92" t="s">
        <v>65</v>
      </c>
      <c r="X60" s="79"/>
      <c r="Y60" s="79"/>
      <c r="Z60" s="79"/>
    </row>
    <row r="61" spans="2:26" ht="15" customHeight="1" thickBot="1" x14ac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</row>
    <row r="62" spans="2:26" ht="10.5" customHeight="1" thickBot="1" x14ac:dyDescent="0.3"/>
    <row r="63" spans="2:26" ht="15" customHeight="1" thickBot="1" x14ac:dyDescent="0.3">
      <c r="J63" s="79" t="s">
        <v>2</v>
      </c>
      <c r="K63" s="79"/>
      <c r="L63" s="79"/>
      <c r="M63" s="80" t="str">
        <f>M4</f>
        <v>C1017</v>
      </c>
      <c r="N63" s="80"/>
      <c r="O63" s="80"/>
      <c r="P63" s="80"/>
    </row>
    <row r="64" spans="2:26" s="15" customFormat="1" ht="15" customHeight="1" thickBot="1" x14ac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/>
    </row>
    <row r="65" spans="1:26" s="15" customFormat="1" ht="15.95" customHeight="1" thickBot="1" x14ac:dyDescent="0.3"/>
    <row r="66" spans="1:26" s="15" customFormat="1" ht="15" customHeight="1" thickBot="1" x14ac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/>
      <c r="W66" s="60"/>
      <c r="X66" s="23"/>
    </row>
    <row r="67" spans="1:26" s="15" customFormat="1" ht="15" customHeight="1" thickBot="1" x14ac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s="15" customFormat="1" ht="22.5" customHeight="1" thickBot="1" x14ac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 t="s">
        <v>8</v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x14ac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 s="10"/>
      <c r="W69" s="14"/>
      <c r="X69" s="14"/>
      <c r="Y69" s="14"/>
      <c r="Z69" s="14"/>
    </row>
    <row r="70" spans="1:26" s="15" customFormat="1" ht="15.6" customHeight="1" thickBot="1" x14ac:dyDescent="0.25">
      <c r="B70" s="8"/>
      <c r="C70" s="11">
        <f>IF(ISTEXT(D70),MAX($C$10:C69)+1,"")</f>
        <v>37</v>
      </c>
      <c r="D70" s="95" t="s">
        <v>568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0" t="s">
        <v>22</v>
      </c>
      <c r="W70" s="14"/>
      <c r="X70" s="14"/>
      <c r="Y70" s="14"/>
      <c r="Z70" s="14"/>
    </row>
    <row r="71" spans="1:26" s="15" customFormat="1" ht="15.6" customHeight="1" thickBot="1" x14ac:dyDescent="0.25">
      <c r="B71" s="8"/>
      <c r="C71" s="11">
        <f>IF(ISTEXT(D71),MAX($C$10:C70)+1,"")</f>
        <v>38</v>
      </c>
      <c r="D71" s="95" t="s">
        <v>588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 t="s">
        <v>22</v>
      </c>
      <c r="W71" s="14"/>
      <c r="X71" s="14"/>
      <c r="Y71" s="14"/>
      <c r="Z71" s="14"/>
    </row>
    <row r="72" spans="1:26" s="15" customFormat="1" ht="15.6" customHeight="1" thickBot="1" x14ac:dyDescent="0.25">
      <c r="B72" s="8"/>
      <c r="C72" s="11">
        <f>IF(ISTEXT(D72),MAX($C$10:C71)+1,"")</f>
        <v>39</v>
      </c>
      <c r="D72" s="95" t="s">
        <v>79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 t="s">
        <v>76</v>
      </c>
      <c r="W72" s="14"/>
      <c r="X72" s="14"/>
      <c r="Y72" s="14"/>
      <c r="Z72" s="14"/>
    </row>
    <row r="73" spans="1:26" s="15" customFormat="1" ht="16.149999999999999" customHeight="1" thickBot="1" x14ac:dyDescent="0.25">
      <c r="B73" s="8"/>
      <c r="C73" s="11">
        <f>IF(ISTEXT(D73),MAX($C$10:C72)+1,"")</f>
        <v>40</v>
      </c>
      <c r="D73" s="95" t="s">
        <v>838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 t="s">
        <v>76</v>
      </c>
      <c r="W73" s="14"/>
      <c r="X73" s="14"/>
      <c r="Y73" s="14"/>
      <c r="Z73" s="14"/>
    </row>
    <row r="74" spans="1:26" s="15" customFormat="1" ht="16.149999999999999" customHeight="1" thickBot="1" x14ac:dyDescent="0.25">
      <c r="B74" s="8"/>
      <c r="C74" s="11">
        <f>IF(ISTEXT(D74),MAX($C$10:C73)+1,"")</f>
        <v>41</v>
      </c>
      <c r="D74" s="95" t="s">
        <v>1411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 t="s">
        <v>76</v>
      </c>
      <c r="W74" s="14"/>
      <c r="X74" s="14"/>
      <c r="Y74" s="14"/>
      <c r="Z74" s="14"/>
    </row>
    <row r="75" spans="1:26" s="15" customFormat="1" ht="16.149999999999999" customHeight="1" thickBot="1" x14ac:dyDescent="0.25">
      <c r="B75" s="8"/>
      <c r="C75" s="11">
        <f>IF(ISTEXT(D75),MAX($C$10:C74)+1,"")</f>
        <v>42</v>
      </c>
      <c r="D75" s="95" t="s">
        <v>1412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 t="s">
        <v>76</v>
      </c>
      <c r="W75" s="14"/>
      <c r="X75" s="14"/>
      <c r="Y75" s="14"/>
      <c r="Z75" s="14"/>
    </row>
    <row r="76" spans="1:26" s="15" customFormat="1" ht="16.149999999999999" customHeight="1" thickBot="1" x14ac:dyDescent="0.25">
      <c r="B76" s="8"/>
      <c r="C76" s="11">
        <f>IF(ISTEXT(D76),MAX($C$10:C75)+1,"")</f>
        <v>43</v>
      </c>
      <c r="D76" s="95" t="s">
        <v>1413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 t="s">
        <v>76</v>
      </c>
      <c r="W76" s="14"/>
      <c r="X76" s="14"/>
      <c r="Y76" s="14"/>
      <c r="Z76" s="14"/>
    </row>
    <row r="77" spans="1:26" s="15" customFormat="1" ht="16.149999999999999" customHeight="1" thickBot="1" x14ac:dyDescent="0.25">
      <c r="B77" s="8"/>
      <c r="C77" s="11">
        <f>IF(ISTEXT(D77),MAX($C$10:C76)+1,"")</f>
        <v>44</v>
      </c>
      <c r="D77" s="95" t="s">
        <v>1414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 t="s">
        <v>76</v>
      </c>
      <c r="W77" s="14"/>
      <c r="X77" s="14"/>
      <c r="Y77" s="14"/>
      <c r="Z77" s="14"/>
    </row>
    <row r="78" spans="1:26" ht="16.149999999999999" customHeight="1" thickBot="1" x14ac:dyDescent="0.3">
      <c r="B78" s="8"/>
      <c r="C78" s="11">
        <f>IF(ISTEXT(D78),MAX($C$10:C77)+1,"")</f>
        <v>45</v>
      </c>
      <c r="D78" s="95" t="s">
        <v>1415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 t="s">
        <v>76</v>
      </c>
      <c r="W78" s="14"/>
      <c r="X78" s="14"/>
      <c r="Y78" s="14"/>
      <c r="Z78" s="14"/>
    </row>
    <row r="79" spans="1:26" s="15" customFormat="1" ht="16.149999999999999" customHeight="1" thickBot="1" x14ac:dyDescent="0.25">
      <c r="A79" s="36"/>
      <c r="B79" s="37"/>
      <c r="C79" s="11">
        <f>IF(ISTEXT(D79),MAX($C$10:C78)+1,"")</f>
        <v>46</v>
      </c>
      <c r="D79" s="95" t="s">
        <v>1416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 t="s">
        <v>76</v>
      </c>
      <c r="W79" s="14"/>
      <c r="X79" s="14"/>
      <c r="Y79" s="14"/>
      <c r="Z79" s="14"/>
    </row>
    <row r="80" spans="1:26" s="15" customFormat="1" ht="16.149999999999999" customHeight="1" thickBot="1" x14ac:dyDescent="0.25">
      <c r="B80" s="8"/>
      <c r="C80" s="11">
        <f>IF(ISTEXT(D80),MAX($C$10:C79)+1,"")</f>
        <v>47</v>
      </c>
      <c r="D80" s="95" t="s">
        <v>1453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 t="s">
        <v>22</v>
      </c>
      <c r="W80" s="14"/>
      <c r="X80" s="14"/>
      <c r="Y80" s="14"/>
      <c r="Z80" s="14"/>
    </row>
    <row r="81" spans="2:26" s="15" customFormat="1" ht="16.149999999999999" customHeight="1" thickBot="1" x14ac:dyDescent="0.25">
      <c r="B81" s="8"/>
      <c r="C81" s="11">
        <f>IF(ISTEXT(D81),MAX($C$10:C80)+1,"")</f>
        <v>48</v>
      </c>
      <c r="D81" s="95" t="s">
        <v>1454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 t="s">
        <v>76</v>
      </c>
      <c r="W81" s="14"/>
      <c r="X81" s="14"/>
      <c r="Y81" s="14"/>
      <c r="Z81" s="14"/>
    </row>
    <row r="82" spans="2:26" s="15" customFormat="1" ht="16.149999999999999" customHeight="1" thickBot="1" x14ac:dyDescent="0.25">
      <c r="B82" s="8"/>
      <c r="C82" s="11">
        <f>IF(ISTEXT(D82),MAX($C$10:C81)+1,"")</f>
        <v>49</v>
      </c>
      <c r="D82" s="95" t="s">
        <v>1455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 t="s">
        <v>72</v>
      </c>
      <c r="W82" s="14"/>
      <c r="X82" s="14"/>
      <c r="Y82" s="14"/>
      <c r="Z82" s="14"/>
    </row>
    <row r="83" spans="2:26" s="15" customFormat="1" ht="16.149999999999999" customHeight="1" thickBot="1" x14ac:dyDescent="0.25">
      <c r="B83" s="8"/>
      <c r="C83" s="11">
        <f>IF(ISTEXT(D83),MAX($C$10:C82)+1,"")</f>
        <v>50</v>
      </c>
      <c r="D83" s="95" t="s">
        <v>1463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 t="s">
        <v>1472</v>
      </c>
      <c r="W83" s="14"/>
      <c r="X83" s="14"/>
      <c r="Y83" s="14"/>
      <c r="Z83" s="14"/>
    </row>
    <row r="84" spans="2:26" s="15" customFormat="1" ht="16.149999999999999" customHeight="1" thickBot="1" x14ac:dyDescent="0.3">
      <c r="B84" s="8"/>
      <c r="C84" s="11"/>
      <c r="D84" s="73" t="s">
        <v>82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5"/>
      <c r="V84" s="10" t="str">
        <f>_xlfn.XLOOKUP(D84,Common_Defect_List!A:A,Common_Defect_List!B:B,"")</f>
        <v/>
      </c>
      <c r="W84" s="14"/>
      <c r="X84" s="14"/>
      <c r="Y84" s="14"/>
      <c r="Z84" s="14"/>
    </row>
    <row r="85" spans="2:26" s="15" customFormat="1" ht="16.149999999999999" customHeight="1" thickBot="1" x14ac:dyDescent="0.3">
      <c r="B85" s="8"/>
      <c r="C85" s="11"/>
      <c r="D85" s="73" t="s">
        <v>1473</v>
      </c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5"/>
      <c r="V85" s="10"/>
      <c r="W85" s="14"/>
      <c r="X85" s="14"/>
      <c r="Y85" s="14"/>
      <c r="Z85" s="14"/>
    </row>
    <row r="86" spans="2:26" s="15" customFormat="1" ht="16.149999999999999" customHeight="1" thickBot="1" x14ac:dyDescent="0.3">
      <c r="B86" s="8"/>
      <c r="C86" s="11"/>
      <c r="D86" s="73" t="s">
        <v>92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5"/>
      <c r="V86" s="10"/>
      <c r="W86" s="14"/>
      <c r="X86" s="14"/>
      <c r="Y86" s="14"/>
      <c r="Z86" s="14"/>
    </row>
    <row r="87" spans="2:26" s="15" customFormat="1" ht="16.149999999999999" customHeight="1" thickBot="1" x14ac:dyDescent="0.3">
      <c r="B87" s="8"/>
      <c r="C87" s="11">
        <f>IF(ISTEXT(D87),MAX($C$10:C86)+1,"")</f>
        <v>51</v>
      </c>
      <c r="D87" s="70" t="s">
        <v>1451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10" t="s">
        <v>76</v>
      </c>
      <c r="W87" s="14"/>
      <c r="X87" s="14"/>
      <c r="Y87" s="14"/>
      <c r="Z87" s="14"/>
    </row>
    <row r="88" spans="2:26" s="15" customFormat="1" ht="16.149999999999999" customHeight="1" thickBot="1" x14ac:dyDescent="0.3">
      <c r="B88" s="8"/>
      <c r="C88" s="11">
        <f>IF(ISTEXT(D88),MAX($C$10:C87)+1,"")</f>
        <v>52</v>
      </c>
      <c r="D88" s="70" t="s">
        <v>1450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 t="s">
        <v>22</v>
      </c>
      <c r="W88" s="14"/>
      <c r="X88" s="14"/>
      <c r="Y88" s="14"/>
      <c r="Z88" s="14"/>
    </row>
    <row r="89" spans="2:26" s="15" customFormat="1" ht="16.149999999999999" customHeight="1" thickBot="1" x14ac:dyDescent="0.3">
      <c r="B89" s="8"/>
      <c r="C89" s="11">
        <f>IF(ISTEXT(D89),MAX($C$10:C88)+1,"")</f>
        <v>53</v>
      </c>
      <c r="D89" s="70" t="s">
        <v>1449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 t="s">
        <v>22</v>
      </c>
      <c r="W89" s="14"/>
      <c r="X89" s="14"/>
      <c r="Y89" s="14"/>
      <c r="Z89" s="14"/>
    </row>
    <row r="90" spans="2:26" s="15" customFormat="1" ht="15.95" customHeight="1" thickBot="1" x14ac:dyDescent="0.3">
      <c r="B90" s="8"/>
      <c r="C90" s="11">
        <f>IF(ISTEXT(D90),MAX($C$10:C89)+1,"")</f>
        <v>54</v>
      </c>
      <c r="D90" s="70" t="s">
        <v>1406</v>
      </c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2"/>
      <c r="V90" s="10" t="s">
        <v>28</v>
      </c>
      <c r="W90" s="14"/>
      <c r="X90" s="14"/>
      <c r="Y90" s="14"/>
      <c r="Z90" s="14"/>
    </row>
    <row r="91" spans="2:26" s="15" customFormat="1" ht="16.149999999999999" customHeight="1" thickBot="1" x14ac:dyDescent="0.3">
      <c r="B91" s="8"/>
      <c r="C91" s="11">
        <f>IF(ISTEXT(D91),MAX($C$10:C90)+1,"")</f>
        <v>55</v>
      </c>
      <c r="D91" s="70" t="s">
        <v>80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 t="s">
        <v>76</v>
      </c>
      <c r="W91" s="14"/>
      <c r="X91" s="14"/>
      <c r="Y91" s="14"/>
      <c r="Z91" s="14"/>
    </row>
    <row r="92" spans="2:26" s="15" customFormat="1" ht="16.149999999999999" customHeight="1" thickBot="1" x14ac:dyDescent="0.3">
      <c r="B92" s="8"/>
      <c r="C92" s="11">
        <f>IF(ISTEXT(D92),MAX($C$10:C91)+1,"")</f>
        <v>56</v>
      </c>
      <c r="D92" s="70" t="s">
        <v>1267</v>
      </c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2"/>
      <c r="V92" s="10" t="s">
        <v>76</v>
      </c>
      <c r="W92" s="14"/>
      <c r="X92" s="14"/>
      <c r="Y92" s="14"/>
      <c r="Z92" s="14"/>
    </row>
    <row r="93" spans="2:26" s="15" customFormat="1" ht="16.149999999999999" customHeight="1" thickBot="1" x14ac:dyDescent="0.3">
      <c r="B93" s="8"/>
      <c r="C93" s="11">
        <f>IF(ISTEXT(D93),MAX($C$10:C92)+1,"")</f>
        <v>57</v>
      </c>
      <c r="D93" s="70" t="s">
        <v>79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 t="s">
        <v>76</v>
      </c>
      <c r="W93" s="14"/>
      <c r="X93" s="14"/>
      <c r="Y93" s="14"/>
      <c r="Z93" s="14"/>
    </row>
    <row r="94" spans="2:26" s="15" customFormat="1" ht="16.149999999999999" customHeight="1" thickBot="1" x14ac:dyDescent="0.3">
      <c r="B94" s="8"/>
      <c r="C94" s="11">
        <f>IF(ISTEXT(D94),MAX($C$10:C93)+1,"")</f>
        <v>58</v>
      </c>
      <c r="D94" s="70" t="s">
        <v>1407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 t="s">
        <v>76</v>
      </c>
      <c r="W94" s="14"/>
      <c r="X94" s="14"/>
      <c r="Y94" s="14"/>
      <c r="Z94" s="14"/>
    </row>
    <row r="95" spans="2:26" s="15" customFormat="1" ht="16.149999999999999" customHeight="1" thickBot="1" x14ac:dyDescent="0.3">
      <c r="B95" s="8"/>
      <c r="C95" s="11">
        <f>IF(ISTEXT(D95),MAX($C$10:C94)+1,"")</f>
        <v>59</v>
      </c>
      <c r="D95" s="70" t="s">
        <v>1474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 t="s">
        <v>22</v>
      </c>
      <c r="W95" s="14"/>
      <c r="X95" s="14"/>
      <c r="Y95" s="14"/>
      <c r="Z95" s="14"/>
    </row>
    <row r="96" spans="2:26" s="15" customFormat="1" ht="16.149999999999999" customHeight="1" thickBot="1" x14ac:dyDescent="0.3">
      <c r="B96" s="8"/>
      <c r="C96" s="11">
        <f>IF(ISTEXT(D96),MAX($C$10:C95)+1,"")</f>
        <v>60</v>
      </c>
      <c r="D96" s="70" t="s">
        <v>125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 t="s">
        <v>76</v>
      </c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>
        <f>IF(ISTEXT(D97),MAX($C$10:C96)+1,"")</f>
        <v>61</v>
      </c>
      <c r="D97" s="70" t="s">
        <v>1408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 t="str">
        <f>_xlfn.XLOOKUP(D91,Common_Defect_List!A:A,Common_Defect_List!B:B,"")</f>
        <v>PLUM</v>
      </c>
      <c r="W97" s="14"/>
      <c r="X97" s="14"/>
      <c r="Y97" s="14"/>
      <c r="Z97" s="14"/>
    </row>
    <row r="98" spans="2:26" s="15" customFormat="1" ht="19.149999999999999" customHeight="1" thickBot="1" x14ac:dyDescent="0.3">
      <c r="B98" s="8"/>
      <c r="C98" s="11">
        <f>IF(ISTEXT(D98),MAX($C$10:C97)+1,"")</f>
        <v>62</v>
      </c>
      <c r="D98" s="70" t="s">
        <v>1409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 t="s">
        <v>76</v>
      </c>
      <c r="W98" s="14"/>
      <c r="X98" s="14"/>
      <c r="Y98" s="14"/>
      <c r="Z98" s="14"/>
    </row>
    <row r="99" spans="2:26" s="15" customFormat="1" ht="16.149999999999999" customHeight="1" thickBot="1" x14ac:dyDescent="0.3">
      <c r="B99" s="8"/>
      <c r="C99" s="11">
        <f>IF(ISTEXT(D99),MAX($C$10:C98)+1,"")</f>
        <v>63</v>
      </c>
      <c r="D99" s="70" t="s">
        <v>1410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 t="s">
        <v>76</v>
      </c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64</v>
      </c>
      <c r="D100" s="70" t="s">
        <v>78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 t="s">
        <v>76</v>
      </c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65</v>
      </c>
      <c r="D101" s="70" t="s">
        <v>1432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 t="s">
        <v>1382</v>
      </c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66</v>
      </c>
      <c r="D102" s="70" t="s">
        <v>1433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 t="s">
        <v>22</v>
      </c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>
        <f>IF(ISTEXT(D103),MAX($C$10:C102)+1,"")</f>
        <v>67</v>
      </c>
      <c r="D103" s="70" t="s">
        <v>1434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 t="s">
        <v>76</v>
      </c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68</v>
      </c>
      <c r="D104" s="70" t="s">
        <v>1435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 t="s">
        <v>22</v>
      </c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>
        <f>IF(ISTEXT(D105),MAX($C$10:C104)+1,"")</f>
        <v>69</v>
      </c>
      <c r="D105" s="70" t="s">
        <v>1436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 t="s">
        <v>52</v>
      </c>
      <c r="W105" s="14"/>
      <c r="X105" s="14"/>
      <c r="Y105" s="14"/>
      <c r="Z105" s="14"/>
    </row>
    <row r="106" spans="2:26" s="15" customFormat="1" ht="16.149999999999999" customHeight="1" thickBot="1" x14ac:dyDescent="0.25">
      <c r="B106" s="8"/>
      <c r="C106" s="11">
        <f>IF(ISTEXT(D106),MAX($C$10:C105)+1,"")</f>
        <v>70</v>
      </c>
      <c r="D106" s="95" t="s">
        <v>1463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 t="s">
        <v>22</v>
      </c>
      <c r="W106" s="14"/>
      <c r="X106" s="14"/>
      <c r="Y106" s="14"/>
      <c r="Z106" s="14"/>
    </row>
    <row r="107" spans="2:26" ht="15" customHeight="1" x14ac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</row>
    <row r="108" spans="2:26" x14ac:dyDescent="0.25">
      <c r="B108" s="20"/>
      <c r="C108" s="21"/>
      <c r="O108" s="22"/>
      <c r="P108" s="22"/>
      <c r="Q108" s="23"/>
      <c r="R108" s="23"/>
      <c r="S108" s="22"/>
      <c r="T108" s="22"/>
    </row>
    <row r="109" spans="2:26" ht="15.75" thickBot="1" x14ac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</row>
    <row r="110" spans="2:26" ht="15" customHeight="1" x14ac:dyDescent="0.25">
      <c r="C110" s="29"/>
      <c r="I110" s="30"/>
      <c r="O110" s="65"/>
      <c r="P110" s="65"/>
      <c r="Q110" s="60"/>
      <c r="R110" s="60"/>
      <c r="S110" s="65"/>
      <c r="T110" s="65"/>
    </row>
    <row r="111" spans="2:26" ht="18" customHeight="1" thickBot="1" x14ac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/>
      <c r="W111" s="62"/>
      <c r="X111" s="62"/>
      <c r="Y111" s="62"/>
    </row>
    <row r="112" spans="2:26" ht="15" customHeight="1" x14ac:dyDescent="0.25"/>
    <row r="113" spans="2:26" ht="15" customHeight="1" thickBot="1" x14ac:dyDescent="0.3"/>
    <row r="114" spans="2:26" ht="15" customHeight="1" x14ac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2" t="s">
        <v>99</v>
      </c>
      <c r="X114" s="79"/>
      <c r="Y114" s="79"/>
      <c r="Z114" s="79"/>
    </row>
    <row r="115" spans="2:26" ht="15" customHeight="1" thickBot="1" x14ac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</row>
    <row r="116" spans="2:26" ht="10.5" customHeight="1" thickBot="1" x14ac:dyDescent="0.3"/>
    <row r="117" spans="2:26" ht="15" customHeight="1" thickBot="1" x14ac:dyDescent="0.3">
      <c r="J117" s="79" t="s">
        <v>2</v>
      </c>
      <c r="K117" s="79"/>
      <c r="L117" s="79"/>
      <c r="M117" s="80" t="str">
        <f>M4</f>
        <v>C1017</v>
      </c>
      <c r="N117" s="80"/>
      <c r="O117" s="80"/>
      <c r="P117" s="80"/>
    </row>
    <row r="118" spans="2:26" s="15" customFormat="1" ht="15" customHeight="1" thickBot="1" x14ac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/>
    </row>
    <row r="119" spans="2:26" s="15" customFormat="1" ht="17.100000000000001" customHeight="1" thickBot="1" x14ac:dyDescent="0.3"/>
    <row r="120" spans="2:26" s="15" customFormat="1" ht="15" customHeight="1" thickBot="1" x14ac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/>
      <c r="W120" s="60"/>
      <c r="X120" s="23"/>
    </row>
    <row r="121" spans="2:26" s="15" customFormat="1" ht="10.5" customHeight="1" thickBot="1" x14ac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2:26" s="15" customFormat="1" ht="21" customHeight="1" thickBot="1" x14ac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 t="s">
        <v>8</v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x14ac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/>
      <c r="W123" s="14"/>
      <c r="X123" s="14"/>
      <c r="Y123" s="14"/>
      <c r="Z123" s="14"/>
    </row>
    <row r="124" spans="2:26" s="15" customFormat="1" ht="16.149999999999999" customHeight="1" thickBot="1" x14ac:dyDescent="0.3">
      <c r="B124" s="8"/>
      <c r="C124" s="11">
        <f>IF(ISTEXT(D124),MAX($C$10:C123)+1,"")</f>
        <v>71</v>
      </c>
      <c r="D124" s="70" t="s">
        <v>1431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 t="s">
        <v>22</v>
      </c>
      <c r="W124" s="14"/>
      <c r="X124" s="14"/>
      <c r="Y124" s="14"/>
      <c r="Z124" s="14"/>
    </row>
    <row r="125" spans="2:26" s="15" customFormat="1" ht="16.149999999999999" customHeight="1" thickBot="1" x14ac:dyDescent="0.3">
      <c r="B125" s="8"/>
      <c r="C125" s="11">
        <f>IF(ISTEXT(D125),MAX($C$10:C124)+1,"")</f>
        <v>72</v>
      </c>
      <c r="D125" s="70" t="s">
        <v>80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 t="s">
        <v>76</v>
      </c>
      <c r="W125" s="14"/>
      <c r="X125" s="14"/>
      <c r="Y125" s="14"/>
      <c r="Z125" s="14"/>
    </row>
    <row r="126" spans="2:26" s="15" customFormat="1" ht="16.149999999999999" customHeight="1" thickBot="1" x14ac:dyDescent="0.3">
      <c r="B126" s="8"/>
      <c r="C126" s="11">
        <f>IF(ISTEXT(D126),MAX($C$10:C125)+1,"")</f>
        <v>73</v>
      </c>
      <c r="D126" s="70" t="s">
        <v>838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 t="s">
        <v>76</v>
      </c>
      <c r="W126" s="14"/>
      <c r="X126" s="14"/>
      <c r="Y126" s="14"/>
      <c r="Z126" s="14"/>
    </row>
    <row r="127" spans="2:26" s="15" customFormat="1" ht="16.149999999999999" customHeight="1" thickBot="1" x14ac:dyDescent="0.3">
      <c r="B127" s="8"/>
      <c r="C127" s="11">
        <f>IF(ISTEXT(D127),MAX($C$10:C126)+1,"")</f>
        <v>74</v>
      </c>
      <c r="D127" s="70" t="s">
        <v>79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2"/>
      <c r="V127" s="10" t="s">
        <v>76</v>
      </c>
      <c r="W127" s="14"/>
      <c r="X127" s="14"/>
      <c r="Y127" s="14"/>
      <c r="Z127" s="14"/>
    </row>
    <row r="128" spans="2:26" s="15" customFormat="1" ht="16.149999999999999" customHeight="1" thickBot="1" x14ac:dyDescent="0.3">
      <c r="B128" s="8"/>
      <c r="C128" s="11">
        <f>IF(ISTEXT(D128),MAX($C$10:C127)+1,"")</f>
        <v>75</v>
      </c>
      <c r="D128" s="70" t="s">
        <v>78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 t="s">
        <v>76</v>
      </c>
      <c r="W128" s="14"/>
      <c r="X128" s="14"/>
      <c r="Y128" s="14"/>
      <c r="Z128" s="14"/>
    </row>
    <row r="129" spans="2:26" s="15" customFormat="1" ht="16.149999999999999" customHeight="1" thickBot="1" x14ac:dyDescent="0.3">
      <c r="B129" s="8"/>
      <c r="C129" s="11" t="str">
        <f>IF(ISTEXT(D129),MAX($C$10:C128)+1,"")</f>
        <v/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/>
      <c r="W129" s="14"/>
      <c r="X129" s="14"/>
      <c r="Y129" s="14"/>
      <c r="Z129" s="14"/>
    </row>
    <row r="130" spans="2:26" ht="16.149999999999999" customHeight="1" thickBot="1" x14ac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/>
      <c r="W130" s="14"/>
      <c r="X130" s="14"/>
      <c r="Y130" s="14"/>
      <c r="Z130" s="14"/>
    </row>
    <row r="131" spans="2:26" s="15" customFormat="1" ht="16.149999999999999" customHeight="1" thickBot="1" x14ac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/>
      <c r="W131" s="14"/>
      <c r="X131" s="14"/>
      <c r="Y131" s="14"/>
      <c r="Z131" s="14"/>
    </row>
    <row r="132" spans="2:26" s="15" customFormat="1" ht="16.149999999999999" customHeight="1" thickBot="1" x14ac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/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/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/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/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/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/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/>
      <c r="W138" s="14"/>
      <c r="X138" s="14"/>
      <c r="Y138" s="14"/>
      <c r="Z138" s="14"/>
    </row>
    <row r="139" spans="2:26" ht="16.5" thickBot="1" x14ac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 t="str">
        <f>_xlfn.XLOOKUP(D139,Common_Defect_List!A:A,Common_Defect_List!B:B,"")</f>
        <v/>
      </c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>
        <f>IF(ISTEXT(D140),MAX($C$10:C139)+1,"")</f>
        <v>76</v>
      </c>
      <c r="D140" s="70" t="s">
        <v>1414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 t="s">
        <v>76</v>
      </c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>
        <f>IF(ISTEXT(D141),MAX($C$10:C140)+1,"")</f>
        <v>77</v>
      </c>
      <c r="D141" s="70" t="s">
        <v>1427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 t="s">
        <v>76</v>
      </c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78</v>
      </c>
      <c r="D142" s="70" t="s">
        <v>80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 t="s">
        <v>76</v>
      </c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79</v>
      </c>
      <c r="D143" s="70" t="s">
        <v>79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 t="s">
        <v>76</v>
      </c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80</v>
      </c>
      <c r="D144" s="70" t="s">
        <v>838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 t="s">
        <v>76</v>
      </c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>
        <f>IF(ISTEXT(D145),MAX($C$10:C144)+1,"")</f>
        <v>81</v>
      </c>
      <c r="D145" s="70" t="s">
        <v>1428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 t="s">
        <v>76</v>
      </c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>
        <f>IF(ISTEXT(D146),MAX($C$10:C145)+1,"")</f>
        <v>82</v>
      </c>
      <c r="D146" s="70" t="s">
        <v>1350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 t="s">
        <v>76</v>
      </c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>
        <f>IF(ISTEXT(D147),MAX($C$10:C146)+1,"")</f>
        <v>83</v>
      </c>
      <c r="D147" s="70" t="s">
        <v>118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 t="s">
        <v>76</v>
      </c>
      <c r="W147" s="14"/>
      <c r="X147" s="14"/>
      <c r="Y147" s="14"/>
      <c r="Z147" s="14"/>
    </row>
    <row r="148" spans="2:26" s="15" customFormat="1" ht="16.149999999999999" customHeight="1" thickBot="1" x14ac:dyDescent="0.3">
      <c r="B148" s="8"/>
      <c r="C148" s="11">
        <f>IF(ISTEXT(D148),MAX($C$10:C147)+1,"")</f>
        <v>84</v>
      </c>
      <c r="D148" s="70" t="s">
        <v>1437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 t="s">
        <v>22</v>
      </c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85</v>
      </c>
      <c r="D149" s="70" t="s">
        <v>1438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 t="s">
        <v>22</v>
      </c>
      <c r="W149" s="14"/>
      <c r="X149" s="14"/>
      <c r="Y149" s="14"/>
      <c r="Z149" s="14"/>
    </row>
    <row r="150" spans="2:26" s="15" customFormat="1" ht="16.149999999999999" customHeight="1" thickBot="1" x14ac:dyDescent="0.3">
      <c r="B150" s="8"/>
      <c r="C150" s="11">
        <f>IF(ISTEXT(D150),MAX($C$10:C149)+1,"")</f>
        <v>86</v>
      </c>
      <c r="D150" s="70" t="s">
        <v>1439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 t="s">
        <v>22</v>
      </c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>
        <f>IF(ISTEXT(D151),MAX($C$10:C150)+1,"")</f>
        <v>87</v>
      </c>
      <c r="D151" s="70" t="s">
        <v>1440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 t="s">
        <v>72</v>
      </c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>
        <f>IF(ISTEXT(D152),MAX($C$10:C151)+1,"")</f>
        <v>88</v>
      </c>
      <c r="D152" s="70" t="s">
        <v>1441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 t="s">
        <v>22</v>
      </c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>
        <f>IF(ISTEXT(D153),MAX($C$10:C152)+1,"")</f>
        <v>89</v>
      </c>
      <c r="D153" s="70" t="s">
        <v>1442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 t="s">
        <v>22</v>
      </c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/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 t="str">
        <f>_xlfn.XLOOKUP(D156,Common_Defect_List!A:A,Common_Defect_List!B:B,"")</f>
        <v/>
      </c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90</v>
      </c>
      <c r="D157" s="70" t="s">
        <v>125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 t="s">
        <v>76</v>
      </c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91</v>
      </c>
      <c r="D158" s="70" t="s">
        <v>1429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 t="s">
        <v>76</v>
      </c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>
        <f>IF(ISTEXT(D159),MAX($C$10:C158)+1,"")</f>
        <v>92</v>
      </c>
      <c r="D159" s="70" t="s">
        <v>1443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 t="s">
        <v>22</v>
      </c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>
        <f>IF(ISTEXT(D160),MAX($C$10:C159)+1,"")</f>
        <v>93</v>
      </c>
      <c r="D160" s="70" t="s">
        <v>1444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 t="s">
        <v>22</v>
      </c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>
        <f>IF(ISTEXT(D161),MAX($C$10:C160)+1,"")</f>
        <v>94</v>
      </c>
      <c r="D161" s="70" t="s">
        <v>1445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 t="s">
        <v>22</v>
      </c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>
        <f>IF(ISTEXT(D162),MAX($C$10:C161)+1,"")</f>
        <v>95</v>
      </c>
      <c r="D162" s="70" t="s">
        <v>1446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 t="s">
        <v>22</v>
      </c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>
        <f>IF(ISTEXT(D163),MAX($C$10:C162)+1,"")</f>
        <v>96</v>
      </c>
      <c r="D163" s="70" t="s">
        <v>1447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 t="s">
        <v>22</v>
      </c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/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/>
      <c r="W167" s="14"/>
      <c r="X167" s="14"/>
      <c r="Y167" s="14"/>
      <c r="Z167" s="14"/>
    </row>
    <row r="168" spans="2:26" ht="15" customHeight="1" x14ac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</row>
    <row r="169" spans="2:26" x14ac:dyDescent="0.25">
      <c r="B169" s="20"/>
      <c r="C169" s="21"/>
      <c r="O169" s="22"/>
      <c r="P169" s="22"/>
      <c r="Q169" s="23"/>
      <c r="R169" s="23"/>
      <c r="S169" s="22"/>
      <c r="T169" s="22"/>
    </row>
    <row r="170" spans="2:26" ht="15.75" thickBot="1" x14ac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</row>
    <row r="171" spans="2:26" ht="15" customHeight="1" x14ac:dyDescent="0.25">
      <c r="C171" s="29"/>
      <c r="I171" s="30"/>
      <c r="O171" s="65"/>
      <c r="P171" s="65"/>
      <c r="Q171" s="60"/>
      <c r="R171" s="60"/>
      <c r="S171" s="65"/>
      <c r="T171" s="65"/>
    </row>
    <row r="172" spans="2:26" ht="15.75" thickBot="1" x14ac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/>
      <c r="W172" s="93"/>
      <c r="X172" s="93"/>
      <c r="Y172" s="93"/>
    </row>
    <row r="173" spans="2:26" ht="15" customHeight="1" x14ac:dyDescent="0.25"/>
    <row r="174" spans="2:26" ht="15" customHeight="1" thickBot="1" x14ac:dyDescent="0.3"/>
    <row r="175" spans="2:26" ht="15" customHeight="1" x14ac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2" t="s">
        <v>126</v>
      </c>
      <c r="X175" s="79"/>
      <c r="Y175" s="79"/>
      <c r="Z175" s="79"/>
    </row>
    <row r="176" spans="2:26" ht="15" customHeight="1" thickBot="1" x14ac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</row>
    <row r="177" spans="2:26" ht="10.5" customHeight="1" thickBot="1" x14ac:dyDescent="0.3"/>
    <row r="178" spans="2:26" ht="15" customHeight="1" thickBot="1" x14ac:dyDescent="0.3">
      <c r="J178" s="79" t="s">
        <v>2</v>
      </c>
      <c r="K178" s="79"/>
      <c r="L178" s="79"/>
      <c r="M178" s="80" t="str">
        <f>M4</f>
        <v>C1017</v>
      </c>
      <c r="N178" s="80"/>
      <c r="O178" s="80"/>
      <c r="P178" s="80"/>
    </row>
    <row r="179" spans="2:26" s="15" customFormat="1" ht="15" customHeight="1" thickBot="1" x14ac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/>
    </row>
    <row r="180" spans="2:26" s="15" customFormat="1" ht="8.25" customHeight="1" thickBot="1" x14ac:dyDescent="0.3">
      <c r="M180" s="38"/>
      <c r="N180" s="38"/>
      <c r="O180" s="38"/>
      <c r="P180" s="38"/>
    </row>
    <row r="181" spans="2:26" s="15" customFormat="1" ht="15" customHeight="1" thickBot="1" x14ac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/>
      <c r="W181" s="60"/>
      <c r="X181" s="23"/>
    </row>
    <row r="182" spans="2:26" s="15" customFormat="1" ht="10.5" customHeight="1" thickBot="1" x14ac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2:26" s="15" customFormat="1" ht="21" customHeight="1" thickBot="1" x14ac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 t="s">
        <v>8</v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x14ac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/>
      <c r="W184" s="14"/>
      <c r="X184" s="14"/>
      <c r="Y184" s="14"/>
      <c r="Z184" s="14"/>
    </row>
    <row r="185" spans="2:26" s="15" customFormat="1" ht="16.149999999999999" customHeight="1" thickBot="1" x14ac:dyDescent="0.3">
      <c r="B185" s="8"/>
      <c r="C185" s="11">
        <f>IF(ISTEXT(D185),MAX($C$10:C184),"")</f>
        <v>96</v>
      </c>
      <c r="D185" s="66" t="s">
        <v>1417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 t="s">
        <v>22</v>
      </c>
      <c r="W185" s="14"/>
      <c r="X185" s="14"/>
      <c r="Y185" s="14"/>
      <c r="Z185" s="14"/>
    </row>
    <row r="186" spans="2:26" s="15" customFormat="1" ht="16.149999999999999" customHeight="1" thickBot="1" x14ac:dyDescent="0.3">
      <c r="B186" s="8"/>
      <c r="C186" s="11">
        <f>IF(ISTEXT(D186),MAX($C$10:C185),"")</f>
        <v>96</v>
      </c>
      <c r="D186" s="66" t="s">
        <v>1418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 t="s">
        <v>129</v>
      </c>
      <c r="W186" s="14"/>
      <c r="X186" s="14"/>
      <c r="Y186" s="14"/>
      <c r="Z186" s="14"/>
    </row>
    <row r="187" spans="2:26" s="15" customFormat="1" ht="16.149999999999999" customHeight="1" thickBot="1" x14ac:dyDescent="0.3">
      <c r="B187" s="8"/>
      <c r="C187" s="11">
        <f>IF(ISTEXT(D187),MAX($C$10:C186),"")</f>
        <v>96</v>
      </c>
      <c r="D187" s="66" t="s">
        <v>1304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 t="str">
        <f>_xlfn.XLOOKUP(D187,Common_Defect_List!A:A,Common_Defect_List!B:B,"")</f>
        <v>DECK</v>
      </c>
      <c r="W187" s="14"/>
      <c r="X187" s="14"/>
      <c r="Y187" s="14"/>
      <c r="Z187" s="14"/>
    </row>
    <row r="188" spans="2:26" s="15" customFormat="1" ht="16.149999999999999" customHeight="1" thickBot="1" x14ac:dyDescent="0.3">
      <c r="B188" s="8"/>
      <c r="C188" s="11">
        <f>IF(ISTEXT(D188),MAX($C$10:C187),"")</f>
        <v>96</v>
      </c>
      <c r="D188" s="66" t="s">
        <v>142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 t="s">
        <v>22</v>
      </c>
      <c r="W188" s="14"/>
      <c r="X188" s="14"/>
      <c r="Y188" s="14"/>
      <c r="Z188" s="14"/>
    </row>
    <row r="189" spans="2:26" s="15" customFormat="1" ht="16.149999999999999" customHeight="1" thickBot="1" x14ac:dyDescent="0.3">
      <c r="B189" s="8"/>
      <c r="C189" s="11" t="str">
        <f>IF(ISTEXT(D189),MAX($C$10:C188),"")</f>
        <v/>
      </c>
      <c r="D189" s="66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/>
      <c r="W189" s="14"/>
      <c r="X189" s="14"/>
      <c r="Y189" s="14"/>
      <c r="Z189" s="14"/>
    </row>
    <row r="190" spans="2:26" s="15" customFormat="1" ht="16.149999999999999" customHeight="1" thickBot="1" x14ac:dyDescent="0.3">
      <c r="B190" s="8"/>
      <c r="C190" s="11" t="str">
        <f>IF(ISTEXT(D190),MAX($C$10:C189),"")</f>
        <v/>
      </c>
      <c r="D190" s="66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/>
      <c r="W190" s="14"/>
      <c r="X190" s="14"/>
      <c r="Y190" s="14"/>
      <c r="Z190" s="14"/>
    </row>
    <row r="191" spans="2:26" ht="16.149999999999999" customHeight="1" thickBot="1" x14ac:dyDescent="0.3">
      <c r="B191" s="8"/>
      <c r="C191" s="11" t="str">
        <f>IF(ISTEXT(D191),MAX($C$10:C190),"")</f>
        <v/>
      </c>
      <c r="D191" s="66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/>
      <c r="W191" s="14"/>
      <c r="X191" s="14"/>
      <c r="Y191" s="14"/>
      <c r="Z191" s="14"/>
    </row>
    <row r="192" spans="2:26" s="15" customFormat="1" ht="16.149999999999999" customHeight="1" thickBot="1" x14ac:dyDescent="0.3">
      <c r="B192" s="8"/>
      <c r="C192" s="11" t="str">
        <f>IF(ISTEXT(D192),MAX($C$10:C191),"")</f>
        <v/>
      </c>
      <c r="D192" s="66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/>
      <c r="W192" s="14"/>
      <c r="X192" s="14"/>
      <c r="Y192" s="14"/>
      <c r="Z192" s="14"/>
    </row>
    <row r="193" spans="2:26" s="15" customFormat="1" ht="16.149999999999999" customHeight="1" thickBot="1" x14ac:dyDescent="0.3">
      <c r="B193" s="8"/>
      <c r="C193" s="11" t="str">
        <f>IF(ISTEXT(D193),MAX($C$10:C192),"")</f>
        <v/>
      </c>
      <c r="D193" s="66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/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/>
      <c r="W194" s="14"/>
      <c r="X194" s="14"/>
      <c r="Y194" s="14"/>
      <c r="Z194" s="14"/>
    </row>
    <row r="195" spans="2:26" s="15" customFormat="1" ht="15.95" customHeight="1" thickBot="1" x14ac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/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/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/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/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/>
      <c r="W199" s="14"/>
      <c r="X199" s="14"/>
      <c r="Y199" s="14"/>
      <c r="Z199" s="14"/>
    </row>
    <row r="200" spans="2:26" s="15" customFormat="1" ht="16.149999999999999" customHeight="1" thickBot="1" x14ac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/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/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/>
      <c r="W203" s="14"/>
      <c r="X203" s="14"/>
      <c r="Y203" s="14"/>
      <c r="Z203" s="14"/>
    </row>
    <row r="204" spans="2:26" s="15" customFormat="1" ht="16.149999999999999" customHeight="1" thickBot="1" x14ac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/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 t="str">
        <f>_xlfn.XLOOKUP(D206,Common_Defect_List!A:A,Common_Defect_List!B:B,"")</f>
        <v/>
      </c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>
        <f>IF(ISTEXT(D207),MAX($C$10:C206)+1,"")</f>
        <v>97</v>
      </c>
      <c r="D207" s="66" t="s">
        <v>1397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 t="s">
        <v>22</v>
      </c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>
        <f>IF(ISTEXT(D208),MAX($C$10:C207)+1,"")</f>
        <v>98</v>
      </c>
      <c r="D208" s="66" t="s">
        <v>1398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 t="s">
        <v>72</v>
      </c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>
        <f>IF(ISTEXT(D209),MAX($C$10:C208)+1,"")</f>
        <v>99</v>
      </c>
      <c r="D209" s="66" t="s">
        <v>1399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 t="s">
        <v>72</v>
      </c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>
        <f>IF(ISTEXT(D210),MAX($C$10:C209)+1,"")</f>
        <v>100</v>
      </c>
      <c r="D210" s="66" t="s">
        <v>1400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 t="s">
        <v>642</v>
      </c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>
        <f>IF(ISTEXT(D211),MAX($C$10:C210)+1,"")</f>
        <v>101</v>
      </c>
      <c r="D211" s="66" t="s">
        <v>1401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 t="s">
        <v>72</v>
      </c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>
        <f>IF(ISTEXT(D212),MAX($C$10:C211)+1,"")</f>
        <v>102</v>
      </c>
      <c r="D212" s="66" t="s">
        <v>269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 t="s">
        <v>72</v>
      </c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>
        <f>IF(ISTEXT(D213),MAX($C$10:C212)+1,"")</f>
        <v>103</v>
      </c>
      <c r="D213" s="66" t="s">
        <v>1403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 t="s">
        <v>22</v>
      </c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>
        <f>IF(ISTEXT(D214),MAX($C$10:C213)+1,"")</f>
        <v>104</v>
      </c>
      <c r="D214" s="66" t="s">
        <v>1404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 t="s">
        <v>76</v>
      </c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>
        <f>IF(ISTEXT(D215),MAX($C$10:C214)+1,"")</f>
        <v>105</v>
      </c>
      <c r="D215" s="66" t="s">
        <v>1405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 t="s">
        <v>76</v>
      </c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/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/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/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/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/>
      <c r="W220" s="14"/>
      <c r="X220" s="14"/>
      <c r="Y220" s="14"/>
      <c r="Z220" s="14"/>
    </row>
    <row r="221" spans="2:26" ht="15" customHeight="1" x14ac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</row>
    <row r="222" spans="2:26" x14ac:dyDescent="0.25">
      <c r="B222" s="20"/>
      <c r="C222" s="21"/>
      <c r="O222" s="22"/>
      <c r="P222" s="22"/>
      <c r="Q222" s="23"/>
      <c r="R222" s="23"/>
      <c r="S222" s="22"/>
      <c r="T222" s="22"/>
    </row>
    <row r="223" spans="2:26" ht="15.75" thickBot="1" x14ac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</row>
    <row r="224" spans="2:26" ht="15" customHeight="1" x14ac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</row>
    <row r="225" spans="2:26" ht="18" customHeight="1" thickBot="1" x14ac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/>
      <c r="W225" s="63"/>
      <c r="X225" s="62"/>
      <c r="Y225" s="62"/>
    </row>
    <row r="226" spans="2:26" ht="18" customHeight="1" thickBot="1" x14ac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/>
      <c r="W226" s="1"/>
      <c r="X226" s="4"/>
      <c r="Y226" s="4"/>
    </row>
    <row r="227" spans="2:26" ht="18" customHeight="1" thickBot="1" x14ac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/>
      <c r="W227" s="1"/>
      <c r="X227" s="4"/>
      <c r="Y227" s="4"/>
    </row>
    <row r="228" spans="2:26" ht="15" customHeight="1" x14ac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2" t="s">
        <v>159</v>
      </c>
      <c r="X228" s="79"/>
      <c r="Y228" s="79"/>
      <c r="Z228" s="79"/>
    </row>
    <row r="229" spans="2:26" ht="15" customHeight="1" thickBot="1" x14ac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</row>
    <row r="230" spans="2:26" ht="10.5" customHeight="1" thickBot="1" x14ac:dyDescent="0.3"/>
    <row r="231" spans="2:26" ht="15" customHeight="1" thickBot="1" x14ac:dyDescent="0.3">
      <c r="J231" s="79" t="s">
        <v>2</v>
      </c>
      <c r="K231" s="79"/>
      <c r="L231" s="79"/>
      <c r="M231" s="80" t="str">
        <f>M4</f>
        <v>C1017</v>
      </c>
      <c r="N231" s="80"/>
      <c r="O231" s="80"/>
      <c r="P231" s="80"/>
    </row>
    <row r="232" spans="2:26" s="15" customFormat="1" ht="15" customHeight="1" thickBot="1" x14ac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/>
    </row>
    <row r="233" spans="2:26" s="15" customFormat="1" ht="8.25" customHeight="1" thickBot="1" x14ac:dyDescent="0.3">
      <c r="M233" s="38"/>
      <c r="N233" s="38"/>
      <c r="O233" s="38"/>
      <c r="P233" s="38"/>
    </row>
    <row r="234" spans="2:26" s="15" customFormat="1" ht="15" customHeight="1" thickBot="1" x14ac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/>
      <c r="W234" s="60"/>
      <c r="X234" s="23"/>
    </row>
    <row r="235" spans="2:26" s="15" customFormat="1" ht="10.5" customHeight="1" thickBot="1" x14ac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2:26" s="15" customFormat="1" ht="21" customHeight="1" thickBot="1" x14ac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 t="s">
        <v>8</v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x14ac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/>
      <c r="W237" s="14"/>
      <c r="X237" s="14"/>
      <c r="Y237" s="14"/>
      <c r="Z237" s="14"/>
    </row>
    <row r="238" spans="2:26" s="15" customFormat="1" ht="16.149999999999999" customHeight="1" thickBot="1" x14ac:dyDescent="0.3">
      <c r="B238" s="8"/>
      <c r="C238" s="11">
        <f>IF(ISTEXT(D238),MAX($C$10:C237)+1,"")</f>
        <v>106</v>
      </c>
      <c r="D238" s="66" t="s">
        <v>1390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 t="s">
        <v>22</v>
      </c>
      <c r="W238" s="14"/>
      <c r="X238" s="14"/>
      <c r="Y238" s="14"/>
      <c r="Z238" s="14"/>
    </row>
    <row r="239" spans="2:26" s="15" customFormat="1" ht="16.149999999999999" customHeight="1" thickBot="1" x14ac:dyDescent="0.3">
      <c r="B239" s="8"/>
      <c r="C239" s="11">
        <f>IF(ISTEXT(D239),MAX($C$10:C238)+1,"")</f>
        <v>107</v>
      </c>
      <c r="D239" s="66" t="s">
        <v>1391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 t="s">
        <v>22</v>
      </c>
      <c r="W239" s="14"/>
      <c r="X239" s="14"/>
      <c r="Y239" s="14"/>
      <c r="Z239" s="14"/>
    </row>
    <row r="240" spans="2:26" s="15" customFormat="1" ht="16.149999999999999" customHeight="1" thickBot="1" x14ac:dyDescent="0.3">
      <c r="B240" s="8"/>
      <c r="C240" s="11">
        <f>IF(ISTEXT(D240),MAX($C$10:C239)+1,"")</f>
        <v>108</v>
      </c>
      <c r="D240" s="66" t="s">
        <v>1392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 t="s">
        <v>22</v>
      </c>
      <c r="W240" s="14"/>
      <c r="X240" s="14"/>
      <c r="Y240" s="14"/>
      <c r="Z240" s="14"/>
    </row>
    <row r="241" spans="2:26" s="15" customFormat="1" ht="16.149999999999999" customHeight="1" thickBot="1" x14ac:dyDescent="0.3">
      <c r="B241" s="8"/>
      <c r="C241" s="11">
        <f>IF(ISTEXT(D241),MAX($C$10:C240)+1,"")</f>
        <v>109</v>
      </c>
      <c r="D241" s="66" t="s">
        <v>1393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 t="s">
        <v>72</v>
      </c>
      <c r="W241" s="14"/>
      <c r="X241" s="14"/>
      <c r="Y241" s="14"/>
      <c r="Z241" s="14"/>
    </row>
    <row r="242" spans="2:26" s="15" customFormat="1" ht="16.149999999999999" customHeight="1" thickBot="1" x14ac:dyDescent="0.3">
      <c r="B242" s="8"/>
      <c r="C242" s="11">
        <f>IF(ISTEXT(D242),MAX($C$10:C241)+1,"")</f>
        <v>110</v>
      </c>
      <c r="D242" s="66" t="s">
        <v>758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 t="s">
        <v>22</v>
      </c>
      <c r="W242" s="14"/>
      <c r="X242" s="14"/>
      <c r="Y242" s="14"/>
      <c r="Z242" s="14"/>
    </row>
    <row r="243" spans="2:26" s="15" customFormat="1" ht="16.149999999999999" customHeight="1" thickBot="1" x14ac:dyDescent="0.3">
      <c r="B243" s="8"/>
      <c r="C243" s="11">
        <f>IF(ISTEXT(D243),MAX($C$10:C242)+1,"")</f>
        <v>111</v>
      </c>
      <c r="D243" s="66" t="s">
        <v>1394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 t="s">
        <v>22</v>
      </c>
      <c r="W243" s="14"/>
      <c r="X243" s="14"/>
      <c r="Y243" s="14"/>
      <c r="Z243" s="14"/>
    </row>
    <row r="244" spans="2:26" s="15" customFormat="1" ht="16.149999999999999" customHeight="1" thickBot="1" x14ac:dyDescent="0.3">
      <c r="B244" s="8"/>
      <c r="C244" s="11">
        <f>IF(ISTEXT(D244),MAX($C$10:C243)+1,"")</f>
        <v>112</v>
      </c>
      <c r="D244" s="66" t="s">
        <v>1395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 t="s">
        <v>72</v>
      </c>
      <c r="W244" s="14"/>
      <c r="X244" s="14"/>
      <c r="Y244" s="14"/>
      <c r="Z244" s="14"/>
    </row>
    <row r="245" spans="2:26" ht="16.149999999999999" customHeight="1" thickBot="1" x14ac:dyDescent="0.3">
      <c r="B245" s="8"/>
      <c r="C245" s="11">
        <f>IF(ISTEXT(D245),MAX($C$10:C244)+1,"")</f>
        <v>113</v>
      </c>
      <c r="D245" s="66" t="s">
        <v>1396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 t="s">
        <v>72</v>
      </c>
      <c r="W245" s="14"/>
      <c r="X245" s="14"/>
      <c r="Y245" s="14"/>
      <c r="Z245" s="14"/>
    </row>
    <row r="246" spans="2:26" s="15" customFormat="1" ht="16.149999999999999" customHeight="1" thickBot="1" x14ac:dyDescent="0.3">
      <c r="B246" s="8"/>
      <c r="C246" s="11">
        <f>IF(ISTEXT(D246),MAX($C$10:C245)+1,"")</f>
        <v>114</v>
      </c>
      <c r="D246" s="66" t="s">
        <v>1402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 t="s">
        <v>72</v>
      </c>
      <c r="W246" s="14"/>
      <c r="X246" s="14"/>
      <c r="Y246" s="14"/>
      <c r="Z246" s="14"/>
    </row>
    <row r="247" spans="2:26" s="15" customFormat="1" ht="16.149999999999999" customHeight="1" thickBot="1" x14ac:dyDescent="0.3">
      <c r="B247" s="13"/>
      <c r="C247" s="11">
        <f>IF(ISTEXT(D247),MAX($C$10:C246)+1,"")</f>
        <v>115</v>
      </c>
      <c r="D247" s="66" t="s">
        <v>1398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 t="s">
        <v>72</v>
      </c>
      <c r="W247" s="14"/>
      <c r="X247" s="14"/>
      <c r="Y247" s="14"/>
      <c r="Z247" s="14"/>
    </row>
    <row r="248" spans="2:26" s="15" customFormat="1" ht="16.149999999999999" customHeight="1" thickBot="1" x14ac:dyDescent="0.3">
      <c r="B248" s="13"/>
      <c r="C248" s="11">
        <f>IF(ISTEXT(D248),MAX($C$10:C247)+1,"")</f>
        <v>116</v>
      </c>
      <c r="D248" s="66" t="s">
        <v>1399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 t="s">
        <v>72</v>
      </c>
      <c r="W248" s="14"/>
      <c r="X248" s="14"/>
      <c r="Y248" s="14"/>
      <c r="Z248" s="14"/>
    </row>
    <row r="249" spans="2:26" s="15" customFormat="1" ht="15.95" customHeight="1" thickBot="1" x14ac:dyDescent="0.3">
      <c r="B249" s="13"/>
      <c r="C249" s="11">
        <f>IF(ISTEXT(D249),MAX($C$10:C248)+1,"")</f>
        <v>117</v>
      </c>
      <c r="D249" s="66" t="s">
        <v>157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 t="s">
        <v>22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13"/>
      <c r="C250" s="11">
        <f>IF(ISTEXT(D250),MAX($C$10:C249)+1,"")</f>
        <v>118</v>
      </c>
      <c r="D250" s="66" t="s">
        <v>1275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">
        <v>72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11">
        <f>IF(ISTEXT(D251),MAX($C$10:C250)+1,"")</f>
        <v>119</v>
      </c>
      <c r="D251" s="66" t="s">
        <v>1420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 t="s">
        <v>72</v>
      </c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 t="str">
        <f>IF(ISTEXT(D252),MAX($C$10:C251)+1,"")</f>
        <v/>
      </c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/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 t="str">
        <f>IF(ISTEXT(D253),MAX($C$10:C252)+1,"")</f>
        <v/>
      </c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/>
      <c r="W253" s="14"/>
      <c r="X253" s="14"/>
      <c r="Y253" s="14"/>
      <c r="Z253" s="14"/>
    </row>
    <row r="254" spans="2:26" s="15" customFormat="1" ht="16.149999999999999" customHeight="1" thickBot="1" x14ac:dyDescent="0.3">
      <c r="B254" s="8"/>
      <c r="C254" s="44" t="str">
        <f>IF(ISTEXT(D254),MAX($C$10:C253)+1,"")</f>
        <v/>
      </c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/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/>
      <c r="D255" s="73" t="s">
        <v>168</v>
      </c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5"/>
      <c r="V255" s="10"/>
      <c r="W255" s="14"/>
      <c r="X255" s="14"/>
      <c r="Y255" s="14"/>
      <c r="Z255" s="14"/>
    </row>
    <row r="256" spans="2:26" s="15" customFormat="1" ht="16.149999999999999" customHeight="1" thickBot="1" x14ac:dyDescent="0.3">
      <c r="B256" s="8"/>
      <c r="C256" s="11">
        <f>IF(ISTEXT(D256),MAX($C$10:C255)+1,"")</f>
        <v>120</v>
      </c>
      <c r="D256" s="70" t="s">
        <v>1419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 t="s">
        <v>74</v>
      </c>
      <c r="W256" s="14"/>
      <c r="X256" s="14"/>
      <c r="Y256" s="14"/>
      <c r="Z256" s="14"/>
    </row>
    <row r="257" spans="2:26" s="15" customFormat="1" ht="16.149999999999999" customHeight="1" thickBot="1" x14ac:dyDescent="0.3">
      <c r="B257" s="8"/>
      <c r="C257" s="11">
        <f>IF(ISTEXT(D257),MAX($C$10:C256)+1,"")</f>
        <v>121</v>
      </c>
      <c r="D257" s="70" t="s">
        <v>1421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 t="s">
        <v>22</v>
      </c>
      <c r="W257" s="14"/>
      <c r="X257" s="14"/>
      <c r="Y257" s="14"/>
      <c r="Z257" s="14"/>
    </row>
    <row r="258" spans="2:26" s="15" customFormat="1" ht="16.149999999999999" customHeight="1" thickBot="1" x14ac:dyDescent="0.3">
      <c r="B258" s="8"/>
      <c r="C258" s="11">
        <f>IF(ISTEXT(D258),MAX($C$10:C257)+1,"")</f>
        <v>122</v>
      </c>
      <c r="D258" s="70" t="s">
        <v>1422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 t="s">
        <v>22</v>
      </c>
      <c r="W258" s="14"/>
      <c r="X258" s="14"/>
      <c r="Y258" s="14"/>
      <c r="Z258" s="14"/>
    </row>
    <row r="259" spans="2:26" s="15" customFormat="1" ht="16.149999999999999" customHeight="1" thickBot="1" x14ac:dyDescent="0.3">
      <c r="B259" s="8"/>
      <c r="C259" s="11">
        <f>IF(ISTEXT(D259),MAX($C$10:C258)+1,"")</f>
        <v>123</v>
      </c>
      <c r="D259" s="70" t="s">
        <v>1423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 t="s">
        <v>22</v>
      </c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11">
        <f>IF(ISTEXT(D260),MAX($C$10:C259)+1,"")</f>
        <v>124</v>
      </c>
      <c r="D260" s="70" t="s">
        <v>1425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 t="s">
        <v>22</v>
      </c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11">
        <f>IF(ISTEXT(D261),MAX($C$10:C260)+1,"")</f>
        <v>125</v>
      </c>
      <c r="D261" s="70" t="s">
        <v>1426</v>
      </c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 t="s">
        <v>22</v>
      </c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11">
        <f>IF(ISTEXT(D262),MAX($C$10:C261)+1,"")</f>
        <v>126</v>
      </c>
      <c r="D262" s="70" t="s">
        <v>1430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 t="s">
        <v>22</v>
      </c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>
        <f>IF(ISTEXT(D263),MAX($C$10:C262)+1,"")</f>
        <v>127</v>
      </c>
      <c r="D263" s="70" t="s">
        <v>1465</v>
      </c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 t="s">
        <v>22</v>
      </c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 t="str">
        <f>IF(ISTEXT(D265),MAX($C$10:C264)+1,"")</f>
        <v/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/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/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/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/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/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/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128</v>
      </c>
      <c r="D271" s="66" t="s">
        <v>1337</v>
      </c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 t="s">
        <v>74</v>
      </c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129</v>
      </c>
      <c r="D272" s="66" t="s">
        <v>1338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 t="s">
        <v>74</v>
      </c>
      <c r="W272" s="14"/>
      <c r="X272" s="14"/>
      <c r="Y272" s="14"/>
      <c r="Z272" s="14"/>
    </row>
    <row r="273" spans="2:256" s="15" customFormat="1" ht="16.149999999999999" customHeight="1" thickBot="1" x14ac:dyDescent="0.3">
      <c r="B273" s="8"/>
      <c r="C273" s="11">
        <f>IF(ISTEXT(D273),MAX($C$10:C272)+1,"")</f>
        <v>130</v>
      </c>
      <c r="D273" s="66" t="s">
        <v>1339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 t="s">
        <v>74</v>
      </c>
      <c r="W273" s="14"/>
      <c r="X273" s="14"/>
      <c r="Y273" s="14"/>
      <c r="Z273" s="14"/>
    </row>
    <row r="274" spans="2:256" s="15" customFormat="1" ht="16.149999999999999" customHeight="1" thickBot="1" x14ac:dyDescent="0.3">
      <c r="B274" s="8"/>
      <c r="C274" s="11">
        <f>IF(ISTEXT(D274),MAX($C$10:C273)+1,"")</f>
        <v>131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 t="s">
        <v>28</v>
      </c>
      <c r="W274" s="14"/>
      <c r="X274" s="14"/>
      <c r="Y274" s="14"/>
      <c r="Z274" s="14"/>
    </row>
    <row r="275" spans="2:256" s="15" customFormat="1" ht="16.149999999999999" customHeight="1" thickBot="1" x14ac:dyDescent="0.3">
      <c r="B275" s="8"/>
      <c r="C275" s="11">
        <f>IF(ISTEXT(D275),MAX($C$10:C274)+1,"")</f>
        <v>132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 t="s">
        <v>22</v>
      </c>
      <c r="W275" s="14"/>
      <c r="X275" s="14"/>
      <c r="Y275" s="14"/>
      <c r="Z275" s="14"/>
    </row>
    <row r="276" spans="2:256" s="15" customFormat="1" ht="16.149999999999999" customHeight="1" thickBot="1" x14ac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/>
      <c r="W276" s="14"/>
      <c r="X276" s="14"/>
      <c r="Y276" s="14"/>
      <c r="Z276" s="14"/>
    </row>
    <row r="277" spans="2:256" ht="15" customHeight="1" x14ac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</row>
    <row r="278" spans="2:256" x14ac:dyDescent="0.25">
      <c r="B278" s="20"/>
      <c r="C278" s="21"/>
      <c r="O278" s="22"/>
      <c r="P278" s="22"/>
      <c r="Q278" s="23"/>
      <c r="R278" s="23"/>
      <c r="S278" s="22"/>
      <c r="T278" s="22"/>
    </row>
    <row r="279" spans="2:256" ht="15.75" thickBot="1" x14ac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</row>
    <row r="280" spans="2:256" ht="15" customHeight="1" x14ac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</row>
    <row r="281" spans="2:256" ht="18" customHeight="1" thickBot="1" x14ac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/>
      <c r="W281" s="63"/>
      <c r="X281" s="62"/>
      <c r="Y281" s="62"/>
    </row>
    <row r="282" spans="2:256" ht="20.100000000000001" customHeight="1" x14ac:dyDescent="0.25">
      <c r="B282" s="15"/>
      <c r="C282" s="15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x14ac:dyDescent="0.25">
      <c r="B283" s="15"/>
      <c r="C283" s="15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x14ac:dyDescent="0.25">
      <c r="B284" s="15"/>
      <c r="C284" s="15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x14ac:dyDescent="0.25">
      <c r="B285" s="15"/>
      <c r="C285" s="1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x14ac:dyDescent="0.25">
      <c r="B286" s="15"/>
      <c r="C286" s="15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x14ac:dyDescent="0.25">
      <c r="B287" s="15"/>
      <c r="C287" s="15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x14ac:dyDescent="0.25">
      <c r="B288" s="15"/>
      <c r="C288" s="15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x14ac:dyDescent="0.25">
      <c r="B289" s="15"/>
      <c r="C289" s="15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x14ac:dyDescent="0.25">
      <c r="B290" s="15"/>
      <c r="C290" s="15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x14ac:dyDescent="0.25"/>
    <row r="292" spans="2:256" s="15" customFormat="1" ht="15.95" customHeight="1" x14ac:dyDescent="0.25"/>
    <row r="293" spans="2:256" s="15" customFormat="1" ht="17.100000000000001" customHeight="1" x14ac:dyDescent="0.25"/>
    <row r="294" spans="2:256" s="15" customFormat="1" ht="18.95" customHeight="1" x14ac:dyDescent="0.25"/>
    <row r="295" spans="2:256" s="15" customFormat="1" ht="21" customHeight="1" x14ac:dyDescent="0.25"/>
    <row r="296" spans="2:256" s="15" customFormat="1" ht="16.149999999999999" customHeight="1" x14ac:dyDescent="0.25"/>
    <row r="297" spans="2:256" s="15" customFormat="1" ht="16.149999999999999" customHeight="1" x14ac:dyDescent="0.25"/>
    <row r="298" spans="2:256" s="15" customFormat="1" ht="16.149999999999999" customHeight="1" x14ac:dyDescent="0.25"/>
    <row r="299" spans="2:256" s="15" customFormat="1" ht="16.149999999999999" customHeight="1" x14ac:dyDescent="0.25"/>
    <row r="300" spans="2:256" s="15" customFormat="1" ht="16.149999999999999" customHeight="1" x14ac:dyDescent="0.25"/>
    <row r="301" spans="2:256" s="15" customFormat="1" ht="16.149999999999999" customHeight="1" x14ac:dyDescent="0.25"/>
    <row r="302" spans="2:256" s="15" customFormat="1" ht="16.149999999999999" customHeight="1" x14ac:dyDescent="0.25"/>
    <row r="303" spans="2:256" ht="16.149999999999999" customHeight="1" x14ac:dyDescent="0.25">
      <c r="B303" s="15"/>
      <c r="C303" s="15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x14ac:dyDescent="0.25"/>
    <row r="305" s="15" customFormat="1" ht="16.149999999999999" customHeight="1" x14ac:dyDescent="0.25"/>
    <row r="306" s="15" customFormat="1" ht="16.149999999999999" customHeight="1" x14ac:dyDescent="0.25"/>
    <row r="307" s="15" customFormat="1" ht="16.149999999999999" customHeight="1" x14ac:dyDescent="0.25"/>
    <row r="308" s="15" customFormat="1" ht="16.149999999999999" customHeight="1" x14ac:dyDescent="0.25"/>
    <row r="309" s="15" customFormat="1" ht="16.149999999999999" customHeight="1" x14ac:dyDescent="0.25"/>
    <row r="310" s="15" customFormat="1" ht="16.149999999999999" customHeight="1" x14ac:dyDescent="0.25"/>
    <row r="311" s="15" customFormat="1" ht="16.149999999999999" customHeight="1" x14ac:dyDescent="0.25"/>
    <row r="312" s="15" customFormat="1" ht="16.149999999999999" customHeight="1" x14ac:dyDescent="0.25"/>
    <row r="313" s="15" customFormat="1" ht="16.149999999999999" customHeight="1" x14ac:dyDescent="0.25"/>
    <row r="314" s="15" customFormat="1" ht="16.149999999999999" customHeight="1" x14ac:dyDescent="0.25"/>
    <row r="315" s="15" customFormat="1" ht="16.149999999999999" customHeight="1" x14ac:dyDescent="0.25"/>
    <row r="316" s="15" customFormat="1" ht="16.149999999999999" customHeight="1" x14ac:dyDescent="0.25"/>
    <row r="317" s="15" customFormat="1" ht="16.149999999999999" customHeight="1" x14ac:dyDescent="0.25"/>
    <row r="318" s="15" customFormat="1" ht="16.149999999999999" customHeight="1" x14ac:dyDescent="0.25"/>
    <row r="319" s="15" customFormat="1" ht="16.149999999999999" customHeight="1" x14ac:dyDescent="0.25"/>
    <row r="320" s="15" customFormat="1" ht="16.149999999999999" customHeight="1" x14ac:dyDescent="0.25"/>
    <row r="321" spans="2:256" s="15" customFormat="1" ht="16.149999999999999" customHeight="1" x14ac:dyDescent="0.25"/>
    <row r="322" spans="2:256" s="15" customFormat="1" ht="16.149999999999999" customHeight="1" x14ac:dyDescent="0.25"/>
    <row r="323" spans="2:256" s="15" customFormat="1" ht="16.149999999999999" customHeight="1" x14ac:dyDescent="0.25"/>
    <row r="324" spans="2:256" s="15" customFormat="1" ht="16.149999999999999" customHeight="1" x14ac:dyDescent="0.25"/>
    <row r="325" spans="2:256" s="15" customFormat="1" ht="16.149999999999999" customHeight="1" x14ac:dyDescent="0.25"/>
    <row r="326" spans="2:256" s="15" customFormat="1" ht="16.149999999999999" customHeight="1" x14ac:dyDescent="0.25"/>
    <row r="327" spans="2:256" s="15" customFormat="1" ht="16.149999999999999" customHeight="1" x14ac:dyDescent="0.25"/>
    <row r="328" spans="2:256" s="15" customFormat="1" ht="16.149999999999999" customHeight="1" x14ac:dyDescent="0.25"/>
    <row r="329" spans="2:256" s="15" customFormat="1" ht="16.149999999999999" customHeight="1" x14ac:dyDescent="0.25"/>
    <row r="330" spans="2:256" s="15" customFormat="1" ht="16.149999999999999" customHeight="1" x14ac:dyDescent="0.25"/>
    <row r="331" spans="2:256" s="15" customFormat="1" ht="16.149999999999999" customHeight="1" x14ac:dyDescent="0.25"/>
    <row r="332" spans="2:256" s="15" customFormat="1" ht="16.149999999999999" customHeight="1" x14ac:dyDescent="0.25"/>
    <row r="333" spans="2:256" s="15" customFormat="1" ht="16.149999999999999" customHeight="1" x14ac:dyDescent="0.25"/>
    <row r="334" spans="2:256" ht="15" customHeight="1" x14ac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x14ac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x14ac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x14ac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x14ac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x14ac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x14ac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x14ac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x14ac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a+WKiGkc4cD8mTuBX0/nBK+EfbJKiufOTwgdf2VpH0mmH/TAP5nwnST0eA3cBDsoLAGA04fh3nYkssF9c2Dlgw==" saltValue="jjqI9gaXGUAPTXDWHfXwYw==" spinCount="100000" sheet="1" formatCells="0" formatColumns="0" formatRows="0" insertColumns="0" insertRows="0" insertHyperlinks="0" deleteColumns="0" deleteRows="0" sort="0" autoFilter="0" pivotTables="0"/>
  <mergeCells count="322">
    <mergeCell ref="B281:J281"/>
    <mergeCell ref="K281:P281"/>
    <mergeCell ref="Q281:R281"/>
    <mergeCell ref="S281:U281"/>
    <mergeCell ref="V281:Y281"/>
    <mergeCell ref="D90:U90"/>
    <mergeCell ref="D91:U91"/>
    <mergeCell ref="D101:U101"/>
    <mergeCell ref="D102:U102"/>
    <mergeCell ref="D103:U103"/>
    <mergeCell ref="B279:J279"/>
    <mergeCell ref="K279:P279"/>
    <mergeCell ref="Q279:R279"/>
    <mergeCell ref="S279:T279"/>
    <mergeCell ref="Q280:R280"/>
    <mergeCell ref="S280:T280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98:U98"/>
    <mergeCell ref="D99:U99"/>
    <mergeCell ref="D100:U100"/>
    <mergeCell ref="B107:T107"/>
    <mergeCell ref="B109:J109"/>
    <mergeCell ref="K109:P109"/>
    <mergeCell ref="Q109:R109"/>
    <mergeCell ref="S109:T109"/>
    <mergeCell ref="D104:U104"/>
    <mergeCell ref="D105:U105"/>
    <mergeCell ref="D106:U106"/>
    <mergeCell ref="D95:U95"/>
    <mergeCell ref="D96:U96"/>
    <mergeCell ref="D97:U97"/>
    <mergeCell ref="D92:U92"/>
    <mergeCell ref="D93:U93"/>
    <mergeCell ref="D94:U94"/>
    <mergeCell ref="D86:U86"/>
    <mergeCell ref="D87:U87"/>
    <mergeCell ref="D88:U88"/>
    <mergeCell ref="D89:U89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2:U12"/>
    <mergeCell ref="D13:U13"/>
  </mergeCell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98CE779D-7B50-4A42-9AA9-43346BD03B52}">
          <x14:formula1>
            <xm:f>'Breakdown of areas'!$K:$K</xm:f>
          </x14:formula1>
          <xm:sqref>D268:U269 D256:U266</xm:sqref>
        </x14:dataValidation>
        <x14:dataValidation type="list" allowBlank="1" showInputMessage="1" xr:uid="{957A71B6-5DA7-40CB-A4D5-A7D79039E642}">
          <x14:formula1>
            <xm:f>'Breakdown of areas'!$H:$H</xm:f>
          </x14:formula1>
          <xm:sqref>D185:U193 D196:U200 D205:U205</xm:sqref>
        </x14:dataValidation>
        <x14:dataValidation type="list" allowBlank="1" showInputMessage="1" xr:uid="{5423E07A-72F5-497A-9B82-526119D1C415}">
          <x14:formula1>
            <xm:f>'Breakdown of areas'!$F:$F</xm:f>
          </x14:formula1>
          <xm:sqref>D163:U167 D160:U160</xm:sqref>
        </x14:dataValidation>
        <x14:dataValidation type="list" allowBlank="1" showInputMessage="1" xr:uid="{943A0450-3354-43A1-8A73-0E690F0EF5D2}">
          <x14:formula1>
            <xm:f>'Breakdown of areas'!$G:$G</xm:f>
          </x14:formula1>
          <xm:sqref>D124:U133 D138:U138</xm:sqref>
        </x14:dataValidation>
        <x14:dataValidation type="list" allowBlank="1" showInputMessage="1" xr:uid="{28F4DA2C-FBF5-4324-84BF-FBA3259A34DB}">
          <x14:formula1>
            <xm:f>Common_Defect_List!$A:$A</xm:f>
          </x14:formula1>
          <xm:sqref>D32</xm:sqref>
        </x14:dataValidation>
        <x14:dataValidation type="list" allowBlank="1" showInputMessage="1" xr:uid="{1BF3AECB-6F8F-4156-801B-2CABAC1BB723}">
          <x14:formula1>
            <xm:f>Common_Defect_List!$B$2:$B$5</xm:f>
          </x14:formula1>
          <xm:sqref>V11:V53 V123:V167 V70:V106 V238:V276 V185:V220</xm:sqref>
        </x14:dataValidation>
        <x14:dataValidation type="list" allowBlank="1" showInputMessage="1" xr:uid="{D0699240-34B1-4099-8CC2-B32ED364700B}">
          <x14:formula1>
            <xm:f>'Breakdown of areas'!$A:$A</xm:f>
          </x14:formula1>
          <xm:sqref>D48:U53 D12:U39</xm:sqref>
        </x14:dataValidation>
        <x14:dataValidation type="list" allowBlank="1" showInputMessage="1" xr:uid="{0A7E1DFA-0C56-4674-B88E-C932E1524DB2}">
          <x14:formula1>
            <xm:f>'Breakdown of areas'!$B:$B</xm:f>
          </x14:formula1>
          <xm:sqref>D70:U72 D74:U83 D106:U106</xm:sqref>
        </x14:dataValidation>
        <x14:dataValidation type="list" allowBlank="1" showInputMessage="1" xr:uid="{457AFC3F-3562-41B1-AEFF-B633E5A03608}">
          <x14:formula1>
            <xm:f>'Breakdown of areas'!$D:$D</xm:f>
          </x14:formula1>
          <xm:sqref>D90:U100</xm:sqref>
        </x14:dataValidation>
        <x14:dataValidation type="list" allowBlank="1" showInputMessage="1" xr:uid="{F1CEF323-A4E9-4FD8-8F19-460512282A8D}">
          <x14:formula1>
            <xm:f>'Breakdown of areas'!$E:$E</xm:f>
          </x14:formula1>
          <xm:sqref>D73:U73 D140:U150 D152:U155 D157:U159</xm:sqref>
        </x14:dataValidation>
        <x14:dataValidation type="list" allowBlank="1" showInputMessage="1" xr:uid="{304A6F88-24C8-4BE5-A363-57CDFE7460DF}">
          <x14:formula1>
            <xm:f>'Breakdown of areas'!$I:$I</xm:f>
          </x14:formula1>
          <xm:sqref>D219:U220 D240:U240 D248:U248 D211:U217 D209:U209</xm:sqref>
        </x14:dataValidation>
        <x14:dataValidation type="list" allowBlank="1" showInputMessage="1" xr:uid="{117D160E-9B6A-464B-9FA3-9B85FE2BFF90}">
          <x14:formula1>
            <xm:f>'Breakdown of areas'!$J:$J</xm:f>
          </x14:formula1>
          <xm:sqref>D210:U210 D249:U254 D238:U239 D241:U247 D218:U218 D207:U208</xm:sqref>
        </x14:dataValidation>
        <x14:dataValidation type="list" allowBlank="1" showInputMessage="1" xr:uid="{81A0FFFF-D41E-47FB-980A-E9624B5844FD}">
          <x14:formula1>
            <xm:f>'Breakdown of areas'!$L:$L</xm:f>
          </x14:formula1>
          <xm:sqref>D271:U276</xm:sqref>
        </x14:dataValidation>
        <x14:dataValidation type="list" allowBlank="1" showInputMessage="1" xr:uid="{060E295F-4F56-46D8-B0CA-DD224445F621}">
          <x14:formula1>
            <xm:f>'Breakdown of areas'!$C:$C</xm:f>
          </x14:formula1>
          <xm:sqref>D87:U88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4C02-E060-46FD-AC03-5DF41F95B336}">
  <sheetPr>
    <pageSetUpPr fitToPage="1"/>
  </sheetPr>
  <dimension ref="A1:IV391"/>
  <sheetViews>
    <sheetView view="pageBreakPreview" zoomScaleNormal="100" zoomScaleSheetLayoutView="100" workbookViewId="0">
      <selection activeCell="D271" sqref="D271:U271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1324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121</v>
      </c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34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41</v>
      </c>
    </row>
    <row r="11" spans="2:29" s="4" customFormat="1" ht="16.899999999999999" customHeight="1" thickBot="1" x14ac:dyDescent="0.3">
      <c r="B11" s="8"/>
      <c r="C11" s="11">
        <v>1</v>
      </c>
      <c r="D11" s="70" t="s">
        <v>1333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 t="s">
        <v>22</v>
      </c>
      <c r="W11" s="10"/>
      <c r="X11" s="10"/>
      <c r="Y11" s="10"/>
      <c r="Z11" s="10"/>
      <c r="AB11" s="4" t="s">
        <v>1385</v>
      </c>
      <c r="AC11" s="4">
        <f>COUNTIF(V:V,"MECH")</f>
        <v>27</v>
      </c>
    </row>
    <row r="12" spans="2:29" s="4" customFormat="1" ht="16.350000000000001" customHeight="1" thickBot="1" x14ac:dyDescent="0.3">
      <c r="B12" s="8"/>
      <c r="C12" s="11">
        <f>IF(ISTEXT(D12),MAX($C$10:C11)+1,"")</f>
        <v>2</v>
      </c>
      <c r="D12" s="101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 t="str">
        <f>_xlfn.XLOOKUP(D12,Common_Defect_List!A:A,Common_Defect_List!B:B,"")</f>
        <v>FA</v>
      </c>
      <c r="W12" s="10"/>
      <c r="X12" s="10"/>
      <c r="Y12" s="10"/>
      <c r="Z12" s="10"/>
      <c r="AB12" s="4" t="s">
        <v>1386</v>
      </c>
      <c r="AC12" s="4">
        <f>AC8-AC9-AC10-AC11</f>
        <v>19</v>
      </c>
    </row>
    <row r="13" spans="2:29" s="4" customFormat="1" ht="16.350000000000001" customHeight="1" thickBot="1" x14ac:dyDescent="0.3">
      <c r="B13" s="8"/>
      <c r="C13" s="11">
        <f>IF(ISTEXT(D13),MAX($C$10:C12)+1,"")</f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 t="s">
        <v>22</v>
      </c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f>IF(ISTEXT(D14),MAX($C$10:C13)+1,"")</f>
        <v>4</v>
      </c>
      <c r="D14" s="121" t="s">
        <v>1356</v>
      </c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5"/>
      <c r="V14" s="10" t="s">
        <v>22</v>
      </c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f>IF(ISTEXT(D15),MAX($C$10:C14)+1,"")</f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 t="s">
        <v>22</v>
      </c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f>IF(ISTEXT(D16),MAX($C$10:C15)+1,"")</f>
        <v>6</v>
      </c>
      <c r="D16" s="101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 t="str">
        <f>_xlfn.XLOOKUP(D16,Common_Defect_List!A:A,Common_Defect_List!B:B,"")</f>
        <v>CARP</v>
      </c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f>IF(ISTEXT(D17),MAX($C$10:C16)+1,"")</f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 t="s">
        <v>76</v>
      </c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f>IF(ISTEXT(D18),MAX($C$10:C17)+1,"")</f>
        <v>8</v>
      </c>
      <c r="D18" s="101" t="s">
        <v>14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 t="str">
        <f>_xlfn.XLOOKUP(D18,Common_Defect_List!A:A,Common_Defect_List!B:B,"")</f>
        <v>ELEC</v>
      </c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f>IF(ISTEXT(D19),MAX($C$10:C18)+1,"")</f>
        <v>9</v>
      </c>
      <c r="D19" s="70" t="s">
        <v>1380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 t="s">
        <v>22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f>IF(ISTEXT(D20),MAX($C$10:C19)+1,"")</f>
        <v>10</v>
      </c>
      <c r="D20" s="101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 t="str">
        <f>_xlfn.XLOOKUP(D20,Common_Defect_List!A:A,Common_Defect_List!B:B,"")</f>
        <v>FA</v>
      </c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f>IF(ISTEXT(D21),MAX($C$10:C20)+1,"")</f>
        <v>11</v>
      </c>
      <c r="D21" s="101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 t="str">
        <f>_xlfn.XLOOKUP(D21,Common_Defect_List!A:A,Common_Defect_List!B:B,"")</f>
        <v>CARP</v>
      </c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f>IF(ISTEXT(D22),MAX($C$10:C21)+1,"")</f>
        <v>12</v>
      </c>
      <c r="D22" s="101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 t="str">
        <f>_xlfn.XLOOKUP(D22,Common_Defect_List!A:A,Common_Defect_List!B:B,"")</f>
        <v>CARP</v>
      </c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f>IF(ISTEXT(D23),MAX($C$10:C22)+1,"")</f>
        <v>13</v>
      </c>
      <c r="D23" s="101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 t="s">
        <v>22</v>
      </c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f>IF(ISTEXT(D24),MAX($C$10:C23)+1,"")</f>
        <v>14</v>
      </c>
      <c r="D24" s="101" t="s">
        <v>51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 t="s">
        <v>52</v>
      </c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f>IF(ISTEXT(D25),MAX($C$10:C24)+1,"")</f>
        <v>15</v>
      </c>
      <c r="D25" s="101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 t="s">
        <v>22</v>
      </c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f>IF(ISTEXT(D26),MAX($C$10:C25)+1,"")</f>
        <v>16</v>
      </c>
      <c r="D26" s="101" t="s">
        <v>1325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 t="s">
        <v>28</v>
      </c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f>IF(ISTEXT(D27),MAX($C$10:C26)+1,"")</f>
        <v>17</v>
      </c>
      <c r="D27" s="101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 t="s">
        <v>22</v>
      </c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f>IF(ISTEXT(D28),MAX($C$10:C27)+1,"")</f>
        <v>18</v>
      </c>
      <c r="D28" s="101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 t="str">
        <f>_xlfn.XLOOKUP(D28,Common_Defect_List!A:A,Common_Defect_List!B:B,"")</f>
        <v>ELEC</v>
      </c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f>IF(ISTEXT(D29),MAX($C$10:C28)+1,"")</f>
        <v>19</v>
      </c>
      <c r="D29" s="101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 t="s">
        <v>22</v>
      </c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f>IF(ISTEXT(D30),MAX($C$10:C29)+1,"")</f>
        <v>20</v>
      </c>
      <c r="D30" s="101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 t="s">
        <v>52</v>
      </c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f>IF(ISTEXT(D31),MAX($C$10:C30)+1,"")</f>
        <v>21</v>
      </c>
      <c r="D31" s="121" t="s">
        <v>1387</v>
      </c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5"/>
      <c r="V31" s="10" t="s">
        <v>22</v>
      </c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 t="str">
        <f>IF(ISTEXT(D32),MAX($C$10:C31)+1,"")</f>
        <v/>
      </c>
      <c r="D32" s="10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/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 t="str">
        <f>IF(ISTEXT(D34),MAX($C$10:C33)+1,"")</f>
        <v/>
      </c>
      <c r="D33" s="101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/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 t="str">
        <f>IF(ISTEXT(D35),MAX($C$10:C34)+1,"")</f>
        <v/>
      </c>
      <c r="D34" s="10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/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 t="str">
        <f>IF(ISTEXT(D36),MAX($C$10:C35)+1,"")</f>
        <v/>
      </c>
      <c r="D35" s="10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/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 t="str">
        <f>IF(ISTEXT(D37),MAX($C$10:C36)+1,"")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/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 t="str">
        <f>IF(ISTEXT(D38),MAX($C$10:C37)+1,"")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/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 t="str">
        <f>IF(ISTEXT(D39),MAX($C$10:C38)+1,"")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/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 t="str">
        <f>IF(ISTEXT(D40),MAX($C$10:C39)+1,"")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/>
      <c r="W39" s="10"/>
      <c r="X39" s="10"/>
      <c r="Y39" s="10"/>
      <c r="Z39" s="10"/>
    </row>
    <row r="40" spans="2:26" s="4" customFormat="1" ht="15" customHeight="1" thickBot="1" x14ac:dyDescent="0.3">
      <c r="B40" s="8"/>
      <c r="C40" s="11" t="str">
        <f>IF(ISTEXT(D41),MAX($C$10:C40)+1,"")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/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 t="str">
        <f>IF(ISTEXT(D42),MAX($C$10:C41)+1,"")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/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 t="str">
        <f>IF(ISTEXT(D43),MAX($C$10:C42)+1,"")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/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 t="str">
        <f>IF(ISTEXT(D44),MAX($C$10:C43)+1,"")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/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 t="str">
        <f>IF(ISTEXT(D45),MAX($C$10:C44)+1,"")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/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 t="str">
        <f>IF(ISTEXT(D46),MAX($C$10:C45)+1,"")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/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 t="str">
        <f>IF(ISTEXT(D47),MAX($C$10:C46)+1,"")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/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 t="str">
        <f>IF(ISTEXT(D48),MAX($C$10:C47)+1,"")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 t="str">
        <f>IF(ISTEXT(#REF!),MAX($C$10:C48)+1,"")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5.95" customHeight="1" thickBot="1" x14ac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/>
      <c r="W50" s="10"/>
      <c r="X50" s="10"/>
      <c r="Y50" s="10"/>
      <c r="Z50" s="10"/>
    </row>
    <row r="51" spans="2:26" s="4" customFormat="1" ht="15.95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/>
      <c r="W53" s="10"/>
      <c r="X53" s="10"/>
      <c r="Y53" s="10"/>
      <c r="Z53" s="10"/>
    </row>
    <row r="54" spans="2:26" s="1" customFormat="1" ht="15" customHeight="1" x14ac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</row>
    <row r="55" spans="2:26" x14ac:dyDescent="0.25">
      <c r="B55" s="20"/>
      <c r="C55" s="21"/>
      <c r="O55" s="22"/>
      <c r="P55" s="22"/>
      <c r="Q55" s="23"/>
      <c r="R55" s="23"/>
      <c r="S55" s="22"/>
      <c r="T55" s="22"/>
    </row>
    <row r="56" spans="2:26" s="1" customFormat="1" ht="13.5" thickBot="1" x14ac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</row>
    <row r="57" spans="2:26" ht="15" customHeight="1" x14ac:dyDescent="0.25">
      <c r="C57" s="29"/>
      <c r="I57" s="30"/>
      <c r="O57" s="65"/>
      <c r="P57" s="65"/>
      <c r="Q57" s="60"/>
      <c r="R57" s="60"/>
      <c r="S57" s="65"/>
      <c r="T57" s="65"/>
    </row>
    <row r="58" spans="2:26" ht="18" customHeight="1" thickBot="1" x14ac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/>
      <c r="W58" s="62"/>
      <c r="X58" s="62"/>
      <c r="Y58" s="62"/>
    </row>
    <row r="59" spans="2:26" ht="15" customHeight="1" thickBot="1" x14ac:dyDescent="0.3"/>
    <row r="60" spans="2:26" ht="15" customHeight="1" x14ac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92" t="s">
        <v>65</v>
      </c>
      <c r="X60" s="79"/>
      <c r="Y60" s="79"/>
      <c r="Z60" s="79"/>
    </row>
    <row r="61" spans="2:26" ht="15" customHeight="1" thickBot="1" x14ac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</row>
    <row r="62" spans="2:26" ht="10.5" customHeight="1" thickBot="1" x14ac:dyDescent="0.3"/>
    <row r="63" spans="2:26" ht="15" customHeight="1" thickBot="1" x14ac:dyDescent="0.3">
      <c r="J63" s="79" t="s">
        <v>2</v>
      </c>
      <c r="K63" s="79"/>
      <c r="L63" s="79"/>
      <c r="M63" s="80" t="str">
        <f>M4</f>
        <v>C1015</v>
      </c>
      <c r="N63" s="80"/>
      <c r="O63" s="80"/>
      <c r="P63" s="80"/>
    </row>
    <row r="64" spans="2:26" s="15" customFormat="1" ht="15" customHeight="1" thickBot="1" x14ac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/>
    </row>
    <row r="65" spans="1:26" s="15" customFormat="1" ht="15.95" customHeight="1" thickBot="1" x14ac:dyDescent="0.3"/>
    <row r="66" spans="1:26" s="15" customFormat="1" ht="15" customHeight="1" thickBot="1" x14ac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/>
      <c r="W66" s="60"/>
      <c r="X66" s="23"/>
    </row>
    <row r="67" spans="1:26" s="15" customFormat="1" ht="15" customHeight="1" thickBot="1" x14ac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s="15" customFormat="1" ht="22.5" customHeight="1" thickBot="1" x14ac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 t="s">
        <v>8</v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x14ac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 s="10"/>
      <c r="W69" s="14"/>
      <c r="X69" s="14"/>
      <c r="Y69" s="14"/>
      <c r="Z69" s="14"/>
    </row>
    <row r="70" spans="1:26" s="15" customFormat="1" ht="15.6" customHeight="1" thickBot="1" x14ac:dyDescent="0.25">
      <c r="B70" s="8"/>
      <c r="C70" s="11">
        <f>IF(ISTEXT(D70),MAX($C$10:C69)+1,"")</f>
        <v>22</v>
      </c>
      <c r="D70" s="95" t="s">
        <v>69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0" t="str">
        <f>_xlfn.XLOOKUP(D70,Common_Defect_List!A:A,Common_Defect_List!B:B,"")</f>
        <v>PLUM</v>
      </c>
      <c r="W70" s="14"/>
      <c r="X70" s="14"/>
      <c r="Y70" s="14"/>
      <c r="Z70" s="14"/>
    </row>
    <row r="71" spans="1:26" s="15" customFormat="1" ht="15.6" customHeight="1" thickBot="1" x14ac:dyDescent="0.25">
      <c r="B71" s="8"/>
      <c r="C71" s="11">
        <f>IF(ISTEXT(D71),MAX($C$10:C70)+1,"")</f>
        <v>23</v>
      </c>
      <c r="D71" s="95" t="s">
        <v>1334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 t="s">
        <v>72</v>
      </c>
      <c r="W71" s="14"/>
      <c r="X71" s="14"/>
      <c r="Y71" s="14"/>
      <c r="Z71" s="14"/>
    </row>
    <row r="72" spans="1:26" s="15" customFormat="1" ht="15.6" customHeight="1" thickBot="1" x14ac:dyDescent="0.25">
      <c r="B72" s="8"/>
      <c r="C72" s="11">
        <f>IF(ISTEXT(D72),MAX($C$10:C71)+1,"")</f>
        <v>24</v>
      </c>
      <c r="D72" s="95" t="s">
        <v>1335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 t="s">
        <v>72</v>
      </c>
      <c r="W72" s="14"/>
      <c r="X72" s="14"/>
      <c r="Y72" s="14"/>
      <c r="Z72" s="14"/>
    </row>
    <row r="73" spans="1:26" s="15" customFormat="1" ht="16.149999999999999" customHeight="1" thickBot="1" x14ac:dyDescent="0.25">
      <c r="B73" s="8"/>
      <c r="C73" s="11">
        <f>IF(ISTEXT(D73),MAX($C$10:C72)+1,"")</f>
        <v>25</v>
      </c>
      <c r="D73" s="95" t="s">
        <v>1336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 t="s">
        <v>76</v>
      </c>
      <c r="W73" s="14"/>
      <c r="X73" s="14"/>
      <c r="Y73" s="14"/>
      <c r="Z73" s="14"/>
    </row>
    <row r="74" spans="1:26" s="15" customFormat="1" ht="16.149999999999999" customHeight="1" thickBot="1" x14ac:dyDescent="0.25">
      <c r="B74" s="8"/>
      <c r="C74" s="11">
        <f>IF(ISTEXT(D74),MAX($C$10:C73)+1,"")</f>
        <v>26</v>
      </c>
      <c r="D74" s="95" t="s">
        <v>1341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 t="s">
        <v>28</v>
      </c>
      <c r="W74" s="14"/>
      <c r="X74" s="14"/>
      <c r="Y74" s="14"/>
      <c r="Z74" s="14"/>
    </row>
    <row r="75" spans="1:26" s="15" customFormat="1" ht="16.149999999999999" customHeight="1" thickBot="1" x14ac:dyDescent="0.25">
      <c r="B75" s="8"/>
      <c r="C75" s="11">
        <f>IF(ISTEXT(D75),MAX($C$10:C74)+1,"")</f>
        <v>27</v>
      </c>
      <c r="D75" s="95" t="s">
        <v>108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 t="str">
        <f>_xlfn.XLOOKUP(D75,Common_Defect_List!A:A,Common_Defect_List!B:B,"")</f>
        <v>ELEC</v>
      </c>
      <c r="W75" s="14"/>
      <c r="X75" s="14"/>
      <c r="Y75" s="14"/>
      <c r="Z75" s="14"/>
    </row>
    <row r="76" spans="1:26" s="15" customFormat="1" ht="16.149999999999999" customHeight="1" thickBot="1" x14ac:dyDescent="0.25">
      <c r="B76" s="8"/>
      <c r="C76" s="11">
        <f>IF(ISTEXT(D76),MAX($C$10:C75)+1,"")</f>
        <v>28</v>
      </c>
      <c r="D76" s="95" t="s">
        <v>78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 t="str">
        <f>_xlfn.XLOOKUP(D76,Common_Defect_List!A:A,Common_Defect_List!B:B,"")</f>
        <v>PLUM</v>
      </c>
      <c r="W76" s="14"/>
      <c r="X76" s="14"/>
      <c r="Y76" s="14"/>
      <c r="Z76" s="14"/>
    </row>
    <row r="77" spans="1:26" s="15" customFormat="1" ht="16.149999999999999" customHeight="1" thickBot="1" x14ac:dyDescent="0.25">
      <c r="B77" s="8"/>
      <c r="C77" s="11">
        <f>IF(ISTEXT(D77),MAX($C$10:C76)+1,"")</f>
        <v>29</v>
      </c>
      <c r="D77" s="95" t="s">
        <v>79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 t="str">
        <f>_xlfn.XLOOKUP(D77,Common_Defect_List!A:A,Common_Defect_List!B:B,"")</f>
        <v>PLUM</v>
      </c>
      <c r="W77" s="14"/>
      <c r="X77" s="14"/>
      <c r="Y77" s="14"/>
      <c r="Z77" s="14"/>
    </row>
    <row r="78" spans="1:26" ht="16.149999999999999" customHeight="1" thickBot="1" x14ac:dyDescent="0.3">
      <c r="B78" s="8"/>
      <c r="C78" s="11">
        <f>IF(ISTEXT(D78),MAX($C$10:C77)+1,"")</f>
        <v>30</v>
      </c>
      <c r="D78" s="95" t="s">
        <v>80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 t="str">
        <f>_xlfn.XLOOKUP(D78,Common_Defect_List!A:A,Common_Defect_List!B:B,"")</f>
        <v>PLUM</v>
      </c>
      <c r="W78" s="14"/>
      <c r="X78" s="14"/>
      <c r="Y78" s="14"/>
      <c r="Z78" s="14"/>
    </row>
    <row r="79" spans="1:26" s="15" customFormat="1" ht="16.149999999999999" customHeight="1" thickBot="1" x14ac:dyDescent="0.25">
      <c r="A79" s="36"/>
      <c r="B79" s="37"/>
      <c r="C79" s="11">
        <f>IF(ISTEXT(D79),MAX($C$10:C78)+1,"")</f>
        <v>31</v>
      </c>
      <c r="D79" s="95" t="s">
        <v>81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 t="s">
        <v>76</v>
      </c>
      <c r="W79" s="14"/>
      <c r="X79" s="14"/>
      <c r="Y79" s="14"/>
      <c r="Z79" s="14"/>
    </row>
    <row r="80" spans="1:26" s="15" customFormat="1" ht="16.149999999999999" customHeight="1" thickBot="1" x14ac:dyDescent="0.25">
      <c r="B80" s="8"/>
      <c r="C80" s="11">
        <f>IF(ISTEXT(D80),MAX($C$10:C79)+1,"")</f>
        <v>32</v>
      </c>
      <c r="D80" s="95" t="s">
        <v>1342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 t="s">
        <v>76</v>
      </c>
      <c r="W80" s="14"/>
      <c r="X80" s="14"/>
      <c r="Y80" s="14"/>
      <c r="Z80" s="14"/>
    </row>
    <row r="81" spans="2:26" s="15" customFormat="1" ht="16.149999999999999" customHeight="1" thickBot="1" x14ac:dyDescent="0.25">
      <c r="B81" s="8"/>
      <c r="C81" s="11">
        <f>IF(ISTEXT(D81),MAX($C$10:C80)+1,"")</f>
        <v>33</v>
      </c>
      <c r="D81" s="95" t="s">
        <v>1343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 t="s">
        <v>72</v>
      </c>
      <c r="W81" s="14"/>
      <c r="X81" s="14"/>
      <c r="Y81" s="14"/>
      <c r="Z81" s="14"/>
    </row>
    <row r="82" spans="2:26" s="15" customFormat="1" ht="16.149999999999999" customHeight="1" thickBot="1" x14ac:dyDescent="0.25">
      <c r="B82" s="8"/>
      <c r="C82" s="11">
        <f>IF(ISTEXT(D82),MAX($C$10:C81)+1,"")</f>
        <v>34</v>
      </c>
      <c r="D82" s="95" t="s">
        <v>1344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 t="s">
        <v>22</v>
      </c>
      <c r="W82" s="14"/>
      <c r="X82" s="14"/>
      <c r="Y82" s="14"/>
      <c r="Z82" s="14"/>
    </row>
    <row r="83" spans="2:26" s="15" customFormat="1" ht="16.149999999999999" customHeight="1" thickBot="1" x14ac:dyDescent="0.25">
      <c r="B83" s="8"/>
      <c r="C83" s="11" t="str">
        <f>IF(ISTEXT(D83),MAX($C$10:C82)+1,"")</f>
        <v/>
      </c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/>
      <c r="W83" s="14"/>
      <c r="X83" s="14"/>
      <c r="Y83" s="14"/>
      <c r="Z83" s="14"/>
    </row>
    <row r="84" spans="2:26" s="15" customFormat="1" ht="16.149999999999999" customHeight="1" thickBot="1" x14ac:dyDescent="0.3">
      <c r="B84" s="8"/>
      <c r="C84" s="11"/>
      <c r="D84" s="73" t="s">
        <v>82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5"/>
      <c r="V84" s="10" t="str">
        <f>_xlfn.XLOOKUP(D84,Common_Defect_List!A:A,Common_Defect_List!B:B,"")</f>
        <v/>
      </c>
      <c r="W84" s="14"/>
      <c r="X84" s="14"/>
      <c r="Y84" s="14"/>
      <c r="Z84" s="14"/>
    </row>
    <row r="85" spans="2:26" s="15" customFormat="1" ht="16.149999999999999" customHeight="1" thickBot="1" x14ac:dyDescent="0.3">
      <c r="B85" s="8"/>
      <c r="C85" s="11">
        <f>IF(ISTEXT(D85),MAX($C$10:C84)+1,"")</f>
        <v>35</v>
      </c>
      <c r="D85" s="70" t="s">
        <v>1345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2"/>
      <c r="V85" s="10" t="s">
        <v>28</v>
      </c>
      <c r="W85" s="14"/>
      <c r="X85" s="14"/>
      <c r="Y85" s="14"/>
      <c r="Z85" s="14"/>
    </row>
    <row r="86" spans="2:26" s="15" customFormat="1" ht="16.149999999999999" customHeight="1" thickBot="1" x14ac:dyDescent="0.3">
      <c r="B86" s="8"/>
      <c r="C86" s="11">
        <f>IF(ISTEXT(D86),MAX($C$10:C85)+1,"")</f>
        <v>36</v>
      </c>
      <c r="D86" s="70" t="s">
        <v>1346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 t="s">
        <v>28</v>
      </c>
      <c r="W86" s="14"/>
      <c r="X86" s="14"/>
      <c r="Y86" s="14"/>
      <c r="Z86" s="14"/>
    </row>
    <row r="87" spans="2:26" s="15" customFormat="1" ht="16.149999999999999" customHeight="1" thickBot="1" x14ac:dyDescent="0.3">
      <c r="B87" s="8"/>
      <c r="C87" s="11">
        <f>IF(ISTEXT(D87),MAX($C$10:C86)+1,"")</f>
        <v>37</v>
      </c>
      <c r="D87" s="70" t="s">
        <v>111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10" t="str">
        <f>_xlfn.XLOOKUP(D87,Common_Defect_List!A:A,Common_Defect_List!B:B,"")</f>
        <v>PLUM</v>
      </c>
      <c r="W87" s="14"/>
      <c r="X87" s="14"/>
      <c r="Y87" s="14"/>
      <c r="Z87" s="14"/>
    </row>
    <row r="88" spans="2:26" s="15" customFormat="1" ht="16.149999999999999" customHeight="1" thickBot="1" x14ac:dyDescent="0.3">
      <c r="B88" s="8"/>
      <c r="C88" s="11">
        <f>IF(ISTEXT(D88),MAX($C$10:C87)+1,"")</f>
        <v>38</v>
      </c>
      <c r="D88" s="70" t="s">
        <v>97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 t="str">
        <f>_xlfn.XLOOKUP(D88,Common_Defect_List!A:A,Common_Defect_List!B:B,"")</f>
        <v>PLUM</v>
      </c>
      <c r="W88" s="14"/>
      <c r="X88" s="14"/>
      <c r="Y88" s="14"/>
      <c r="Z88" s="14"/>
    </row>
    <row r="89" spans="2:26" s="15" customFormat="1" ht="16.149999999999999" customHeight="1" thickBot="1" x14ac:dyDescent="0.3">
      <c r="B89" s="8"/>
      <c r="C89" s="11">
        <f>IF(ISTEXT(D89),MAX($C$10:C88)+1,"")</f>
        <v>39</v>
      </c>
      <c r="D89" s="70" t="s">
        <v>1347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 t="s">
        <v>76</v>
      </c>
      <c r="W89" s="14"/>
      <c r="X89" s="14"/>
      <c r="Y89" s="14"/>
      <c r="Z89" s="14"/>
    </row>
    <row r="90" spans="2:26" s="15" customFormat="1" ht="15.95" customHeight="1" thickBot="1" x14ac:dyDescent="0.25">
      <c r="B90" s="8"/>
      <c r="C90" s="11">
        <f>IF(ISTEXT(D90),MAX($C$10:C89)+1,"")</f>
        <v>40</v>
      </c>
      <c r="D90" s="95" t="s">
        <v>88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 t="s">
        <v>22</v>
      </c>
      <c r="W90" s="14"/>
      <c r="X90" s="14"/>
      <c r="Y90" s="14"/>
      <c r="Z90" s="14"/>
    </row>
    <row r="91" spans="2:26" s="15" customFormat="1" ht="16.149999999999999" customHeight="1" thickBot="1" x14ac:dyDescent="0.25">
      <c r="B91" s="8"/>
      <c r="C91" s="11">
        <f>IF(ISTEXT(D91),MAX($C$10:C90)+1,"")</f>
        <v>41</v>
      </c>
      <c r="D91" s="95" t="s">
        <v>108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 t="str">
        <f>_xlfn.XLOOKUP(D91,Common_Defect_List!A:A,Common_Defect_List!B:B,"")</f>
        <v>ELEC</v>
      </c>
      <c r="W91" s="14"/>
      <c r="X91" s="14"/>
      <c r="Y91" s="14"/>
      <c r="Z91" s="14"/>
    </row>
    <row r="92" spans="2:26" s="15" customFormat="1" ht="16.149999999999999" customHeight="1" thickBot="1" x14ac:dyDescent="0.25">
      <c r="B92" s="8"/>
      <c r="C92" s="11">
        <f>IF(ISTEXT(D92),MAX($C$10:C91)+1,"")</f>
        <v>42</v>
      </c>
      <c r="D92" s="95" t="s">
        <v>90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 t="s">
        <v>76</v>
      </c>
      <c r="W92" s="14"/>
      <c r="X92" s="14"/>
      <c r="Y92" s="14"/>
      <c r="Z92" s="14"/>
    </row>
    <row r="93" spans="2:26" s="15" customFormat="1" ht="16.149999999999999" customHeight="1" thickBot="1" x14ac:dyDescent="0.25">
      <c r="B93" s="8"/>
      <c r="C93" s="11">
        <f>IF(ISTEXT(D93),MAX($C$10:C92)+1,"")</f>
        <v>43</v>
      </c>
      <c r="D93" s="95" t="s">
        <v>1348</v>
      </c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10" t="s">
        <v>72</v>
      </c>
      <c r="W93" s="14"/>
      <c r="X93" s="14"/>
      <c r="Y93" s="14"/>
      <c r="Z93" s="14"/>
    </row>
    <row r="94" spans="2:26" s="15" customFormat="1" ht="16.149999999999999" customHeight="1" thickBot="1" x14ac:dyDescent="0.25">
      <c r="B94" s="8"/>
      <c r="C94" s="11">
        <f>IF(ISTEXT(D94),MAX($C$10:C93)+1,"")</f>
        <v>44</v>
      </c>
      <c r="D94" s="95" t="s">
        <v>1270</v>
      </c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10" t="str">
        <f>_xlfn.XLOOKUP(D94,Common_Defect_List!A:A,Common_Defect_List!B:B,"")</f>
        <v>MECH</v>
      </c>
      <c r="W94" s="14"/>
      <c r="X94" s="14"/>
      <c r="Y94" s="14"/>
      <c r="Z94" s="14"/>
    </row>
    <row r="95" spans="2:26" s="15" customFormat="1" ht="16.149999999999999" customHeight="1" thickBot="1" x14ac:dyDescent="0.3">
      <c r="B95" s="8"/>
      <c r="C95" s="11"/>
      <c r="D95" s="73" t="s">
        <v>92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5"/>
      <c r="V95" s="10" t="str">
        <f>_xlfn.XLOOKUP(D95,Common_Defect_List!A:A,Common_Defect_List!B:B,"")</f>
        <v/>
      </c>
      <c r="W95" s="14"/>
      <c r="X95" s="14"/>
      <c r="Y95" s="14"/>
      <c r="Z95" s="14"/>
    </row>
    <row r="96" spans="2:26" s="15" customFormat="1" ht="16.149999999999999" customHeight="1" thickBot="1" x14ac:dyDescent="0.3">
      <c r="B96" s="8"/>
      <c r="C96" s="11">
        <f>IF(ISTEXT(D96),MAX($C$10:C95)+1,"")</f>
        <v>45</v>
      </c>
      <c r="D96" s="70" t="s">
        <v>1349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 t="s">
        <v>22</v>
      </c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>
        <f>IF(ISTEXT(D97),MAX($C$10:C96)+1,"")</f>
        <v>46</v>
      </c>
      <c r="D97" s="70" t="s">
        <v>108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 t="str">
        <f>_xlfn.XLOOKUP(D97,Common_Defect_List!A:A,Common_Defect_List!B:B,"")</f>
        <v>ELEC</v>
      </c>
      <c r="W97" s="14"/>
      <c r="X97" s="14"/>
      <c r="Y97" s="14"/>
      <c r="Z97" s="14"/>
    </row>
    <row r="98" spans="2:26" s="15" customFormat="1" ht="19.149999999999999" customHeight="1" thickBot="1" x14ac:dyDescent="0.3">
      <c r="B98" s="8"/>
      <c r="C98" s="11">
        <f>IF(ISTEXT(D98),MAX($C$10:C97)+1,"")</f>
        <v>47</v>
      </c>
      <c r="D98" s="70" t="s">
        <v>1326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 t="s">
        <v>76</v>
      </c>
      <c r="W98" s="14"/>
      <c r="X98" s="14"/>
      <c r="Y98" s="14"/>
      <c r="Z98" s="14"/>
    </row>
    <row r="99" spans="2:26" s="15" customFormat="1" ht="16.149999999999999" customHeight="1" thickBot="1" x14ac:dyDescent="0.3">
      <c r="B99" s="8"/>
      <c r="C99" s="11">
        <f>IF(ISTEXT(D99),MAX($C$10:C98)+1,"")</f>
        <v>48</v>
      </c>
      <c r="D99" s="70" t="s">
        <v>1327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 t="s">
        <v>76</v>
      </c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49</v>
      </c>
      <c r="D100" s="70" t="s">
        <v>79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 t="str">
        <f>_xlfn.XLOOKUP(D100,Common_Defect_List!A:A,Common_Defect_List!B:B,"")</f>
        <v>PLUM</v>
      </c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50</v>
      </c>
      <c r="D101" s="70" t="s">
        <v>80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 t="str">
        <f>_xlfn.XLOOKUP(D101,Common_Defect_List!A:A,Common_Defect_List!B:B,"")</f>
        <v>PLUM</v>
      </c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51</v>
      </c>
      <c r="D102" s="70" t="s">
        <v>111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 t="str">
        <f>_xlfn.XLOOKUP(D102,Common_Defect_List!A:A,Common_Defect_List!B:B,"")</f>
        <v>PLUM</v>
      </c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>
        <f>IF(ISTEXT(D103),MAX($C$10:C102)+1,"")</f>
        <v>52</v>
      </c>
      <c r="D103" s="70" t="s">
        <v>78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 t="str">
        <f>_xlfn.XLOOKUP(D103,Common_Defect_List!A:A,Common_Defect_List!B:B,"")</f>
        <v>PLUM</v>
      </c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53</v>
      </c>
      <c r="D104" s="70" t="s">
        <v>1289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 t="str">
        <f>_xlfn.XLOOKUP(D104,Common_Defect_List!A:A,Common_Defect_List!B:B,"")</f>
        <v>PLUM</v>
      </c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>
        <f>IF(ISTEXT(D105),MAX($C$10:C104)+1,"")</f>
        <v>54</v>
      </c>
      <c r="D105" s="70" t="s">
        <v>1378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 t="s">
        <v>76</v>
      </c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/>
      <c r="W106" s="14"/>
      <c r="X106" s="14"/>
      <c r="Y106" s="14"/>
      <c r="Z106" s="14"/>
    </row>
    <row r="107" spans="2:26" ht="15" customHeight="1" x14ac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</row>
    <row r="108" spans="2:26" x14ac:dyDescent="0.25">
      <c r="B108" s="20"/>
      <c r="C108" s="21"/>
      <c r="O108" s="22"/>
      <c r="P108" s="22"/>
      <c r="Q108" s="23"/>
      <c r="R108" s="23"/>
      <c r="S108" s="22"/>
      <c r="T108" s="22"/>
    </row>
    <row r="109" spans="2:26" ht="15.75" thickBot="1" x14ac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</row>
    <row r="110" spans="2:26" ht="15" customHeight="1" x14ac:dyDescent="0.25">
      <c r="C110" s="29"/>
      <c r="I110" s="30"/>
      <c r="O110" s="65"/>
      <c r="P110" s="65"/>
      <c r="Q110" s="60"/>
      <c r="R110" s="60"/>
      <c r="S110" s="65"/>
      <c r="T110" s="65"/>
    </row>
    <row r="111" spans="2:26" ht="18" customHeight="1" thickBot="1" x14ac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/>
      <c r="W111" s="62"/>
      <c r="X111" s="62"/>
      <c r="Y111" s="62"/>
    </row>
    <row r="112" spans="2:26" ht="15" customHeight="1" x14ac:dyDescent="0.25"/>
    <row r="113" spans="2:26" ht="15" customHeight="1" thickBot="1" x14ac:dyDescent="0.3"/>
    <row r="114" spans="2:26" ht="15" customHeight="1" x14ac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2" t="s">
        <v>99</v>
      </c>
      <c r="X114" s="79"/>
      <c r="Y114" s="79"/>
      <c r="Z114" s="79"/>
    </row>
    <row r="115" spans="2:26" ht="15" customHeight="1" thickBot="1" x14ac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</row>
    <row r="116" spans="2:26" ht="10.5" customHeight="1" thickBot="1" x14ac:dyDescent="0.3"/>
    <row r="117" spans="2:26" ht="15" customHeight="1" thickBot="1" x14ac:dyDescent="0.3">
      <c r="J117" s="79" t="s">
        <v>2</v>
      </c>
      <c r="K117" s="79"/>
      <c r="L117" s="79"/>
      <c r="M117" s="80" t="str">
        <f>M4</f>
        <v>C1015</v>
      </c>
      <c r="N117" s="80"/>
      <c r="O117" s="80"/>
      <c r="P117" s="80"/>
    </row>
    <row r="118" spans="2:26" s="15" customFormat="1" ht="15" customHeight="1" thickBot="1" x14ac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/>
    </row>
    <row r="119" spans="2:26" s="15" customFormat="1" ht="17.100000000000001" customHeight="1" thickBot="1" x14ac:dyDescent="0.3"/>
    <row r="120" spans="2:26" s="15" customFormat="1" ht="15" customHeight="1" thickBot="1" x14ac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/>
      <c r="W120" s="60"/>
      <c r="X120" s="23"/>
    </row>
    <row r="121" spans="2:26" s="15" customFormat="1" ht="10.5" customHeight="1" thickBot="1" x14ac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2:26" s="15" customFormat="1" ht="21" customHeight="1" thickBot="1" x14ac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 t="s">
        <v>8</v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x14ac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/>
      <c r="W123" s="14"/>
      <c r="X123" s="14"/>
      <c r="Y123" s="14"/>
      <c r="Z123" s="14"/>
    </row>
    <row r="124" spans="2:26" s="15" customFormat="1" ht="16.149999999999999" customHeight="1" thickBot="1" x14ac:dyDescent="0.3">
      <c r="B124" s="8"/>
      <c r="C124" s="11">
        <f>IF(ISTEXT(D124),MAX($C$10:C123)+1,"")</f>
        <v>55</v>
      </c>
      <c r="D124" s="70" t="s">
        <v>1328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 t="s">
        <v>74</v>
      </c>
      <c r="W124" s="14"/>
      <c r="X124" s="14"/>
      <c r="Y124" s="14"/>
      <c r="Z124" s="14"/>
    </row>
    <row r="125" spans="2:26" s="15" customFormat="1" ht="16.149999999999999" customHeight="1" thickBot="1" x14ac:dyDescent="0.3">
      <c r="B125" s="8"/>
      <c r="C125" s="11">
        <f>IF(ISTEXT(D125),MAX($C$10:C124)+1,"")</f>
        <v>56</v>
      </c>
      <c r="D125" s="70" t="s">
        <v>118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 t="s">
        <v>76</v>
      </c>
      <c r="W125" s="14"/>
      <c r="X125" s="14"/>
      <c r="Y125" s="14"/>
      <c r="Z125" s="14"/>
    </row>
    <row r="126" spans="2:26" s="15" customFormat="1" ht="16.149999999999999" customHeight="1" thickBot="1" x14ac:dyDescent="0.3">
      <c r="B126" s="8"/>
      <c r="C126" s="11">
        <f>IF(ISTEXT(D126),MAX($C$10:C125)+1,"")</f>
        <v>57</v>
      </c>
      <c r="D126" s="70" t="s">
        <v>1352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 t="s">
        <v>76</v>
      </c>
      <c r="W126" s="14"/>
      <c r="X126" s="14"/>
      <c r="Y126" s="14"/>
      <c r="Z126" s="14"/>
    </row>
    <row r="127" spans="2:26" s="15" customFormat="1" ht="16.149999999999999" customHeight="1" thickBot="1" x14ac:dyDescent="0.3">
      <c r="B127" s="8"/>
      <c r="C127" s="11">
        <f>IF(ISTEXT(D127),MAX($C$10:C126)+1,"")</f>
        <v>58</v>
      </c>
      <c r="D127" s="70" t="s">
        <v>1353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2"/>
      <c r="V127" s="10" t="s">
        <v>76</v>
      </c>
      <c r="W127" s="14"/>
      <c r="X127" s="14"/>
      <c r="Y127" s="14"/>
      <c r="Z127" s="14"/>
    </row>
    <row r="128" spans="2:26" s="15" customFormat="1" ht="16.149999999999999" customHeight="1" thickBot="1" x14ac:dyDescent="0.3">
      <c r="B128" s="8"/>
      <c r="C128" s="11">
        <f>IF(ISTEXT(D128),MAX($C$10:C127)+1,"")</f>
        <v>59</v>
      </c>
      <c r="D128" s="70" t="s">
        <v>1354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 t="s">
        <v>72</v>
      </c>
      <c r="W128" s="14"/>
      <c r="X128" s="14"/>
      <c r="Y128" s="14"/>
      <c r="Z128" s="14"/>
    </row>
    <row r="129" spans="2:26" s="15" customFormat="1" ht="16.149999999999999" customHeight="1" thickBot="1" x14ac:dyDescent="0.3">
      <c r="B129" s="8"/>
      <c r="C129" s="11">
        <f>IF(ISTEXT(D129),MAX($C$10:C128)+1,"")</f>
        <v>60</v>
      </c>
      <c r="D129" s="70" t="s">
        <v>79</v>
      </c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 t="str">
        <f>_xlfn.XLOOKUP(D129,Common_Defect_List!A:A,Common_Defect_List!B:B,"")</f>
        <v>PLUM</v>
      </c>
      <c r="W129" s="14"/>
      <c r="X129" s="14"/>
      <c r="Y129" s="14"/>
      <c r="Z129" s="14"/>
    </row>
    <row r="130" spans="2:26" ht="16.149999999999999" customHeight="1" thickBot="1" x14ac:dyDescent="0.3">
      <c r="B130" s="8"/>
      <c r="C130" s="11">
        <f>IF(ISTEXT(D130),MAX($C$10:C129)+1,"")</f>
        <v>61</v>
      </c>
      <c r="D130" s="70" t="s">
        <v>80</v>
      </c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 t="str">
        <f>_xlfn.XLOOKUP(D130,Common_Defect_List!A:A,Common_Defect_List!B:B,"")</f>
        <v>PLUM</v>
      </c>
      <c r="W130" s="14"/>
      <c r="X130" s="14"/>
      <c r="Y130" s="14"/>
      <c r="Z130" s="14"/>
    </row>
    <row r="131" spans="2:26" s="15" customFormat="1" ht="16.149999999999999" customHeight="1" thickBot="1" x14ac:dyDescent="0.3">
      <c r="B131" s="8"/>
      <c r="C131" s="11">
        <f>IF(ISTEXT(D131),MAX($C$10:C130)+1,"")</f>
        <v>62</v>
      </c>
      <c r="D131" s="70" t="s">
        <v>108</v>
      </c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 t="str">
        <f>_xlfn.XLOOKUP(D131,Common_Defect_List!A:A,Common_Defect_List!B:B,"")</f>
        <v>ELEC</v>
      </c>
      <c r="W131" s="14"/>
      <c r="X131" s="14"/>
      <c r="Y131" s="14"/>
      <c r="Z131" s="14"/>
    </row>
    <row r="132" spans="2:26" s="15" customFormat="1" ht="16.149999999999999" customHeight="1" thickBot="1" x14ac:dyDescent="0.3">
      <c r="B132" s="8"/>
      <c r="C132" s="11">
        <f>IF(ISTEXT(D132),MAX($C$10:C131)+1,"")</f>
        <v>63</v>
      </c>
      <c r="D132" s="70" t="s">
        <v>78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 t="str">
        <f>_xlfn.XLOOKUP(D132,Common_Defect_List!A:A,Common_Defect_List!B:B,"")</f>
        <v>PLUM</v>
      </c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>
        <f>IF(ISTEXT(D133),MAX($C$10:C132)+1,"")</f>
        <v>64</v>
      </c>
      <c r="D133" s="70" t="s">
        <v>111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 t="str">
        <f>_xlfn.XLOOKUP(D133,Common_Defect_List!A:A,Common_Defect_List!B:B,"")</f>
        <v>PLUM</v>
      </c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/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/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/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/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/>
      <c r="W138" s="14"/>
      <c r="X138" s="14"/>
      <c r="Y138" s="14"/>
      <c r="Z138" s="14"/>
    </row>
    <row r="139" spans="2:26" ht="16.5" thickBot="1" x14ac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 t="str">
        <f>_xlfn.XLOOKUP(D139,Common_Defect_List!A:A,Common_Defect_List!B:B,"")</f>
        <v/>
      </c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>
        <f>IF(ISTEXT(D140),MAX($C$10:C139)+1,"")</f>
        <v>65</v>
      </c>
      <c r="D140" s="70" t="s">
        <v>1267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 t="str">
        <f>_xlfn.XLOOKUP(D140,Common_Defect_List!A:A,Common_Defect_List!B:B,"")</f>
        <v>PLUM</v>
      </c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>
        <f>IF(ISTEXT(D141),MAX($C$10:C140)+1,"")</f>
        <v>66</v>
      </c>
      <c r="D141" s="70" t="s">
        <v>108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 t="str">
        <f>_xlfn.XLOOKUP(D141,Common_Defect_List!A:A,Common_Defect_List!B:B,"")</f>
        <v>ELEC</v>
      </c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67</v>
      </c>
      <c r="D142" s="70" t="s">
        <v>125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 t="s">
        <v>76</v>
      </c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68</v>
      </c>
      <c r="D143" s="70" t="s">
        <v>1350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 t="s">
        <v>76</v>
      </c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69</v>
      </c>
      <c r="D144" s="70" t="s">
        <v>1270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 t="str">
        <f>_xlfn.XLOOKUP(D144,Common_Defect_List!A:A,Common_Defect_List!B:B,"")</f>
        <v>MECH</v>
      </c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>
        <f>IF(ISTEXT(D145),MAX($C$10:C144)+1,"")</f>
        <v>70</v>
      </c>
      <c r="D145" s="70" t="s">
        <v>1264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 t="str">
        <f>_xlfn.XLOOKUP(D145,Common_Defect_List!A:A,Common_Defect_List!B:B,"")</f>
        <v>PLUM</v>
      </c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>
        <f>IF(ISTEXT(D146),MAX($C$10:C145)+1,"")</f>
        <v>71</v>
      </c>
      <c r="D146" s="70" t="s">
        <v>78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 t="str">
        <f>_xlfn.XLOOKUP(D146,Common_Defect_List!A:A,Common_Defect_List!B:B,"")</f>
        <v>PLUM</v>
      </c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>
        <f>IF(ISTEXT(D147),MAX($C$10:C146)+1,"")</f>
        <v>72</v>
      </c>
      <c r="D147" s="70" t="s">
        <v>79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 t="str">
        <f>_xlfn.XLOOKUP(D147,Common_Defect_List!A:A,Common_Defect_List!B:B,"")</f>
        <v>PLUM</v>
      </c>
      <c r="W147" s="14"/>
      <c r="X147" s="14"/>
      <c r="Y147" s="14"/>
      <c r="Z147" s="14"/>
    </row>
    <row r="148" spans="2:26" s="15" customFormat="1" ht="16.149999999999999" customHeight="1" thickBot="1" x14ac:dyDescent="0.3">
      <c r="B148" s="8"/>
      <c r="C148" s="11">
        <f>IF(ISTEXT(D148),MAX($C$10:C147)+1,"")</f>
        <v>73</v>
      </c>
      <c r="D148" s="70" t="s">
        <v>80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 t="str">
        <f>_xlfn.XLOOKUP(D148,Common_Defect_List!A:A,Common_Defect_List!B:B,"")</f>
        <v>PLUM</v>
      </c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74</v>
      </c>
      <c r="D149" s="70" t="s">
        <v>118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 t="s">
        <v>76</v>
      </c>
      <c r="W149" s="14"/>
      <c r="X149" s="14"/>
      <c r="Y149" s="14"/>
      <c r="Z149" s="14"/>
    </row>
    <row r="150" spans="2:26" s="15" customFormat="1" ht="16.149999999999999" customHeight="1" thickBot="1" x14ac:dyDescent="0.3">
      <c r="B150" s="8"/>
      <c r="C150" s="11">
        <f>IF(ISTEXT(D150),MAX($C$10:C149)+1,"")</f>
        <v>75</v>
      </c>
      <c r="D150" s="70" t="s">
        <v>111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 t="str">
        <f>_xlfn.XLOOKUP(D150,Common_Defect_List!A:A,Common_Defect_List!B:B,"")</f>
        <v>PLUM</v>
      </c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 t="str">
        <f>IF(ISTEXT(D151),MAX($C$10:C150)+1,"")</f>
        <v/>
      </c>
      <c r="D151" s="70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/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/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/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/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 t="str">
        <f>_xlfn.XLOOKUP(D156,Common_Defect_List!A:A,Common_Defect_List!B:B,"")</f>
        <v/>
      </c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76</v>
      </c>
      <c r="D157" s="121" t="s">
        <v>1351</v>
      </c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0" t="s">
        <v>1382</v>
      </c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77</v>
      </c>
      <c r="D158" s="70" t="s">
        <v>124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 t="s">
        <v>76</v>
      </c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>
        <f>IF(ISTEXT(D159),MAX($C$10:C158)+1,"")</f>
        <v>78</v>
      </c>
      <c r="D159" s="70" t="s">
        <v>125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 t="s">
        <v>76</v>
      </c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>
        <f>IF(ISTEXT(D160),MAX($C$10:C159)+1,"")</f>
        <v>79</v>
      </c>
      <c r="D160" s="70" t="s">
        <v>118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 t="s">
        <v>76</v>
      </c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/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/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/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/>
      <c r="W167" s="14"/>
      <c r="X167" s="14"/>
      <c r="Y167" s="14"/>
      <c r="Z167" s="14"/>
    </row>
    <row r="168" spans="2:26" ht="15" customHeight="1" x14ac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</row>
    <row r="169" spans="2:26" x14ac:dyDescent="0.25">
      <c r="B169" s="20"/>
      <c r="C169" s="21"/>
      <c r="O169" s="22"/>
      <c r="P169" s="22"/>
      <c r="Q169" s="23"/>
      <c r="R169" s="23"/>
      <c r="S169" s="22"/>
      <c r="T169" s="22"/>
    </row>
    <row r="170" spans="2:26" ht="15.75" thickBot="1" x14ac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</row>
    <row r="171" spans="2:26" ht="15" customHeight="1" x14ac:dyDescent="0.25">
      <c r="C171" s="29"/>
      <c r="I171" s="30"/>
      <c r="O171" s="65"/>
      <c r="P171" s="65"/>
      <c r="Q171" s="60"/>
      <c r="R171" s="60"/>
      <c r="S171" s="65"/>
      <c r="T171" s="65"/>
    </row>
    <row r="172" spans="2:26" ht="15.75" thickBot="1" x14ac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/>
      <c r="W172" s="93"/>
      <c r="X172" s="93"/>
      <c r="Y172" s="93"/>
    </row>
    <row r="173" spans="2:26" ht="15" customHeight="1" x14ac:dyDescent="0.25"/>
    <row r="174" spans="2:26" ht="15" customHeight="1" thickBot="1" x14ac:dyDescent="0.3"/>
    <row r="175" spans="2:26" ht="15" customHeight="1" x14ac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2" t="s">
        <v>126</v>
      </c>
      <c r="X175" s="79"/>
      <c r="Y175" s="79"/>
      <c r="Z175" s="79"/>
    </row>
    <row r="176" spans="2:26" ht="15" customHeight="1" thickBot="1" x14ac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</row>
    <row r="177" spans="2:26" ht="10.5" customHeight="1" thickBot="1" x14ac:dyDescent="0.3"/>
    <row r="178" spans="2:26" ht="15" customHeight="1" thickBot="1" x14ac:dyDescent="0.3">
      <c r="J178" s="79" t="s">
        <v>2</v>
      </c>
      <c r="K178" s="79"/>
      <c r="L178" s="79"/>
      <c r="M178" s="80" t="str">
        <f>M4</f>
        <v>C1015</v>
      </c>
      <c r="N178" s="80"/>
      <c r="O178" s="80"/>
      <c r="P178" s="80"/>
    </row>
    <row r="179" spans="2:26" s="15" customFormat="1" ht="15" customHeight="1" thickBot="1" x14ac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/>
    </row>
    <row r="180" spans="2:26" s="15" customFormat="1" ht="8.25" customHeight="1" thickBot="1" x14ac:dyDescent="0.3">
      <c r="M180" s="38"/>
      <c r="N180" s="38"/>
      <c r="O180" s="38"/>
      <c r="P180" s="38"/>
    </row>
    <row r="181" spans="2:26" s="15" customFormat="1" ht="15" customHeight="1" thickBot="1" x14ac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/>
      <c r="W181" s="60"/>
      <c r="X181" s="23"/>
    </row>
    <row r="182" spans="2:26" s="15" customFormat="1" ht="10.5" customHeight="1" thickBot="1" x14ac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2:26" s="15" customFormat="1" ht="21" customHeight="1" thickBot="1" x14ac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 t="s">
        <v>8</v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x14ac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/>
      <c r="W184" s="14"/>
      <c r="X184" s="14"/>
      <c r="Y184" s="14"/>
      <c r="Z184" s="14"/>
    </row>
    <row r="185" spans="2:26" s="15" customFormat="1" ht="16.149999999999999" customHeight="1" thickBot="1" x14ac:dyDescent="0.3">
      <c r="B185" s="8"/>
      <c r="C185" s="11">
        <f>IF(ISTEXT(D185),MAX($C$10:C184),"")</f>
        <v>79</v>
      </c>
      <c r="D185" s="66" t="s">
        <v>1279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 t="str">
        <f>_xlfn.XLOOKUP(D185,Common_Defect_List!A:A,Common_Defect_List!B:B,"")</f>
        <v>DECK</v>
      </c>
      <c r="W185" s="14"/>
      <c r="X185" s="14"/>
      <c r="Y185" s="14"/>
      <c r="Z185" s="14"/>
    </row>
    <row r="186" spans="2:26" s="15" customFormat="1" ht="16.149999999999999" customHeight="1" thickBot="1" x14ac:dyDescent="0.3">
      <c r="B186" s="8"/>
      <c r="C186" s="11">
        <f>IF(ISTEXT(D186),MAX($C$10:C185),"")</f>
        <v>79</v>
      </c>
      <c r="D186" s="66" t="s">
        <v>1368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 t="s">
        <v>74</v>
      </c>
      <c r="W186" s="14"/>
      <c r="X186" s="14"/>
      <c r="Y186" s="14"/>
      <c r="Z186" s="14"/>
    </row>
    <row r="187" spans="2:26" s="15" customFormat="1" ht="16.149999999999999" customHeight="1" thickBot="1" x14ac:dyDescent="0.3">
      <c r="B187" s="8"/>
      <c r="C187" s="11">
        <f>IF(ISTEXT(D187),MAX($C$10:C186),"")</f>
        <v>79</v>
      </c>
      <c r="D187" s="66" t="s">
        <v>136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 t="s">
        <v>22</v>
      </c>
      <c r="W187" s="14"/>
      <c r="X187" s="14"/>
      <c r="Y187" s="14"/>
      <c r="Z187" s="14"/>
    </row>
    <row r="188" spans="2:26" s="15" customFormat="1" ht="16.149999999999999" customHeight="1" thickBot="1" x14ac:dyDescent="0.3">
      <c r="B188" s="8"/>
      <c r="C188" s="11">
        <f>IF(ISTEXT(D188),MAX($C$10:C187),"")</f>
        <v>79</v>
      </c>
      <c r="D188" s="66" t="s">
        <v>137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 t="s">
        <v>22</v>
      </c>
      <c r="W188" s="14"/>
      <c r="X188" s="14"/>
      <c r="Y188" s="14"/>
      <c r="Z188" s="14"/>
    </row>
    <row r="189" spans="2:26" s="15" customFormat="1" ht="16.149999999999999" customHeight="1" thickBot="1" x14ac:dyDescent="0.3">
      <c r="B189" s="8"/>
      <c r="C189" s="11">
        <f>IF(ISTEXT(D189),MAX($C$10:C188),"")</f>
        <v>79</v>
      </c>
      <c r="D189" s="66" t="s">
        <v>138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 t="s">
        <v>22</v>
      </c>
      <c r="W189" s="14"/>
      <c r="X189" s="14"/>
      <c r="Y189" s="14"/>
      <c r="Z189" s="14"/>
    </row>
    <row r="190" spans="2:26" s="15" customFormat="1" ht="16.149999999999999" customHeight="1" thickBot="1" x14ac:dyDescent="0.3">
      <c r="B190" s="8"/>
      <c r="C190" s="11">
        <f>IF(ISTEXT(D190),MAX($C$10:C189),"")</f>
        <v>79</v>
      </c>
      <c r="D190" s="66" t="s">
        <v>1329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 t="s">
        <v>22</v>
      </c>
      <c r="W190" s="14"/>
      <c r="X190" s="14"/>
      <c r="Y190" s="14"/>
      <c r="Z190" s="14"/>
    </row>
    <row r="191" spans="2:26" ht="16.149999999999999" customHeight="1" thickBot="1" x14ac:dyDescent="0.3">
      <c r="B191" s="8"/>
      <c r="C191" s="11">
        <f>IF(ISTEXT(D191),MAX($C$10:C190),"")</f>
        <v>79</v>
      </c>
      <c r="D191" s="118" t="s">
        <v>1330</v>
      </c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0" t="s">
        <v>22</v>
      </c>
      <c r="W191" s="14"/>
      <c r="X191" s="14"/>
      <c r="Y191" s="14"/>
      <c r="Z191" s="14"/>
    </row>
    <row r="192" spans="2:26" s="15" customFormat="1" ht="16.149999999999999" customHeight="1" thickBot="1" x14ac:dyDescent="0.3">
      <c r="B192" s="8"/>
      <c r="C192" s="11">
        <f>IF(ISTEXT(D192),MAX($C$10:C191),"")</f>
        <v>79</v>
      </c>
      <c r="D192" s="66" t="s">
        <v>146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 t="s">
        <v>129</v>
      </c>
      <c r="W192" s="14"/>
      <c r="X192" s="14"/>
      <c r="Y192" s="14"/>
      <c r="Z192" s="14"/>
    </row>
    <row r="193" spans="2:26" s="15" customFormat="1" ht="16.149999999999999" customHeight="1" thickBot="1" x14ac:dyDescent="0.3">
      <c r="B193" s="8"/>
      <c r="C193" s="11">
        <f>IF(ISTEXT(D193),MAX($C$10:C192),"")</f>
        <v>79</v>
      </c>
      <c r="D193" s="66" t="s">
        <v>147</v>
      </c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 t="s">
        <v>129</v>
      </c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/>
      <c r="W194" s="14"/>
      <c r="X194" s="14"/>
      <c r="Y194" s="14"/>
      <c r="Z194" s="14"/>
    </row>
    <row r="195" spans="2:26" s="15" customFormat="1" ht="15.95" customHeight="1" thickBot="1" x14ac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/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/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/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/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/>
      <c r="W199" s="14"/>
      <c r="X199" s="14"/>
      <c r="Y199" s="14"/>
      <c r="Z199" s="14"/>
    </row>
    <row r="200" spans="2:26" s="15" customFormat="1" ht="16.149999999999999" customHeight="1" thickBot="1" x14ac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/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/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/>
      <c r="W203" s="14"/>
      <c r="X203" s="14"/>
      <c r="Y203" s="14"/>
      <c r="Z203" s="14"/>
    </row>
    <row r="204" spans="2:26" s="15" customFormat="1" ht="16.149999999999999" customHeight="1" thickBot="1" x14ac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/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 t="str">
        <f>_xlfn.XLOOKUP(D206,Common_Defect_List!A:A,Common_Defect_List!B:B,"")</f>
        <v/>
      </c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>
        <f>IF(ISTEXT(D207),MAX($C$10:C206)+1,"")</f>
        <v>80</v>
      </c>
      <c r="D207" s="66" t="s">
        <v>1268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 t="str">
        <f>_xlfn.XLOOKUP(D207,Common_Defect_List!A:A,Common_Defect_List!B:B,"")</f>
        <v>MECH</v>
      </c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>
        <f>IF(ISTEXT(D208),MAX($C$10:C207)+1,"")</f>
        <v>81</v>
      </c>
      <c r="D208" s="66" t="s">
        <v>1364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 t="s">
        <v>72</v>
      </c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>
        <f>IF(ISTEXT(D209),MAX($C$10:C208)+1,"")</f>
        <v>82</v>
      </c>
      <c r="D209" s="66" t="s">
        <v>151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 t="str">
        <f>_xlfn.XLOOKUP(D209,Common_Defect_List!A:A,Common_Defect_List!B:B,"")</f>
        <v>MECH</v>
      </c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>
        <f>IF(ISTEXT(D210),MAX($C$10:C209)+1,"")</f>
        <v>83</v>
      </c>
      <c r="D210" s="66" t="s">
        <v>152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 t="s">
        <v>72</v>
      </c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>
        <f>IF(ISTEXT(D211),MAX($C$10:C210)+1,"")</f>
        <v>84</v>
      </c>
      <c r="D211" s="66" t="s">
        <v>1360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 t="s">
        <v>74</v>
      </c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>
        <f>IF(ISTEXT(D212),MAX($C$10:C211)+1,"")</f>
        <v>85</v>
      </c>
      <c r="D212" s="66" t="s">
        <v>1377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 t="s">
        <v>76</v>
      </c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>
        <f>IF(ISTEXT(D213),MAX($C$10:C212)+1,"")</f>
        <v>86</v>
      </c>
      <c r="D213" s="66" t="s">
        <v>1361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 t="s">
        <v>72</v>
      </c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>
        <f>IF(ISTEXT(D214),MAX($C$10:C213)+1,"")</f>
        <v>87</v>
      </c>
      <c r="D214" s="66" t="s">
        <v>1362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 t="s">
        <v>72</v>
      </c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>
        <f>IF(ISTEXT(D215),MAX($C$10:C214)+1,"")</f>
        <v>88</v>
      </c>
      <c r="D215" s="66" t="s">
        <v>157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 t="str">
        <f>_xlfn.XLOOKUP(D215,Common_Defect_List!A:A,Common_Defect_List!B:B,"")</f>
        <v>ELEC</v>
      </c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89</v>
      </c>
      <c r="D216" s="66" t="s">
        <v>1273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 t="str">
        <f>_xlfn.XLOOKUP(D216,Common_Defect_List!A:A,Common_Defect_List!B:B,"")</f>
        <v>MECH</v>
      </c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90</v>
      </c>
      <c r="D217" s="66" t="s">
        <v>1363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 t="s">
        <v>72</v>
      </c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91</v>
      </c>
      <c r="D218" s="66" t="s">
        <v>1367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 t="s">
        <v>72</v>
      </c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92</v>
      </c>
      <c r="D219" s="66" t="s">
        <v>1376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 t="s">
        <v>72</v>
      </c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93</v>
      </c>
      <c r="D220" s="66" t="s">
        <v>622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 t="s">
        <v>22</v>
      </c>
      <c r="W220" s="14"/>
      <c r="X220" s="14"/>
      <c r="Y220" s="14"/>
      <c r="Z220" s="14"/>
    </row>
    <row r="221" spans="2:26" ht="15" customHeight="1" x14ac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</row>
    <row r="222" spans="2:26" x14ac:dyDescent="0.25">
      <c r="B222" s="20"/>
      <c r="C222" s="21"/>
      <c r="O222" s="22"/>
      <c r="P222" s="22"/>
      <c r="Q222" s="23"/>
      <c r="R222" s="23"/>
      <c r="S222" s="22"/>
      <c r="T222" s="22"/>
    </row>
    <row r="223" spans="2:26" ht="15.75" thickBot="1" x14ac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</row>
    <row r="224" spans="2:26" ht="15" customHeight="1" x14ac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</row>
    <row r="225" spans="2:26" ht="18" customHeight="1" thickBot="1" x14ac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/>
      <c r="W225" s="63"/>
      <c r="X225" s="62"/>
      <c r="Y225" s="62"/>
    </row>
    <row r="226" spans="2:26" ht="18" customHeight="1" thickBot="1" x14ac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/>
      <c r="W226" s="1"/>
      <c r="X226" s="4"/>
      <c r="Y226" s="4"/>
    </row>
    <row r="227" spans="2:26" ht="18" customHeight="1" thickBot="1" x14ac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/>
      <c r="W227" s="1"/>
      <c r="X227" s="4"/>
      <c r="Y227" s="4"/>
    </row>
    <row r="228" spans="2:26" ht="15" customHeight="1" x14ac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2" t="s">
        <v>159</v>
      </c>
      <c r="X228" s="79"/>
      <c r="Y228" s="79"/>
      <c r="Z228" s="79"/>
    </row>
    <row r="229" spans="2:26" ht="15" customHeight="1" thickBot="1" x14ac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</row>
    <row r="230" spans="2:26" ht="10.5" customHeight="1" thickBot="1" x14ac:dyDescent="0.3"/>
    <row r="231" spans="2:26" ht="15" customHeight="1" thickBot="1" x14ac:dyDescent="0.3">
      <c r="J231" s="79" t="s">
        <v>2</v>
      </c>
      <c r="K231" s="79"/>
      <c r="L231" s="79"/>
      <c r="M231" s="80" t="str">
        <f>M4</f>
        <v>C1015</v>
      </c>
      <c r="N231" s="80"/>
      <c r="O231" s="80"/>
      <c r="P231" s="80"/>
    </row>
    <row r="232" spans="2:26" s="15" customFormat="1" ht="15" customHeight="1" thickBot="1" x14ac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/>
    </row>
    <row r="233" spans="2:26" s="15" customFormat="1" ht="8.25" customHeight="1" thickBot="1" x14ac:dyDescent="0.3">
      <c r="M233" s="38"/>
      <c r="N233" s="38"/>
      <c r="O233" s="38"/>
      <c r="P233" s="38"/>
    </row>
    <row r="234" spans="2:26" s="15" customFormat="1" ht="15" customHeight="1" thickBot="1" x14ac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/>
      <c r="W234" s="60"/>
      <c r="X234" s="23"/>
    </row>
    <row r="235" spans="2:26" s="15" customFormat="1" ht="10.5" customHeight="1" thickBot="1" x14ac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2:26" s="15" customFormat="1" ht="21" customHeight="1" thickBot="1" x14ac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 t="s">
        <v>8</v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x14ac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/>
      <c r="W237" s="14"/>
      <c r="X237" s="14"/>
      <c r="Y237" s="14"/>
      <c r="Z237" s="14"/>
    </row>
    <row r="238" spans="2:26" s="15" customFormat="1" ht="16.149999999999999" customHeight="1" thickBot="1" x14ac:dyDescent="0.3">
      <c r="B238" s="8"/>
      <c r="C238" s="11">
        <f>IF(ISTEXT(D238),MAX($C$10:C237)+1,"")</f>
        <v>94</v>
      </c>
      <c r="D238" s="66" t="s">
        <v>1365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 t="s">
        <v>22</v>
      </c>
      <c r="W238" s="14"/>
      <c r="X238" s="14"/>
      <c r="Y238" s="14"/>
      <c r="Z238" s="14"/>
    </row>
    <row r="239" spans="2:26" s="15" customFormat="1" ht="16.149999999999999" customHeight="1" thickBot="1" x14ac:dyDescent="0.3">
      <c r="B239" s="8"/>
      <c r="C239" s="11">
        <f>IF(ISTEXT(D239),MAX($C$10:C238)+1,"")</f>
        <v>95</v>
      </c>
      <c r="D239" s="66" t="s">
        <v>1366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 t="s">
        <v>22</v>
      </c>
      <c r="W239" s="14"/>
      <c r="X239" s="14"/>
      <c r="Y239" s="14"/>
      <c r="Z239" s="14"/>
    </row>
    <row r="240" spans="2:26" s="15" customFormat="1" ht="16.149999999999999" customHeight="1" thickBot="1" x14ac:dyDescent="0.3">
      <c r="B240" s="8"/>
      <c r="C240" s="11">
        <f>IF(ISTEXT(D240),MAX($C$10:C239)+1,"")</f>
        <v>96</v>
      </c>
      <c r="D240" s="66" t="s">
        <v>1360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 t="s">
        <v>74</v>
      </c>
      <c r="W240" s="14"/>
      <c r="X240" s="14"/>
      <c r="Y240" s="14"/>
      <c r="Z240" s="14"/>
    </row>
    <row r="241" spans="2:26" s="15" customFormat="1" ht="16.149999999999999" customHeight="1" thickBot="1" x14ac:dyDescent="0.3">
      <c r="B241" s="8"/>
      <c r="C241" s="11">
        <f>IF(ISTEXT(D241),MAX($C$10:C240)+1,"")</f>
        <v>97</v>
      </c>
      <c r="D241" s="66" t="s">
        <v>151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 t="str">
        <f>_xlfn.XLOOKUP(D241,Common_Defect_List!A:A,Common_Defect_List!B:B,"")</f>
        <v>MECH</v>
      </c>
      <c r="W241" s="14"/>
      <c r="X241" s="14"/>
      <c r="Y241" s="14"/>
      <c r="Z241" s="14"/>
    </row>
    <row r="242" spans="2:26" s="15" customFormat="1" ht="16.149999999999999" customHeight="1" thickBot="1" x14ac:dyDescent="0.3">
      <c r="B242" s="8"/>
      <c r="C242" s="11">
        <f>IF(ISTEXT(D242),MAX($C$10:C241)+1,"")</f>
        <v>98</v>
      </c>
      <c r="D242" s="66" t="s">
        <v>152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 t="s">
        <v>72</v>
      </c>
      <c r="W242" s="14"/>
      <c r="X242" s="14"/>
      <c r="Y242" s="14"/>
      <c r="Z242" s="14"/>
    </row>
    <row r="243" spans="2:26" s="15" customFormat="1" ht="16.149999999999999" customHeight="1" thickBot="1" x14ac:dyDescent="0.3">
      <c r="B243" s="8"/>
      <c r="C243" s="11">
        <f>IF(ISTEXT(D243),MAX($C$10:C242)+1,"")</f>
        <v>99</v>
      </c>
      <c r="D243" s="66" t="s">
        <v>1367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 t="s">
        <v>72</v>
      </c>
      <c r="W243" s="14"/>
      <c r="X243" s="14"/>
      <c r="Y243" s="14"/>
      <c r="Z243" s="14"/>
    </row>
    <row r="244" spans="2:26" s="15" customFormat="1" ht="16.149999999999999" customHeight="1" thickBot="1" x14ac:dyDescent="0.3">
      <c r="B244" s="8"/>
      <c r="C244" s="11">
        <f>IF(ISTEXT(D244),MAX($C$10:C243)+1,"")</f>
        <v>100</v>
      </c>
      <c r="D244" s="66" t="s">
        <v>157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 t="str">
        <f>_xlfn.XLOOKUP(D244,Common_Defect_List!A:A,Common_Defect_List!B:B,"")</f>
        <v>ELEC</v>
      </c>
      <c r="W244" s="14"/>
      <c r="X244" s="14"/>
      <c r="Y244" s="14"/>
      <c r="Z244" s="14"/>
    </row>
    <row r="245" spans="2:26" ht="16.149999999999999" customHeight="1" thickBot="1" x14ac:dyDescent="0.3">
      <c r="B245" s="8"/>
      <c r="C245" s="11">
        <f>IF(ISTEXT(D245),MAX($C$10:C244)+1,"")</f>
        <v>101</v>
      </c>
      <c r="D245" s="66" t="s">
        <v>1369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 t="s">
        <v>72</v>
      </c>
      <c r="W245" s="14"/>
      <c r="X245" s="14"/>
      <c r="Y245" s="14"/>
      <c r="Z245" s="14"/>
    </row>
    <row r="246" spans="2:26" s="15" customFormat="1" ht="16.149999999999999" customHeight="1" thickBot="1" x14ac:dyDescent="0.3">
      <c r="B246" s="8"/>
      <c r="C246" s="11">
        <f>IF(ISTEXT(D246),MAX($C$10:C245)+1,"")</f>
        <v>102</v>
      </c>
      <c r="D246" s="66" t="s">
        <v>1370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 t="s">
        <v>72</v>
      </c>
      <c r="W246" s="14"/>
      <c r="X246" s="14"/>
      <c r="Y246" s="14"/>
      <c r="Z246" s="14"/>
    </row>
    <row r="247" spans="2:26" s="15" customFormat="1" ht="16.149999999999999" customHeight="1" thickBot="1" x14ac:dyDescent="0.3">
      <c r="B247" s="13"/>
      <c r="C247" s="11">
        <f>IF(ISTEXT(D247),MAX($C$10:C246)+1,"")</f>
        <v>103</v>
      </c>
      <c r="D247" s="66" t="s">
        <v>1371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 t="s">
        <v>22</v>
      </c>
      <c r="W247" s="14"/>
      <c r="X247" s="14"/>
      <c r="Y247" s="14"/>
      <c r="Z247" s="14"/>
    </row>
    <row r="248" spans="2:26" s="15" customFormat="1" ht="16.149999999999999" customHeight="1" thickBot="1" x14ac:dyDescent="0.3">
      <c r="B248" s="13"/>
      <c r="C248" s="11">
        <f>IF(ISTEXT(D248),MAX($C$10:C247)+1,"")</f>
        <v>104</v>
      </c>
      <c r="D248" s="66" t="s">
        <v>1372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 t="s">
        <v>72</v>
      </c>
      <c r="W248" s="14"/>
      <c r="X248" s="14"/>
      <c r="Y248" s="14"/>
      <c r="Z248" s="14"/>
    </row>
    <row r="249" spans="2:26" s="15" customFormat="1" ht="15.95" customHeight="1" thickBot="1" x14ac:dyDescent="0.3">
      <c r="B249" s="13"/>
      <c r="C249" s="11">
        <f>IF(ISTEXT(D249),MAX($C$10:C248)+1,"")</f>
        <v>105</v>
      </c>
      <c r="D249" s="66" t="s">
        <v>1373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 t="s">
        <v>72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13"/>
      <c r="C250" s="11">
        <f>IF(ISTEXT(D250),MAX($C$10:C249)+1,"")</f>
        <v>106</v>
      </c>
      <c r="D250" s="66" t="s">
        <v>1374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">
        <v>72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11" t="str">
        <f>IF(ISTEXT(D251),MAX($C$10:C250)+1,"")</f>
        <v/>
      </c>
      <c r="D251" s="66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/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 t="str">
        <f>IF(ISTEXT(D252),MAX($C$10:C251)+1,"")</f>
        <v/>
      </c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/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 t="str">
        <f>IF(ISTEXT(D253),MAX($C$10:C252)+1,"")</f>
        <v/>
      </c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/>
      <c r="W253" s="14"/>
      <c r="X253" s="14"/>
      <c r="Y253" s="14"/>
      <c r="Z253" s="14"/>
    </row>
    <row r="254" spans="2:26" s="15" customFormat="1" ht="16.149999999999999" customHeight="1" thickBot="1" x14ac:dyDescent="0.3">
      <c r="B254" s="8"/>
      <c r="C254" s="44" t="str">
        <f>IF(ISTEXT(D254),MAX($C$10:C253)+1,"")</f>
        <v/>
      </c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/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/>
      <c r="D255" s="73" t="s">
        <v>168</v>
      </c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5"/>
      <c r="V255" s="10"/>
      <c r="W255" s="14"/>
      <c r="X255" s="14"/>
      <c r="Y255" s="14"/>
      <c r="Z255" s="14"/>
    </row>
    <row r="256" spans="2:26" s="15" customFormat="1" ht="16.149999999999999" customHeight="1" thickBot="1" x14ac:dyDescent="0.3">
      <c r="B256" s="8"/>
      <c r="C256" s="11">
        <f>IF(ISTEXT(D256),MAX($C$10:C255)+1,"")</f>
        <v>107</v>
      </c>
      <c r="D256" s="70" t="s">
        <v>169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 t="s">
        <v>129</v>
      </c>
      <c r="W256" s="14"/>
      <c r="X256" s="14"/>
      <c r="Y256" s="14"/>
      <c r="Z256" s="14"/>
    </row>
    <row r="257" spans="2:26" s="15" customFormat="1" ht="16.149999999999999" customHeight="1" thickBot="1" x14ac:dyDescent="0.3">
      <c r="B257" s="8"/>
      <c r="C257" s="11">
        <f>IF(ISTEXT(D257),MAX($C$10:C256)+1,"")</f>
        <v>108</v>
      </c>
      <c r="D257" s="70" t="s">
        <v>1331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 t="s">
        <v>129</v>
      </c>
      <c r="W257" s="14"/>
      <c r="X257" s="14"/>
      <c r="Y257" s="14"/>
      <c r="Z257" s="14"/>
    </row>
    <row r="258" spans="2:26" s="15" customFormat="1" ht="16.149999999999999" customHeight="1" thickBot="1" x14ac:dyDescent="0.3">
      <c r="B258" s="8"/>
      <c r="C258" s="11">
        <f>IF(ISTEXT(D258),MAX($C$10:C257)+1,"")</f>
        <v>109</v>
      </c>
      <c r="D258" s="70" t="s">
        <v>1359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 t="s">
        <v>129</v>
      </c>
      <c r="W258" s="14"/>
      <c r="X258" s="14"/>
      <c r="Y258" s="14"/>
      <c r="Z258" s="14"/>
    </row>
    <row r="259" spans="2:26" s="15" customFormat="1" ht="16.149999999999999" customHeight="1" thickBot="1" x14ac:dyDescent="0.3">
      <c r="B259" s="8"/>
      <c r="C259" s="11">
        <f>IF(ISTEXT(D259),MAX($C$10:C258)+1,"")</f>
        <v>110</v>
      </c>
      <c r="D259" s="70" t="s">
        <v>1357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 t="s">
        <v>72</v>
      </c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11">
        <f>IF(ISTEXT(D260),MAX($C$10:C259)+1,"")</f>
        <v>111</v>
      </c>
      <c r="D260" s="70" t="s">
        <v>1316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 t="str">
        <f>_xlfn.XLOOKUP(D260,Common_Defect_List!A:A,Common_Defect_List!B:B,"")</f>
        <v>DECK</v>
      </c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11">
        <f>IF(ISTEXT(D261),MAX($C$10:C260)+1,"")</f>
        <v>112</v>
      </c>
      <c r="D261" s="70" t="s">
        <v>1303</v>
      </c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 t="str">
        <f>_xlfn.XLOOKUP(D261,Common_Defect_List!A:A,Common_Defect_List!B:B,"")</f>
        <v>DECK</v>
      </c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11">
        <f>IF(ISTEXT(D262),MAX($C$10:C261)+1,"")</f>
        <v>113</v>
      </c>
      <c r="D262" s="70" t="s">
        <v>1375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 t="s">
        <v>72</v>
      </c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>
        <f>IF(ISTEXT(D263),MAX($C$10:C262)+1,"")</f>
        <v>114</v>
      </c>
      <c r="D263" s="70" t="s">
        <v>176</v>
      </c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 t="s">
        <v>22</v>
      </c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11">
        <f>IF(ISTEXT(D264),MAX($C$10:C263)+1,"")</f>
        <v>115</v>
      </c>
      <c r="D264" s="70" t="s">
        <v>177</v>
      </c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 t="s">
        <v>22</v>
      </c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>
        <f>IF(ISTEXT(D265),MAX($C$10:C264)+1,"")</f>
        <v>116</v>
      </c>
      <c r="D265" s="70" t="s">
        <v>1332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 t="s">
        <v>76</v>
      </c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/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/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/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/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/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117</v>
      </c>
      <c r="D271" s="118" t="s">
        <v>1337</v>
      </c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0" t="s">
        <v>74</v>
      </c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118</v>
      </c>
      <c r="D272" s="66" t="s">
        <v>1338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 t="s">
        <v>74</v>
      </c>
      <c r="W272" s="14"/>
      <c r="X272" s="14"/>
      <c r="Y272" s="14"/>
      <c r="Z272" s="14"/>
    </row>
    <row r="273" spans="2:256" s="15" customFormat="1" ht="16.149999999999999" customHeight="1" thickBot="1" x14ac:dyDescent="0.3">
      <c r="B273" s="8"/>
      <c r="C273" s="11">
        <f>IF(ISTEXT(D273),MAX($C$10:C272)+1,"")</f>
        <v>119</v>
      </c>
      <c r="D273" s="66" t="s">
        <v>1339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 t="s">
        <v>74</v>
      </c>
      <c r="W273" s="14"/>
      <c r="X273" s="14"/>
      <c r="Y273" s="14"/>
      <c r="Z273" s="14"/>
    </row>
    <row r="274" spans="2:256" s="15" customFormat="1" ht="16.149999999999999" customHeight="1" thickBot="1" x14ac:dyDescent="0.3">
      <c r="B274" s="8"/>
      <c r="C274" s="11">
        <f>IF(ISTEXT(D274),MAX($C$10:C273)+1,"")</f>
        <v>120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 t="s">
        <v>28</v>
      </c>
      <c r="W274" s="14"/>
      <c r="X274" s="14"/>
      <c r="Y274" s="14"/>
      <c r="Z274" s="14"/>
    </row>
    <row r="275" spans="2:256" s="15" customFormat="1" ht="16.149999999999999" customHeight="1" thickBot="1" x14ac:dyDescent="0.3">
      <c r="B275" s="8"/>
      <c r="C275" s="11">
        <f>IF(ISTEXT(D275),MAX($C$10:C274)+1,"")</f>
        <v>121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 t="s">
        <v>22</v>
      </c>
      <c r="W275" s="14"/>
      <c r="X275" s="14"/>
      <c r="Y275" s="14"/>
      <c r="Z275" s="14"/>
    </row>
    <row r="276" spans="2:256" s="15" customFormat="1" ht="16.149999999999999" customHeight="1" thickBot="1" x14ac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/>
      <c r="W276" s="14"/>
      <c r="X276" s="14"/>
      <c r="Y276" s="14"/>
      <c r="Z276" s="14"/>
    </row>
    <row r="277" spans="2:256" ht="15" customHeight="1" x14ac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</row>
    <row r="278" spans="2:256" x14ac:dyDescent="0.25">
      <c r="B278" s="20"/>
      <c r="C278" s="21"/>
      <c r="O278" s="22"/>
      <c r="P278" s="22"/>
      <c r="Q278" s="23"/>
      <c r="R278" s="23"/>
      <c r="S278" s="22"/>
      <c r="T278" s="22"/>
    </row>
    <row r="279" spans="2:256" ht="15.75" thickBot="1" x14ac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</row>
    <row r="280" spans="2:256" ht="15" customHeight="1" x14ac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</row>
    <row r="281" spans="2:256" ht="18" customHeight="1" thickBot="1" x14ac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/>
      <c r="W281" s="63"/>
      <c r="X281" s="62"/>
      <c r="Y281" s="62"/>
    </row>
    <row r="282" spans="2:256" ht="20.100000000000001" customHeight="1" x14ac:dyDescent="0.25">
      <c r="B282" s="15"/>
      <c r="C282" s="15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x14ac:dyDescent="0.25">
      <c r="B283" s="15"/>
      <c r="C283" s="15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x14ac:dyDescent="0.25">
      <c r="B284" s="15"/>
      <c r="C284" s="15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x14ac:dyDescent="0.25">
      <c r="B285" s="15"/>
      <c r="C285" s="1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x14ac:dyDescent="0.25">
      <c r="B286" s="15"/>
      <c r="C286" s="15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x14ac:dyDescent="0.25">
      <c r="B287" s="15"/>
      <c r="C287" s="15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x14ac:dyDescent="0.25">
      <c r="B288" s="15"/>
      <c r="C288" s="15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x14ac:dyDescent="0.25">
      <c r="B289" s="15"/>
      <c r="C289" s="15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x14ac:dyDescent="0.25">
      <c r="B290" s="15"/>
      <c r="C290" s="15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x14ac:dyDescent="0.25"/>
    <row r="292" spans="2:256" s="15" customFormat="1" ht="15.95" customHeight="1" x14ac:dyDescent="0.25"/>
    <row r="293" spans="2:256" s="15" customFormat="1" ht="17.100000000000001" customHeight="1" x14ac:dyDescent="0.25"/>
    <row r="294" spans="2:256" s="15" customFormat="1" ht="18.95" customHeight="1" x14ac:dyDescent="0.25"/>
    <row r="295" spans="2:256" s="15" customFormat="1" ht="21" customHeight="1" x14ac:dyDescent="0.25"/>
    <row r="296" spans="2:256" s="15" customFormat="1" ht="16.149999999999999" customHeight="1" x14ac:dyDescent="0.25"/>
    <row r="297" spans="2:256" s="15" customFormat="1" ht="16.149999999999999" customHeight="1" x14ac:dyDescent="0.25"/>
    <row r="298" spans="2:256" s="15" customFormat="1" ht="16.149999999999999" customHeight="1" x14ac:dyDescent="0.25"/>
    <row r="299" spans="2:256" s="15" customFormat="1" ht="16.149999999999999" customHeight="1" x14ac:dyDescent="0.25"/>
    <row r="300" spans="2:256" s="15" customFormat="1" ht="16.149999999999999" customHeight="1" x14ac:dyDescent="0.25"/>
    <row r="301" spans="2:256" s="15" customFormat="1" ht="16.149999999999999" customHeight="1" x14ac:dyDescent="0.25"/>
    <row r="302" spans="2:256" s="15" customFormat="1" ht="16.149999999999999" customHeight="1" x14ac:dyDescent="0.25"/>
    <row r="303" spans="2:256" ht="16.149999999999999" customHeight="1" x14ac:dyDescent="0.25">
      <c r="B303" s="15"/>
      <c r="C303" s="15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x14ac:dyDescent="0.25"/>
    <row r="305" s="15" customFormat="1" ht="16.149999999999999" customHeight="1" x14ac:dyDescent="0.25"/>
    <row r="306" s="15" customFormat="1" ht="16.149999999999999" customHeight="1" x14ac:dyDescent="0.25"/>
    <row r="307" s="15" customFormat="1" ht="16.149999999999999" customHeight="1" x14ac:dyDescent="0.25"/>
    <row r="308" s="15" customFormat="1" ht="16.149999999999999" customHeight="1" x14ac:dyDescent="0.25"/>
    <row r="309" s="15" customFormat="1" ht="16.149999999999999" customHeight="1" x14ac:dyDescent="0.25"/>
    <row r="310" s="15" customFormat="1" ht="16.149999999999999" customHeight="1" x14ac:dyDescent="0.25"/>
    <row r="311" s="15" customFormat="1" ht="16.149999999999999" customHeight="1" x14ac:dyDescent="0.25"/>
    <row r="312" s="15" customFormat="1" ht="16.149999999999999" customHeight="1" x14ac:dyDescent="0.25"/>
    <row r="313" s="15" customFormat="1" ht="16.149999999999999" customHeight="1" x14ac:dyDescent="0.25"/>
    <row r="314" s="15" customFormat="1" ht="16.149999999999999" customHeight="1" x14ac:dyDescent="0.25"/>
    <row r="315" s="15" customFormat="1" ht="16.149999999999999" customHeight="1" x14ac:dyDescent="0.25"/>
    <row r="316" s="15" customFormat="1" ht="16.149999999999999" customHeight="1" x14ac:dyDescent="0.25"/>
    <row r="317" s="15" customFormat="1" ht="16.149999999999999" customHeight="1" x14ac:dyDescent="0.25"/>
    <row r="318" s="15" customFormat="1" ht="16.149999999999999" customHeight="1" x14ac:dyDescent="0.25"/>
    <row r="319" s="15" customFormat="1" ht="16.149999999999999" customHeight="1" x14ac:dyDescent="0.25"/>
    <row r="320" s="15" customFormat="1" ht="16.149999999999999" customHeight="1" x14ac:dyDescent="0.25"/>
    <row r="321" spans="2:256" s="15" customFormat="1" ht="16.149999999999999" customHeight="1" x14ac:dyDescent="0.25"/>
    <row r="322" spans="2:256" s="15" customFormat="1" ht="16.149999999999999" customHeight="1" x14ac:dyDescent="0.25"/>
    <row r="323" spans="2:256" s="15" customFormat="1" ht="16.149999999999999" customHeight="1" x14ac:dyDescent="0.25"/>
    <row r="324" spans="2:256" s="15" customFormat="1" ht="16.149999999999999" customHeight="1" x14ac:dyDescent="0.25"/>
    <row r="325" spans="2:256" s="15" customFormat="1" ht="16.149999999999999" customHeight="1" x14ac:dyDescent="0.25"/>
    <row r="326" spans="2:256" s="15" customFormat="1" ht="16.149999999999999" customHeight="1" x14ac:dyDescent="0.25"/>
    <row r="327" spans="2:256" s="15" customFormat="1" ht="16.149999999999999" customHeight="1" x14ac:dyDescent="0.25"/>
    <row r="328" spans="2:256" s="15" customFormat="1" ht="16.149999999999999" customHeight="1" x14ac:dyDescent="0.25"/>
    <row r="329" spans="2:256" s="15" customFormat="1" ht="16.149999999999999" customHeight="1" x14ac:dyDescent="0.25"/>
    <row r="330" spans="2:256" s="15" customFormat="1" ht="16.149999999999999" customHeight="1" x14ac:dyDescent="0.25"/>
    <row r="331" spans="2:256" s="15" customFormat="1" ht="16.149999999999999" customHeight="1" x14ac:dyDescent="0.25"/>
    <row r="332" spans="2:256" s="15" customFormat="1" ht="16.149999999999999" customHeight="1" x14ac:dyDescent="0.25"/>
    <row r="333" spans="2:256" s="15" customFormat="1" ht="16.149999999999999" customHeight="1" x14ac:dyDescent="0.25"/>
    <row r="334" spans="2:256" ht="15" customHeight="1" x14ac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x14ac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x14ac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x14ac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x14ac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x14ac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x14ac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x14ac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x14ac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</sheetData>
  <sheetProtection algorithmName="SHA-512" hashValue="MzB47skSFq/EwxN2FCWKDNsTE7F8sWRenCxcz8ANunIup8UwmPlGIH7cIkFNihgCvNjYF7Cyy83OGa4qd+BmzA==" saltValue="SGUk69Sml9mq7xibwYqBeQ==" spinCount="100000" sheet="1" formatCells="0" formatColumns="0" formatRows="0" insertColumns="0" insertRows="0" insertHyperlinks="0" deleteColumns="0" deleteRows="0" sort="0" autoFilter="0" pivotTables="0"/>
  <mergeCells count="322"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3:U23"/>
    <mergeCell ref="D29:U29"/>
    <mergeCell ref="D28:U28"/>
    <mergeCell ref="D18:U18"/>
    <mergeCell ref="D19:U19"/>
    <mergeCell ref="D20:U20"/>
    <mergeCell ref="D21:U21"/>
    <mergeCell ref="D22:U22"/>
    <mergeCell ref="D25:U25"/>
    <mergeCell ref="D48:U48"/>
    <mergeCell ref="D30:U30"/>
    <mergeCell ref="D45:U45"/>
    <mergeCell ref="D46:U46"/>
    <mergeCell ref="D47:U47"/>
    <mergeCell ref="D26:U26"/>
    <mergeCell ref="D27:U27"/>
    <mergeCell ref="D51:U51"/>
    <mergeCell ref="D52:U52"/>
    <mergeCell ref="D36:U36"/>
    <mergeCell ref="D37:U37"/>
    <mergeCell ref="D38:U38"/>
    <mergeCell ref="D39:U39"/>
    <mergeCell ref="D31:U31"/>
    <mergeCell ref="D32:U32"/>
    <mergeCell ref="D33:U33"/>
    <mergeCell ref="D34:U34"/>
    <mergeCell ref="D35:U35"/>
    <mergeCell ref="D53:U53"/>
    <mergeCell ref="B54:T54"/>
    <mergeCell ref="B56:J56"/>
    <mergeCell ref="K56:P56"/>
    <mergeCell ref="Q56:R56"/>
    <mergeCell ref="S56:T56"/>
    <mergeCell ref="D49:U49"/>
    <mergeCell ref="D50:U50"/>
    <mergeCell ref="V58:Y58"/>
    <mergeCell ref="E60:V61"/>
    <mergeCell ref="W60:Z60"/>
    <mergeCell ref="J63:L63"/>
    <mergeCell ref="M63:P63"/>
    <mergeCell ref="I64:L64"/>
    <mergeCell ref="M64:P64"/>
    <mergeCell ref="Q64:V64"/>
    <mergeCell ref="O57:P57"/>
    <mergeCell ref="Q57:R57"/>
    <mergeCell ref="S57:T57"/>
    <mergeCell ref="B58:J58"/>
    <mergeCell ref="K58:P58"/>
    <mergeCell ref="Q58:R58"/>
    <mergeCell ref="S58:U58"/>
    <mergeCell ref="D71:U71"/>
    <mergeCell ref="D72:U72"/>
    <mergeCell ref="D73:U73"/>
    <mergeCell ref="D74:U74"/>
    <mergeCell ref="D75:U75"/>
    <mergeCell ref="D76:U76"/>
    <mergeCell ref="C66:L66"/>
    <mergeCell ref="M66:S66"/>
    <mergeCell ref="T66:W66"/>
    <mergeCell ref="B68:U68"/>
    <mergeCell ref="D69:U69"/>
    <mergeCell ref="D70:U70"/>
    <mergeCell ref="D83:U83"/>
    <mergeCell ref="D84:U84"/>
    <mergeCell ref="D85:U85"/>
    <mergeCell ref="D86:U86"/>
    <mergeCell ref="D87:U87"/>
    <mergeCell ref="D88:U88"/>
    <mergeCell ref="D77:U77"/>
    <mergeCell ref="D78:U78"/>
    <mergeCell ref="D79:U79"/>
    <mergeCell ref="D80:U80"/>
    <mergeCell ref="D81:U81"/>
    <mergeCell ref="D82:U82"/>
    <mergeCell ref="D95:U95"/>
    <mergeCell ref="D96:U96"/>
    <mergeCell ref="D97:U97"/>
    <mergeCell ref="D98:U98"/>
    <mergeCell ref="D99:U99"/>
    <mergeCell ref="D100:U100"/>
    <mergeCell ref="D89:U89"/>
    <mergeCell ref="D90:U90"/>
    <mergeCell ref="D91:U91"/>
    <mergeCell ref="D92:U92"/>
    <mergeCell ref="D93:U93"/>
    <mergeCell ref="D94:U94"/>
    <mergeCell ref="B107:T107"/>
    <mergeCell ref="B109:J109"/>
    <mergeCell ref="K109:P109"/>
    <mergeCell ref="Q109:R109"/>
    <mergeCell ref="S109:T109"/>
    <mergeCell ref="O110:P110"/>
    <mergeCell ref="Q110:R110"/>
    <mergeCell ref="S110:T110"/>
    <mergeCell ref="D101:U101"/>
    <mergeCell ref="D102:U102"/>
    <mergeCell ref="D103:U103"/>
    <mergeCell ref="D104:U104"/>
    <mergeCell ref="D105:U105"/>
    <mergeCell ref="D106:U106"/>
    <mergeCell ref="J117:L117"/>
    <mergeCell ref="M117:P117"/>
    <mergeCell ref="I118:L118"/>
    <mergeCell ref="M118:P118"/>
    <mergeCell ref="Q118:V118"/>
    <mergeCell ref="C120:L120"/>
    <mergeCell ref="M120:S120"/>
    <mergeCell ref="T120:W120"/>
    <mergeCell ref="B111:J111"/>
    <mergeCell ref="K111:P111"/>
    <mergeCell ref="Q111:R111"/>
    <mergeCell ref="S111:U111"/>
    <mergeCell ref="V111:Y111"/>
    <mergeCell ref="E114:V115"/>
    <mergeCell ref="W114:Z114"/>
    <mergeCell ref="D129:U129"/>
    <mergeCell ref="D130:U130"/>
    <mergeCell ref="D132:U132"/>
    <mergeCell ref="D133:U133"/>
    <mergeCell ref="D138:U138"/>
    <mergeCell ref="D139:U139"/>
    <mergeCell ref="D128:U128"/>
    <mergeCell ref="D131:U131"/>
    <mergeCell ref="B122:U122"/>
    <mergeCell ref="D123:U123"/>
    <mergeCell ref="D124:U124"/>
    <mergeCell ref="D125:U125"/>
    <mergeCell ref="D126:U126"/>
    <mergeCell ref="D127:U127"/>
    <mergeCell ref="D134:U134"/>
    <mergeCell ref="D135:U135"/>
    <mergeCell ref="D136:U136"/>
    <mergeCell ref="D137:U137"/>
    <mergeCell ref="D146:U146"/>
    <mergeCell ref="D147:U147"/>
    <mergeCell ref="D148:U148"/>
    <mergeCell ref="D149:U149"/>
    <mergeCell ref="D150:U150"/>
    <mergeCell ref="D140:U140"/>
    <mergeCell ref="D141:U141"/>
    <mergeCell ref="D142:U142"/>
    <mergeCell ref="D143:U143"/>
    <mergeCell ref="D144:U144"/>
    <mergeCell ref="D145:U145"/>
    <mergeCell ref="D158:U158"/>
    <mergeCell ref="D159:U159"/>
    <mergeCell ref="D160:U160"/>
    <mergeCell ref="D163:U163"/>
    <mergeCell ref="D152:U152"/>
    <mergeCell ref="D153:U153"/>
    <mergeCell ref="D154:U154"/>
    <mergeCell ref="D155:U155"/>
    <mergeCell ref="D156:U156"/>
    <mergeCell ref="D157:U157"/>
    <mergeCell ref="D161:U161"/>
    <mergeCell ref="D162:U162"/>
    <mergeCell ref="S171:T171"/>
    <mergeCell ref="B172:J172"/>
    <mergeCell ref="K172:P172"/>
    <mergeCell ref="Q172:R172"/>
    <mergeCell ref="S172:U172"/>
    <mergeCell ref="D164:U164"/>
    <mergeCell ref="D165:U165"/>
    <mergeCell ref="D166:U166"/>
    <mergeCell ref="D167:U167"/>
    <mergeCell ref="B168:T168"/>
    <mergeCell ref="B170:J170"/>
    <mergeCell ref="K170:P170"/>
    <mergeCell ref="Q170:R170"/>
    <mergeCell ref="S170:T170"/>
    <mergeCell ref="D210:U210"/>
    <mergeCell ref="D211:U211"/>
    <mergeCell ref="D212:U212"/>
    <mergeCell ref="D213:U213"/>
    <mergeCell ref="D214:U214"/>
    <mergeCell ref="D215:U215"/>
    <mergeCell ref="D193:U193"/>
    <mergeCell ref="D205:U205"/>
    <mergeCell ref="D206:U206"/>
    <mergeCell ref="D207:U207"/>
    <mergeCell ref="D208:U208"/>
    <mergeCell ref="D209:U209"/>
    <mergeCell ref="D194:U194"/>
    <mergeCell ref="D195:U195"/>
    <mergeCell ref="D201:U201"/>
    <mergeCell ref="D202:U202"/>
    <mergeCell ref="D198:U198"/>
    <mergeCell ref="D199:U199"/>
    <mergeCell ref="D200:U200"/>
    <mergeCell ref="D196:U196"/>
    <mergeCell ref="D197:U197"/>
    <mergeCell ref="D203:U203"/>
    <mergeCell ref="D204:U204"/>
    <mergeCell ref="B223:J223"/>
    <mergeCell ref="K223:P223"/>
    <mergeCell ref="Q223:R223"/>
    <mergeCell ref="S223:T223"/>
    <mergeCell ref="Q224:R224"/>
    <mergeCell ref="S224:T224"/>
    <mergeCell ref="D216:U216"/>
    <mergeCell ref="D217:U217"/>
    <mergeCell ref="D218:U218"/>
    <mergeCell ref="D219:U219"/>
    <mergeCell ref="D220:U220"/>
    <mergeCell ref="B221:T22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B225:J225"/>
    <mergeCell ref="K225:P225"/>
    <mergeCell ref="Q225:R225"/>
    <mergeCell ref="S225:U225"/>
    <mergeCell ref="V225:Y225"/>
    <mergeCell ref="E228:V229"/>
    <mergeCell ref="W228:Z228"/>
    <mergeCell ref="D242:U242"/>
    <mergeCell ref="D243:U243"/>
    <mergeCell ref="D244:U244"/>
    <mergeCell ref="D245:U245"/>
    <mergeCell ref="D246:U246"/>
    <mergeCell ref="D247:U247"/>
    <mergeCell ref="B236:U236"/>
    <mergeCell ref="D237:U237"/>
    <mergeCell ref="D238:U238"/>
    <mergeCell ref="D239:U239"/>
    <mergeCell ref="D240:U240"/>
    <mergeCell ref="D241:U241"/>
    <mergeCell ref="D254:U254"/>
    <mergeCell ref="D255:U255"/>
    <mergeCell ref="D256:U256"/>
    <mergeCell ref="D257:U257"/>
    <mergeCell ref="D258:U258"/>
    <mergeCell ref="D259:U259"/>
    <mergeCell ref="D248:U248"/>
    <mergeCell ref="D249:U249"/>
    <mergeCell ref="D250:U250"/>
    <mergeCell ref="D251:U251"/>
    <mergeCell ref="D252:U252"/>
    <mergeCell ref="D253:U253"/>
    <mergeCell ref="D268:U268"/>
    <mergeCell ref="D269:U269"/>
    <mergeCell ref="D270:U270"/>
    <mergeCell ref="D271:U271"/>
    <mergeCell ref="D267:U267"/>
    <mergeCell ref="D260:U260"/>
    <mergeCell ref="D261:U261"/>
    <mergeCell ref="D262:U262"/>
    <mergeCell ref="D263:U263"/>
    <mergeCell ref="D264:U264"/>
    <mergeCell ref="B281:J281"/>
    <mergeCell ref="K281:P281"/>
    <mergeCell ref="Q281:R281"/>
    <mergeCell ref="S281:U281"/>
    <mergeCell ref="V281:Y281"/>
    <mergeCell ref="D40:U40"/>
    <mergeCell ref="D41:U41"/>
    <mergeCell ref="D42:U42"/>
    <mergeCell ref="D43:U43"/>
    <mergeCell ref="D44:U44"/>
    <mergeCell ref="B279:J279"/>
    <mergeCell ref="K279:P279"/>
    <mergeCell ref="Q279:R279"/>
    <mergeCell ref="S279:T279"/>
    <mergeCell ref="Q280:R280"/>
    <mergeCell ref="S280:T280"/>
    <mergeCell ref="D272:U272"/>
    <mergeCell ref="D273:U273"/>
    <mergeCell ref="D274:U274"/>
    <mergeCell ref="D275:U275"/>
    <mergeCell ref="D276:U276"/>
    <mergeCell ref="B277:T277"/>
    <mergeCell ref="D266:U266"/>
    <mergeCell ref="D265:U265"/>
    <mergeCell ref="D151:U151"/>
    <mergeCell ref="D190:U190"/>
    <mergeCell ref="D191:U191"/>
    <mergeCell ref="D192:U192"/>
    <mergeCell ref="D187:U187"/>
    <mergeCell ref="D188:U188"/>
    <mergeCell ref="D189:U189"/>
    <mergeCell ref="D186:U186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O171:P171"/>
    <mergeCell ref="Q171:R171"/>
  </mergeCell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9417122E-F02F-4257-A346-2D383EB8BCDA}">
          <x14:formula1>
            <xm:f>'Breakdown of areas'!$C:$C</xm:f>
          </x14:formula1>
          <xm:sqref>D86:U94</xm:sqref>
        </x14:dataValidation>
        <x14:dataValidation type="list" allowBlank="1" showInputMessage="1" xr:uid="{2216B216-4BB2-4401-8983-8031D6D1913A}">
          <x14:formula1>
            <xm:f>'Breakdown of areas'!$L:$L</xm:f>
          </x14:formula1>
          <xm:sqref>D271:U276</xm:sqref>
        </x14:dataValidation>
        <x14:dataValidation type="list" allowBlank="1" showInputMessage="1" xr:uid="{FCD3C5AD-1920-4A0A-B667-1436422ADA12}">
          <x14:formula1>
            <xm:f>'Breakdown of areas'!$J:$J</xm:f>
          </x14:formula1>
          <xm:sqref>D210:U210 D249:U254 D238:U239 D241:U247 D218:U218</xm:sqref>
        </x14:dataValidation>
        <x14:dataValidation type="list" allowBlank="1" showInputMessage="1" xr:uid="{44F870E0-3C09-4D1F-9703-7C9BF25E3852}">
          <x14:formula1>
            <xm:f>'Breakdown of areas'!$I:$I</xm:f>
          </x14:formula1>
          <xm:sqref>D207:U209 D240:U240 D248:U248 D211:U217 D219:U220</xm:sqref>
        </x14:dataValidation>
        <x14:dataValidation type="list" allowBlank="1" showInputMessage="1" xr:uid="{FE1C1092-39A2-43EC-B229-E021E8745662}">
          <x14:formula1>
            <xm:f>'Breakdown of areas'!$E:$E</xm:f>
          </x14:formula1>
          <xm:sqref>D73:U73 D140:U150 D152:U155</xm:sqref>
        </x14:dataValidation>
        <x14:dataValidation type="list" allowBlank="1" showInputMessage="1" xr:uid="{7801A275-5D08-48B7-9B1C-36FDB68094B7}">
          <x14:formula1>
            <xm:f>'Breakdown of areas'!$D:$D</xm:f>
          </x14:formula1>
          <xm:sqref>D96:U106</xm:sqref>
        </x14:dataValidation>
        <x14:dataValidation type="list" allowBlank="1" showInputMessage="1" xr:uid="{74C9B2B8-95E2-44B6-82F1-F80865522764}">
          <x14:formula1>
            <xm:f>'Breakdown of areas'!$B:$B</xm:f>
          </x14:formula1>
          <xm:sqref>D70:U72 D74:U83</xm:sqref>
        </x14:dataValidation>
        <x14:dataValidation type="list" allowBlank="1" showInputMessage="1" xr:uid="{38F2C54B-C301-4D05-9729-3338C9233E97}">
          <x14:formula1>
            <xm:f>'Breakdown of areas'!$A:$A</xm:f>
          </x14:formula1>
          <xm:sqref>D85:U85 D11:U39 D48:U53</xm:sqref>
        </x14:dataValidation>
        <x14:dataValidation type="list" allowBlank="1" showInputMessage="1" xr:uid="{6C2C9EC8-9C2A-407B-A858-7957BA85CA00}">
          <x14:formula1>
            <xm:f>Common_Defect_List!$B$2:$B$5</xm:f>
          </x14:formula1>
          <xm:sqref>V70:V106 V123:V167 V185:V220 V238:V276 V11:V53</xm:sqref>
        </x14:dataValidation>
        <x14:dataValidation type="list" allowBlank="1" showInputMessage="1" xr:uid="{E9D1B3A2-D20F-46E3-A5A9-DC3B449EDC17}">
          <x14:formula1>
            <xm:f>Common_Defect_List!$A:$A</xm:f>
          </x14:formula1>
          <xm:sqref>D32</xm:sqref>
        </x14:dataValidation>
        <x14:dataValidation type="list" allowBlank="1" showInputMessage="1" xr:uid="{F2843081-4650-458C-A0E6-0364B7F6EF82}">
          <x14:formula1>
            <xm:f>'Breakdown of areas'!$G:$G</xm:f>
          </x14:formula1>
          <xm:sqref>D124:U133 D138:U138</xm:sqref>
        </x14:dataValidation>
        <x14:dataValidation type="list" allowBlank="1" showInputMessage="1" xr:uid="{22542573-5ADE-42F0-8B32-DEC482DD2927}">
          <x14:formula1>
            <xm:f>'Breakdown of areas'!$F:$F</xm:f>
          </x14:formula1>
          <xm:sqref>D163:U167 D157:U160</xm:sqref>
        </x14:dataValidation>
        <x14:dataValidation type="list" allowBlank="1" showInputMessage="1" xr:uid="{E239CC0B-FEA0-4712-8BF7-E45035DD56AA}">
          <x14:formula1>
            <xm:f>'Breakdown of areas'!$H:$H</xm:f>
          </x14:formula1>
          <xm:sqref>D185:U193 D196:U200 D205:U205</xm:sqref>
        </x14:dataValidation>
        <x14:dataValidation type="list" allowBlank="1" showInputMessage="1" xr:uid="{CCBC5330-B30E-44D0-ABDB-A57280CEB8E2}">
          <x14:formula1>
            <xm:f>'Breakdown of areas'!$K:$K</xm:f>
          </x14:formula1>
          <xm:sqref>D268:U269 D256:U266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6305-5A2E-467E-A548-5FB91BC06C95}">
  <sheetPr>
    <pageSetUpPr fitToPage="1"/>
  </sheetPr>
  <dimension ref="A1:IV400"/>
  <sheetViews>
    <sheetView view="pageBreakPreview" zoomScaleNormal="100" zoomScaleSheetLayoutView="100" workbookViewId="0">
      <selection activeCell="V154" sqref="V154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3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82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x14ac:dyDescent="0.3">
      <c r="B11" s="8"/>
      <c r="C11" s="11">
        <v>1</v>
      </c>
      <c r="D11" s="101" t="s">
        <v>14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 t="str">
        <f>_xlfn.XLOOKUP(D11,Common_Defect_List!A:A,Common_Defect_List!B:B,"")</f>
        <v>ELEC</v>
      </c>
      <c r="W11" s="10"/>
      <c r="X11" s="10"/>
      <c r="Y11" s="10"/>
      <c r="Z11" s="10"/>
    </row>
    <row r="12" spans="2:29" s="4" customFormat="1" ht="16.350000000000001" customHeight="1" thickBot="1" x14ac:dyDescent="0.3">
      <c r="B12" s="8"/>
      <c r="C12" s="11">
        <f>IF(ISTEXT(D12),MAX($C$10:C11)+1,"")</f>
        <v>2</v>
      </c>
      <c r="D12" s="101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 t="str">
        <f>_xlfn.XLOOKUP(D12,Common_Defect_List!A:A,Common_Defect_List!B:B,"")</f>
        <v>FA</v>
      </c>
      <c r="W12" s="10"/>
      <c r="X12" s="10"/>
      <c r="Y12" s="10"/>
      <c r="Z12" s="10"/>
    </row>
    <row r="13" spans="2:29" s="4" customFormat="1" ht="16.350000000000001" customHeight="1" thickBot="1" x14ac:dyDescent="0.3">
      <c r="B13" s="8"/>
      <c r="C13" s="11">
        <f>IF(ISTEXT(D13),MAX($C$10:C12)+1,"")</f>
        <v>3</v>
      </c>
      <c r="D13" s="101" t="s">
        <v>16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 t="str">
        <f>_xlfn.XLOOKUP(D13,Common_Defect_List!A:A,Common_Defect_List!B:B,"")</f>
        <v>ELEC</v>
      </c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f>IF(ISTEXT(D14),MAX($C$10:C13)+1,"")</f>
        <v>4</v>
      </c>
      <c r="D14" s="101" t="s">
        <v>17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 t="str">
        <f>_xlfn.XLOOKUP(D14,Common_Defect_List!A:A,Common_Defect_List!B:B,"")</f>
        <v>ELEC</v>
      </c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f>IF(ISTEXT(D15),MAX($C$10:C14)+1,"")</f>
        <v>5</v>
      </c>
      <c r="D15" s="101" t="s">
        <v>18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 t="str">
        <f>_xlfn.XLOOKUP(D15,Common_Defect_List!A:A,Common_Defect_List!B:B,"")</f>
        <v>ELEC</v>
      </c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f>IF(ISTEXT(D16),MAX($C$10:C15)+1,"")</f>
        <v>6</v>
      </c>
      <c r="D16" s="101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 t="str">
        <f>_xlfn.XLOOKUP(D16,Common_Defect_List!A:A,Common_Defect_List!B:B,"")</f>
        <v>CARP</v>
      </c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f>IF(ISTEXT(D17),MAX($C$10:C16)+1,"")</f>
        <v>7</v>
      </c>
      <c r="D17" s="101" t="s">
        <v>20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 t="str">
        <f>_xlfn.XLOOKUP(D17,Common_Defect_List!A:A,Common_Defect_List!B:B,"")</f>
        <v>ELEC</v>
      </c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f>IF(ISTEXT(D18),MAX($C$10:C17)+1,"")</f>
        <v>8</v>
      </c>
      <c r="D18" s="101" t="s">
        <v>21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 t="s">
        <v>22</v>
      </c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f>IF(ISTEXT(D19),MAX($C$10:C18)+1,"")</f>
        <v>9</v>
      </c>
      <c r="D19" s="101" t="s">
        <v>23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 t="str">
        <f>_xlfn.XLOOKUP(D19,Common_Defect_List!A:A,Common_Defect_List!B:B,"")</f>
        <v>CARP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f>IF(ISTEXT(D20),MAX($C$10:C19)+1,"")</f>
        <v>10</v>
      </c>
      <c r="D20" s="101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 t="str">
        <f>_xlfn.XLOOKUP(D20,Common_Defect_List!A:A,Common_Defect_List!B:B,"")</f>
        <v>FA</v>
      </c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f>IF(ISTEXT(D21),MAX($C$10:C20)+1,"")</f>
        <v>11</v>
      </c>
      <c r="D21" s="101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 t="str">
        <f>_xlfn.XLOOKUP(D21,Common_Defect_List!A:A,Common_Defect_List!B:B,"")</f>
        <v>CARP</v>
      </c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f>IF(ISTEXT(D22),MAX($C$10:C21)+1,"")</f>
        <v>12</v>
      </c>
      <c r="D22" s="101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 t="str">
        <f>_xlfn.XLOOKUP(D22,Common_Defect_List!A:A,Common_Defect_List!B:B,"")</f>
        <v>CARP</v>
      </c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f>IF(ISTEXT(D23),MAX($C$10:C22)+1,"")</f>
        <v>13</v>
      </c>
      <c r="D23" s="101" t="s">
        <v>27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 t="s">
        <v>28</v>
      </c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f>IF(ISTEXT(D24),MAX($C$10:C23)+1,"")</f>
        <v>14</v>
      </c>
      <c r="D24" s="101" t="s">
        <v>29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 t="str">
        <f>_xlfn.XLOOKUP(D24,Common_Defect_List!A:A,Common_Defect_List!B:B,"")</f>
        <v>ELEC</v>
      </c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f>IF(ISTEXT(D25),MAX($C$10:C24)+1,"")</f>
        <v>15</v>
      </c>
      <c r="D25" s="101" t="s">
        <v>30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 t="s">
        <v>22</v>
      </c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f>IF(ISTEXT(D26),MAX($C$10:C25)+1,"")</f>
        <v>16</v>
      </c>
      <c r="D26" s="101" t="s">
        <v>31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 t="s">
        <v>22</v>
      </c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f>IF(ISTEXT(D27),MAX($C$10:C26)+1,"")</f>
        <v>17</v>
      </c>
      <c r="D27" s="101" t="s">
        <v>32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 t="s">
        <v>22</v>
      </c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f>IF(ISTEXT(D28),MAX($C$10:C27)+1,"")</f>
        <v>18</v>
      </c>
      <c r="D28" s="101" t="s">
        <v>33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 t="s">
        <v>22</v>
      </c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f>IF(ISTEXT(D29),MAX($C$10:C28)+1,"")</f>
        <v>19</v>
      </c>
      <c r="D29" s="101" t="s">
        <v>34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 t="s">
        <v>22</v>
      </c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f>IF(ISTEXT(D30),MAX($C$10:C29)+1,"")</f>
        <v>20</v>
      </c>
      <c r="D30" s="101" t="s">
        <v>35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 t="str">
        <f>_xlfn.XLOOKUP(D30,Common_Defect_List!A:A,Common_Defect_List!B:B,"")</f>
        <v>ELEC</v>
      </c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f>IF(ISTEXT(D31),MAX($C$10:C30)+1,"")</f>
        <v>21</v>
      </c>
      <c r="D31" s="101" t="s">
        <v>36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 t="s">
        <v>28</v>
      </c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f>IF(ISTEXT(D32),MAX($C$10:C31)+1,"")</f>
        <v>22</v>
      </c>
      <c r="D32" s="101" t="s">
        <v>37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 t="s">
        <v>22</v>
      </c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f>IF(ISTEXT(D33),MAX($C$10:C32)+1,"")</f>
        <v>23</v>
      </c>
      <c r="D33" s="101" t="s">
        <v>38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 t="s">
        <v>22</v>
      </c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>
        <f>IF(ISTEXT(D34),MAX($C$10:C33)+1,"")</f>
        <v>24</v>
      </c>
      <c r="D34" s="101" t="s">
        <v>39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 t="s">
        <v>22</v>
      </c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>
        <f>IF(ISTEXT(D35),MAX($C$10:C34)+1,"")</f>
        <v>25</v>
      </c>
      <c r="D35" s="101" t="s">
        <v>40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 t="s">
        <v>22</v>
      </c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>
        <f>IF(ISTEXT(D36),MAX($C$10:C35)+1,"")</f>
        <v>26</v>
      </c>
      <c r="D36" s="101" t="s">
        <v>41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 t="s">
        <v>22</v>
      </c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>
        <f>IF(ISTEXT(D37),MAX($C$10:C36)+1,"")</f>
        <v>27</v>
      </c>
      <c r="D37" s="101" t="s">
        <v>42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 t="s">
        <v>22</v>
      </c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>
        <f>IF(ISTEXT(D38),MAX($C$10:C37)+1,"")</f>
        <v>28</v>
      </c>
      <c r="D38" s="101" t="s">
        <v>43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 t="s">
        <v>22</v>
      </c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>
        <f>IF(ISTEXT(D39),MAX($C$10:C38)+1,"")</f>
        <v>29</v>
      </c>
      <c r="D39" s="101" t="s">
        <v>44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 t="s">
        <v>22</v>
      </c>
      <c r="W39" s="10"/>
      <c r="X39" s="10"/>
      <c r="Y39" s="10"/>
      <c r="Z39" s="10"/>
    </row>
    <row r="40" spans="2:26" s="4" customFormat="1" ht="15" customHeight="1" thickBot="1" x14ac:dyDescent="0.3">
      <c r="B40" s="8"/>
      <c r="C40" s="11">
        <f>IF(ISTEXT(D40),MAX($C$10:C39)+1,"")</f>
        <v>30</v>
      </c>
      <c r="D40" s="101" t="s">
        <v>45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 t="s">
        <v>22</v>
      </c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>
        <f>IF(ISTEXT(D41),MAX($C$10:C40)+1,"")</f>
        <v>31</v>
      </c>
      <c r="D41" s="101" t="s">
        <v>46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 t="s">
        <v>22</v>
      </c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>
        <f>IF(ISTEXT(D42),MAX($C$10:C41)+1,"")</f>
        <v>32</v>
      </c>
      <c r="D42" s="101" t="s">
        <v>47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 t="s">
        <v>22</v>
      </c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>
        <f>IF(ISTEXT(D43),MAX($C$10:C42)+1,"")</f>
        <v>33</v>
      </c>
      <c r="D43" s="101" t="s">
        <v>48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 t="s">
        <v>22</v>
      </c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>
        <f>IF(ISTEXT(D44),MAX($C$10:C43)+1,"")</f>
        <v>34</v>
      </c>
      <c r="D44" s="101" t="s">
        <v>49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 t="s">
        <v>28</v>
      </c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>
        <f>IF(ISTEXT(D45),MAX($C$10:C44)+1,"")</f>
        <v>35</v>
      </c>
      <c r="D45" s="101" t="s">
        <v>50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 t="s">
        <v>28</v>
      </c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>
        <f>IF(ISTEXT(D46),MAX($C$10:C45)+1,"")</f>
        <v>36</v>
      </c>
      <c r="D46" s="101" t="s">
        <v>51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 t="s">
        <v>52</v>
      </c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>
        <f>IF(ISTEXT(D47),MAX($C$10:C46)+1,"")</f>
        <v>37</v>
      </c>
      <c r="D47" s="101" t="s">
        <v>53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 t="s">
        <v>28</v>
      </c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>
        <f>IF(ISTEXT(D48),MAX($C$10:C47)+1,"")</f>
        <v>38</v>
      </c>
      <c r="D48" s="101" t="s">
        <v>54</v>
      </c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 t="s">
        <v>22</v>
      </c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>
        <f>IF(ISTEXT(D49),MAX($C$10:C48)+1,"")</f>
        <v>39</v>
      </c>
      <c r="D49" s="101" t="s">
        <v>55</v>
      </c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 t="s">
        <v>22</v>
      </c>
      <c r="W49" s="10"/>
      <c r="X49" s="10"/>
      <c r="Y49" s="10"/>
      <c r="Z49" s="10"/>
    </row>
    <row r="50" spans="2:26" s="4" customFormat="1" ht="16.350000000000001" customHeight="1" thickBot="1" x14ac:dyDescent="0.3">
      <c r="B50" s="8"/>
      <c r="C50" s="11">
        <f>IF(ISTEXT(D50),MAX($C$10:C49)+1,"")</f>
        <v>40</v>
      </c>
      <c r="D50" s="101" t="s">
        <v>56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 t="s">
        <v>22</v>
      </c>
      <c r="W50" s="10"/>
      <c r="X50" s="10"/>
      <c r="Y50" s="10"/>
      <c r="Z50" s="10"/>
    </row>
    <row r="51" spans="2:26" s="4" customFormat="1" ht="16.350000000000001" customHeight="1" thickBot="1" x14ac:dyDescent="0.3">
      <c r="B51" s="8"/>
      <c r="C51" s="11">
        <f>IF(ISTEXT(D51),MAX($C$10:C50)+1,"")</f>
        <v>41</v>
      </c>
      <c r="D51" s="101" t="s">
        <v>57</v>
      </c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 t="s">
        <v>22</v>
      </c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>
        <f>IF(ISTEXT(D52),MAX($C$10:C51)+1,"")</f>
        <v>42</v>
      </c>
      <c r="D52" s="101" t="s">
        <v>58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 t="s">
        <v>52</v>
      </c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>
        <f>IF(ISTEXT(D53),MAX($C$10:C52)+1,"")</f>
        <v>43</v>
      </c>
      <c r="D53" s="101" t="s">
        <v>59</v>
      </c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 t="s">
        <v>22</v>
      </c>
      <c r="W53" s="10"/>
      <c r="X53" s="10"/>
      <c r="Y53" s="10"/>
      <c r="Z53" s="10"/>
    </row>
    <row r="54" spans="2:26" s="4" customFormat="1" ht="16.350000000000001" customHeight="1" thickBot="1" x14ac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/>
      <c r="W54" s="10"/>
      <c r="X54" s="10"/>
      <c r="Y54" s="10"/>
      <c r="Z54" s="10"/>
    </row>
    <row r="55" spans="2:26" s="4" customFormat="1" ht="16.350000000000001" customHeight="1" thickBot="1" x14ac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/>
      <c r="W55" s="10"/>
      <c r="X55" s="10"/>
      <c r="Y55" s="10"/>
      <c r="Z55" s="10"/>
    </row>
    <row r="56" spans="2:26" s="4" customFormat="1" ht="16.350000000000001" customHeight="1" thickBot="1" x14ac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/>
      <c r="W56" s="18"/>
      <c r="X56" s="10"/>
      <c r="Y56" s="10"/>
      <c r="Z56" s="10"/>
    </row>
    <row r="57" spans="2:26" s="4" customFormat="1" ht="16.350000000000001" customHeight="1" thickBot="1" x14ac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/>
      <c r="W57" s="18"/>
      <c r="X57" s="10"/>
      <c r="Y57" s="10"/>
      <c r="Z57" s="10"/>
    </row>
    <row r="58" spans="2:26" s="15" customFormat="1" ht="15" customHeight="1" thickBot="1" x14ac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/>
      <c r="W58" s="14"/>
      <c r="X58" s="14"/>
      <c r="Y58" s="14"/>
      <c r="Z58" s="14"/>
    </row>
    <row r="59" spans="2:26" s="4" customFormat="1" ht="15.95" customHeight="1" thickBot="1" x14ac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/>
      <c r="W59" s="10"/>
      <c r="X59" s="10"/>
      <c r="Y59" s="10"/>
      <c r="Z59" s="10"/>
    </row>
    <row r="60" spans="2:26" s="4" customFormat="1" ht="15.95" customHeight="1" thickBot="1" x14ac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/>
      <c r="W60" s="10"/>
      <c r="X60" s="10"/>
      <c r="Y60" s="10"/>
      <c r="Z60" s="10"/>
    </row>
    <row r="61" spans="2:26" s="4" customFormat="1" ht="16.350000000000001" customHeight="1" thickBot="1" x14ac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/>
      <c r="W61" s="10"/>
      <c r="X61" s="10"/>
      <c r="Y61" s="10"/>
      <c r="Z61" s="10"/>
    </row>
    <row r="62" spans="2:26" s="4" customFormat="1" ht="16.350000000000001" customHeight="1" thickBot="1" x14ac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/>
      <c r="W62" s="10"/>
      <c r="X62" s="10"/>
      <c r="Y62" s="10"/>
      <c r="Z62" s="10"/>
    </row>
    <row r="63" spans="2:26" s="1" customFormat="1" ht="15" customHeight="1" x14ac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</row>
    <row r="64" spans="2:26" x14ac:dyDescent="0.25">
      <c r="B64" s="20"/>
      <c r="C64" s="21"/>
      <c r="O64" s="22"/>
      <c r="P64" s="22"/>
      <c r="Q64" s="23"/>
      <c r="R64" s="23"/>
      <c r="S64" s="22"/>
      <c r="T64" s="22"/>
    </row>
    <row r="65" spans="2:26" s="1" customFormat="1" ht="13.5" thickBot="1" x14ac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</row>
    <row r="66" spans="2:26" ht="15" customHeight="1" x14ac:dyDescent="0.25">
      <c r="C66" s="29"/>
      <c r="I66" s="30"/>
      <c r="O66" s="65"/>
      <c r="P66" s="65"/>
      <c r="Q66" s="60"/>
      <c r="R66" s="60"/>
      <c r="S66" s="65"/>
      <c r="T66" s="65"/>
    </row>
    <row r="67" spans="2:26" ht="18" customHeight="1" thickBot="1" x14ac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/>
      <c r="W67" s="62"/>
      <c r="X67" s="62"/>
      <c r="Y67" s="62"/>
    </row>
    <row r="68" spans="2:26" ht="15" customHeight="1" thickBot="1" x14ac:dyDescent="0.3"/>
    <row r="69" spans="2:26" ht="15" customHeight="1" x14ac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2" t="s">
        <v>65</v>
      </c>
      <c r="X69" s="79"/>
      <c r="Y69" s="79"/>
      <c r="Z69" s="79"/>
    </row>
    <row r="70" spans="2:26" ht="15" customHeight="1" thickBot="1" x14ac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2:26" ht="10.5" customHeight="1" thickBot="1" x14ac:dyDescent="0.3"/>
    <row r="72" spans="2:26" ht="15" customHeight="1" thickBot="1" x14ac:dyDescent="0.3">
      <c r="J72" s="79" t="s">
        <v>2</v>
      </c>
      <c r="K72" s="79"/>
      <c r="L72" s="79"/>
      <c r="M72" s="80" t="str">
        <f>M4</f>
        <v>C1012</v>
      </c>
      <c r="N72" s="80"/>
      <c r="O72" s="80"/>
      <c r="P72" s="80"/>
    </row>
    <row r="73" spans="2:26" s="15" customFormat="1" ht="15" customHeight="1" thickBot="1" x14ac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/>
    </row>
    <row r="74" spans="2:26" s="15" customFormat="1" ht="15.95" customHeight="1" thickBot="1" x14ac:dyDescent="0.3"/>
    <row r="75" spans="2:26" s="15" customFormat="1" ht="15" customHeight="1" thickBot="1" x14ac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/>
      <c r="W75" s="60"/>
      <c r="X75" s="23"/>
    </row>
    <row r="76" spans="2:26" s="15" customFormat="1" ht="15" customHeight="1" thickBot="1" x14ac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s="15" customFormat="1" ht="22.5" customHeight="1" thickBot="1" x14ac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 t="s">
        <v>8</v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x14ac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/>
      <c r="W78" s="14"/>
      <c r="X78" s="14"/>
      <c r="Y78" s="14"/>
      <c r="Z78" s="14"/>
    </row>
    <row r="79" spans="2:26" s="15" customFormat="1" ht="15.6" customHeight="1" thickBot="1" x14ac:dyDescent="0.25">
      <c r="B79" s="8"/>
      <c r="C79" s="11">
        <f>IF(ISTEXT(D79),MAX($C$10:C78)+1,"")</f>
        <v>44</v>
      </c>
      <c r="D79" s="95" t="s">
        <v>69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 t="str">
        <f>_xlfn.XLOOKUP(D79,Common_Defect_List!A:A,Common_Defect_List!B:B,"")</f>
        <v>PLUM</v>
      </c>
      <c r="W79" s="14"/>
      <c r="X79" s="14"/>
      <c r="Y79" s="14"/>
      <c r="Z79" s="14"/>
    </row>
    <row r="80" spans="2:26" s="15" customFormat="1" ht="15.6" customHeight="1" thickBot="1" x14ac:dyDescent="0.25">
      <c r="B80" s="8"/>
      <c r="C80" s="11">
        <f>IF(ISTEXT(D80),MAX($C$10:C79)+1,"")</f>
        <v>45</v>
      </c>
      <c r="D80" s="95" t="s">
        <v>70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 t="s">
        <v>28</v>
      </c>
      <c r="W80" s="14"/>
      <c r="X80" s="14"/>
      <c r="Y80" s="14"/>
      <c r="Z80" s="14"/>
    </row>
    <row r="81" spans="1:26" s="15" customFormat="1" ht="15.6" customHeight="1" thickBot="1" x14ac:dyDescent="0.25">
      <c r="B81" s="8"/>
      <c r="C81" s="11">
        <f>IF(ISTEXT(D81),MAX($C$10:C80)+1,"")</f>
        <v>46</v>
      </c>
      <c r="D81" s="95" t="s">
        <v>71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 t="s">
        <v>72</v>
      </c>
      <c r="W81" s="14"/>
      <c r="X81" s="14"/>
      <c r="Y81" s="14"/>
      <c r="Z81" s="14"/>
    </row>
    <row r="82" spans="1:26" s="15" customFormat="1" ht="16.149999999999999" customHeight="1" thickBot="1" x14ac:dyDescent="0.3">
      <c r="B82" s="8"/>
      <c r="C82" s="11">
        <f>IF(ISTEXT(D82),MAX($C$10:C81)+1,"")</f>
        <v>47</v>
      </c>
      <c r="D82" s="126" t="s">
        <v>73</v>
      </c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8"/>
      <c r="V82" s="10" t="s">
        <v>74</v>
      </c>
      <c r="W82" s="14"/>
      <c r="X82" s="14"/>
      <c r="Y82" s="14"/>
      <c r="Z82" s="14"/>
    </row>
    <row r="83" spans="1:26" s="15" customFormat="1" ht="16.149999999999999" customHeight="1" thickBot="1" x14ac:dyDescent="0.25">
      <c r="B83" s="8"/>
      <c r="C83" s="11">
        <f>IF(ISTEXT(D83),MAX($C$10:C82)+1,"")</f>
        <v>48</v>
      </c>
      <c r="D83" s="95" t="s">
        <v>75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 t="s">
        <v>76</v>
      </c>
      <c r="W83" s="14"/>
      <c r="X83" s="14"/>
      <c r="Y83" s="14"/>
      <c r="Z83" s="14"/>
    </row>
    <row r="84" spans="1:26" s="15" customFormat="1" ht="16.149999999999999" customHeight="1" thickBot="1" x14ac:dyDescent="0.25">
      <c r="B84" s="8"/>
      <c r="C84" s="11">
        <f>IF(ISTEXT(D84),MAX($C$10:C83)+1,"")</f>
        <v>49</v>
      </c>
      <c r="D84" s="95" t="s">
        <v>77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0" t="s">
        <v>76</v>
      </c>
      <c r="W84" s="14"/>
      <c r="X84" s="14"/>
      <c r="Y84" s="14"/>
      <c r="Z84" s="14"/>
    </row>
    <row r="85" spans="1:26" s="15" customFormat="1" ht="16.149999999999999" customHeight="1" thickBot="1" x14ac:dyDescent="0.25">
      <c r="B85" s="8"/>
      <c r="C85" s="11">
        <f>IF(ISTEXT(D85),MAX($C$10:C84)+1,"")</f>
        <v>50</v>
      </c>
      <c r="D85" s="95" t="s">
        <v>78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 t="str">
        <f>_xlfn.XLOOKUP(D85,Common_Defect_List!A:A,Common_Defect_List!B:B,"")</f>
        <v>PLUM</v>
      </c>
      <c r="W85" s="14"/>
      <c r="X85" s="14"/>
      <c r="Y85" s="14"/>
      <c r="Z85" s="14"/>
    </row>
    <row r="86" spans="1:26" s="15" customFormat="1" ht="16.149999999999999" customHeight="1" thickBot="1" x14ac:dyDescent="0.25">
      <c r="B86" s="8"/>
      <c r="C86" s="11">
        <f>IF(ISTEXT(D86),MAX($C$10:C85)+1,"")</f>
        <v>51</v>
      </c>
      <c r="D86" s="95" t="s">
        <v>79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 t="str">
        <f>_xlfn.XLOOKUP(D86,Common_Defect_List!A:A,Common_Defect_List!B:B,"")</f>
        <v>PLUM</v>
      </c>
      <c r="W86" s="14"/>
      <c r="X86" s="14"/>
      <c r="Y86" s="14"/>
      <c r="Z86" s="14"/>
    </row>
    <row r="87" spans="1:26" ht="16.149999999999999" customHeight="1" thickBot="1" x14ac:dyDescent="0.3">
      <c r="B87" s="8"/>
      <c r="C87" s="11">
        <f>IF(ISTEXT(D87),MAX($C$10:C86)+1,"")</f>
        <v>52</v>
      </c>
      <c r="D87" s="95" t="s">
        <v>80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 t="str">
        <f>_xlfn.XLOOKUP(D87,Common_Defect_List!A:A,Common_Defect_List!B:B,"")</f>
        <v>PLUM</v>
      </c>
      <c r="W87" s="14"/>
      <c r="X87" s="14"/>
      <c r="Y87" s="14"/>
      <c r="Z87" s="14"/>
    </row>
    <row r="88" spans="1:26" s="15" customFormat="1" ht="16.149999999999999" customHeight="1" thickBot="1" x14ac:dyDescent="0.25">
      <c r="A88" s="36"/>
      <c r="B88" s="37"/>
      <c r="C88" s="11">
        <f>IF(ISTEXT(D88),MAX($C$10:C87)+1,"")</f>
        <v>53</v>
      </c>
      <c r="D88" s="95" t="s">
        <v>81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 t="s">
        <v>76</v>
      </c>
      <c r="W88" s="14"/>
      <c r="X88" s="14"/>
      <c r="Y88" s="14"/>
      <c r="Z88" s="14"/>
    </row>
    <row r="89" spans="1:26" s="15" customFormat="1" ht="16.149999999999999" customHeight="1" thickBot="1" x14ac:dyDescent="0.25">
      <c r="B89" s="8"/>
      <c r="C89" s="11" t="str">
        <f>IF(ISTEXT(D89),MAX($C$10:C88)+1,"")</f>
        <v/>
      </c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/>
      <c r="W89" s="14"/>
      <c r="X89" s="14"/>
      <c r="Y89" s="14"/>
      <c r="Z89" s="14"/>
    </row>
    <row r="90" spans="1:26" s="15" customFormat="1" ht="16.149999999999999" customHeight="1" thickBot="1" x14ac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/>
      <c r="W90" s="14"/>
      <c r="X90" s="14"/>
      <c r="Y90" s="14"/>
      <c r="Z90" s="14"/>
    </row>
    <row r="91" spans="1:26" s="15" customFormat="1" ht="16.149999999999999" customHeight="1" thickBot="1" x14ac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/>
      <c r="W91" s="14"/>
      <c r="X91" s="14"/>
      <c r="Y91" s="14"/>
      <c r="Z91" s="14"/>
    </row>
    <row r="92" spans="1:26" s="15" customFormat="1" ht="16.149999999999999" customHeight="1" thickBot="1" x14ac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/>
      <c r="W92" s="14"/>
      <c r="X92" s="14"/>
      <c r="Y92" s="14"/>
      <c r="Z92" s="14"/>
    </row>
    <row r="93" spans="1:26" s="15" customFormat="1" ht="16.149999999999999" customHeight="1" thickBot="1" x14ac:dyDescent="0.3">
      <c r="B93" s="8"/>
      <c r="C93" s="11"/>
      <c r="D93" s="73" t="s">
        <v>82</v>
      </c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5"/>
      <c r="V93" s="10"/>
      <c r="W93" s="14"/>
      <c r="X93" s="14"/>
      <c r="Y93" s="14"/>
      <c r="Z93" s="14"/>
    </row>
    <row r="94" spans="1:26" s="15" customFormat="1" ht="16.149999999999999" customHeight="1" thickBot="1" x14ac:dyDescent="0.3">
      <c r="B94" s="8"/>
      <c r="C94" s="11">
        <f>IF(ISTEXT(D94),MAX($C$10:C93)+1,"")</f>
        <v>54</v>
      </c>
      <c r="D94" s="126" t="s">
        <v>83</v>
      </c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8"/>
      <c r="V94" s="10" t="s">
        <v>74</v>
      </c>
      <c r="W94" s="14"/>
      <c r="X94" s="14"/>
      <c r="Y94" s="14"/>
      <c r="Z94" s="14"/>
    </row>
    <row r="95" spans="1:26" s="15" customFormat="1" ht="16.149999999999999" customHeight="1" thickBot="1" x14ac:dyDescent="0.3">
      <c r="B95" s="8"/>
      <c r="C95" s="11">
        <f>IF(ISTEXT(D95),MAX($C$10:C94)+1,"")</f>
        <v>55</v>
      </c>
      <c r="D95" s="129" t="s">
        <v>84</v>
      </c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0" t="s">
        <v>74</v>
      </c>
      <c r="W95" s="14"/>
      <c r="X95" s="14"/>
      <c r="Y95" s="14"/>
      <c r="Z95" s="14"/>
    </row>
    <row r="96" spans="1:26" s="15" customFormat="1" ht="16.149999999999999" customHeight="1" thickBot="1" x14ac:dyDescent="0.25">
      <c r="B96" s="8"/>
      <c r="C96" s="11">
        <f>IF(ISTEXT(D96),MAX($C$10:C95)+1,"")</f>
        <v>56</v>
      </c>
      <c r="D96" s="95" t="s">
        <v>85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10" t="s">
        <v>22</v>
      </c>
      <c r="W96" s="14"/>
      <c r="X96" s="14"/>
      <c r="Y96" s="14"/>
      <c r="Z96" s="14"/>
    </row>
    <row r="97" spans="2:26" s="15" customFormat="1" ht="16.149999999999999" customHeight="1" thickBot="1" x14ac:dyDescent="0.25">
      <c r="B97" s="8"/>
      <c r="C97" s="11">
        <f>IF(ISTEXT(D97),MAX($C$10:C96)+1,"")</f>
        <v>57</v>
      </c>
      <c r="D97" s="95" t="s">
        <v>86</v>
      </c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10" t="s">
        <v>76</v>
      </c>
      <c r="W97" s="14"/>
      <c r="X97" s="14"/>
      <c r="Y97" s="14"/>
      <c r="Z97" s="14"/>
    </row>
    <row r="98" spans="2:26" s="15" customFormat="1" ht="16.149999999999999" customHeight="1" thickBot="1" x14ac:dyDescent="0.25">
      <c r="B98" s="8"/>
      <c r="C98" s="11">
        <f>IF(ISTEXT(D98),MAX($C$10:C97)+1,"")</f>
        <v>58</v>
      </c>
      <c r="D98" s="95" t="s">
        <v>87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10" t="s">
        <v>22</v>
      </c>
      <c r="W98" s="14"/>
      <c r="X98" s="14"/>
      <c r="Y98" s="14"/>
      <c r="Z98" s="14"/>
    </row>
    <row r="99" spans="2:26" s="15" customFormat="1" ht="15.95" customHeight="1" thickBot="1" x14ac:dyDescent="0.25">
      <c r="B99" s="8"/>
      <c r="C99" s="11">
        <f>IF(ISTEXT(D99),MAX($C$10:C98)+1,"")</f>
        <v>59</v>
      </c>
      <c r="D99" s="95" t="s">
        <v>88</v>
      </c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10" t="s">
        <v>22</v>
      </c>
      <c r="W99" s="14"/>
      <c r="X99" s="14"/>
      <c r="Y99" s="14"/>
      <c r="Z99" s="14"/>
    </row>
    <row r="100" spans="2:26" s="15" customFormat="1" ht="16.149999999999999" customHeight="1" thickBot="1" x14ac:dyDescent="0.25">
      <c r="B100" s="8"/>
      <c r="C100" s="11">
        <f>IF(ISTEXT(D100),MAX($C$10:C99)+1,"")</f>
        <v>60</v>
      </c>
      <c r="D100" s="95" t="s">
        <v>89</v>
      </c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10" t="s">
        <v>22</v>
      </c>
      <c r="W100" s="14"/>
      <c r="X100" s="14"/>
      <c r="Y100" s="14"/>
      <c r="Z100" s="14"/>
    </row>
    <row r="101" spans="2:26" s="15" customFormat="1" ht="16.149999999999999" customHeight="1" thickBot="1" x14ac:dyDescent="0.25">
      <c r="B101" s="8"/>
      <c r="C101" s="11">
        <f>IF(ISTEXT(D101),MAX($C$10:C100)+1,"")</f>
        <v>61</v>
      </c>
      <c r="D101" s="95" t="s">
        <v>90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10" t="s">
        <v>76</v>
      </c>
      <c r="W101" s="14"/>
      <c r="X101" s="14"/>
      <c r="Y101" s="14"/>
      <c r="Z101" s="14"/>
    </row>
    <row r="102" spans="2:26" s="15" customFormat="1" ht="16.149999999999999" customHeight="1" thickBot="1" x14ac:dyDescent="0.25">
      <c r="B102" s="8"/>
      <c r="C102" s="11">
        <f>IF(ISTEXT(D102),MAX($C$10:C101)+1,"")</f>
        <v>62</v>
      </c>
      <c r="D102" s="95" t="s">
        <v>91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10" t="str">
        <f>_xlfn.XLOOKUP(D102,Common_Defect_List!A:A,Common_Defect_List!B:B,"")</f>
        <v>ELEC</v>
      </c>
      <c r="W102" s="14"/>
      <c r="X102" s="14"/>
      <c r="Y102" s="14"/>
      <c r="Z102" s="14"/>
    </row>
    <row r="103" spans="2:26" s="15" customFormat="1" ht="16.149999999999999" customHeight="1" thickBot="1" x14ac:dyDescent="0.25">
      <c r="B103" s="8"/>
      <c r="C103" s="11">
        <f>IF(ISTEXT(D103),MAX($C$10:C102)+1,"")</f>
        <v>63</v>
      </c>
      <c r="D103" s="95" t="s">
        <v>79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10" t="str">
        <f>_xlfn.XLOOKUP(D103,Common_Defect_List!A:A,Common_Defect_List!B:B,"")</f>
        <v>PLUM</v>
      </c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/>
      <c r="D104" s="73" t="s">
        <v>92</v>
      </c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5"/>
      <c r="V104" s="10" t="str">
        <f>_xlfn.XLOOKUP(D104,Common_Defect_List!A:A,Common_Defect_List!B:B,"")</f>
        <v/>
      </c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>
        <f>IF(ISTEXT(D105),MAX($C$10:C104)+1,"")</f>
        <v>64</v>
      </c>
      <c r="D105" s="70" t="s">
        <v>93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 t="s">
        <v>22</v>
      </c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>
        <f>IF(ISTEXT(D106),MAX($C$10:C105)+1,"")</f>
        <v>65</v>
      </c>
      <c r="D106" s="70" t="s">
        <v>94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 t="s">
        <v>76</v>
      </c>
      <c r="W106" s="14"/>
      <c r="X106" s="14"/>
      <c r="Y106" s="14"/>
      <c r="Z106" s="14"/>
    </row>
    <row r="107" spans="2:26" s="15" customFormat="1" ht="19.149999999999999" customHeight="1" thickBot="1" x14ac:dyDescent="0.3">
      <c r="B107" s="8"/>
      <c r="C107" s="11">
        <f>IF(ISTEXT(D107),MAX($C$10:C106)+1,"")</f>
        <v>66</v>
      </c>
      <c r="D107" s="70" t="s">
        <v>95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 t="s">
        <v>76</v>
      </c>
      <c r="W107" s="14"/>
      <c r="X107" s="14"/>
      <c r="Y107" s="14"/>
      <c r="Z107" s="14"/>
    </row>
    <row r="108" spans="2:26" s="15" customFormat="1" ht="16.149999999999999" customHeight="1" thickBot="1" x14ac:dyDescent="0.3">
      <c r="B108" s="8"/>
      <c r="C108" s="11">
        <f>IF(ISTEXT(D108),MAX($C$10:C107)+1,"")</f>
        <v>67</v>
      </c>
      <c r="D108" s="70" t="s">
        <v>96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 t="s">
        <v>76</v>
      </c>
      <c r="W108" s="14"/>
      <c r="X108" s="14"/>
      <c r="Y108" s="14"/>
      <c r="Z108" s="14"/>
    </row>
    <row r="109" spans="2:26" s="15" customFormat="1" ht="16.149999999999999" customHeight="1" thickBot="1" x14ac:dyDescent="0.3">
      <c r="B109" s="8"/>
      <c r="C109" s="11">
        <f>IF(ISTEXT(D109),MAX($C$10:C108)+1,"")</f>
        <v>68</v>
      </c>
      <c r="D109" s="70" t="s">
        <v>79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 t="s">
        <v>76</v>
      </c>
      <c r="W109" s="14"/>
      <c r="X109" s="14"/>
      <c r="Y109" s="14"/>
      <c r="Z109" s="14"/>
    </row>
    <row r="110" spans="2:26" s="15" customFormat="1" ht="16.149999999999999" customHeight="1" thickBot="1" x14ac:dyDescent="0.3">
      <c r="B110" s="8"/>
      <c r="C110" s="11">
        <f>IF(ISTEXT(D110),MAX($C$10:C109)+1,"")</f>
        <v>69</v>
      </c>
      <c r="D110" s="70" t="s">
        <v>80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2"/>
      <c r="V110" s="10" t="s">
        <v>76</v>
      </c>
      <c r="W110" s="14"/>
      <c r="X110" s="14"/>
      <c r="Y110" s="14"/>
      <c r="Z110" s="14"/>
    </row>
    <row r="111" spans="2:26" s="15" customFormat="1" ht="16.149999999999999" customHeight="1" thickBot="1" x14ac:dyDescent="0.3">
      <c r="B111" s="8"/>
      <c r="C111" s="11">
        <f>IF(ISTEXT(D111),MAX($C$10:C110)+1,"")</f>
        <v>70</v>
      </c>
      <c r="D111" s="70" t="s">
        <v>97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 t="str">
        <f>_xlfn.XLOOKUP(D111,Common_Defect_List!A:A,Common_Defect_List!B:B,"")</f>
        <v>PLUM</v>
      </c>
      <c r="W111" s="14"/>
      <c r="X111" s="14"/>
      <c r="Y111" s="14"/>
      <c r="Z111" s="14"/>
    </row>
    <row r="112" spans="2:26" s="15" customFormat="1" ht="16.149999999999999" customHeight="1" thickBot="1" x14ac:dyDescent="0.3">
      <c r="B112" s="8"/>
      <c r="C112" s="11">
        <f>IF(ISTEXT(D112),MAX($C$10:C111)+1,"")</f>
        <v>71</v>
      </c>
      <c r="D112" s="70" t="s">
        <v>78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2"/>
      <c r="V112" s="10" t="str">
        <f>_xlfn.XLOOKUP(D112,Common_Defect_List!A:A,Common_Defect_List!B:B,"")</f>
        <v>PLUM</v>
      </c>
      <c r="W112" s="14"/>
      <c r="X112" s="14"/>
      <c r="Y112" s="14"/>
      <c r="Z112" s="14"/>
    </row>
    <row r="113" spans="2:26" s="15" customFormat="1" ht="16.149999999999999" customHeight="1" thickBot="1" x14ac:dyDescent="0.3">
      <c r="B113" s="8"/>
      <c r="C113" s="11"/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/>
      <c r="W113" s="14"/>
      <c r="X113" s="14"/>
      <c r="Y113" s="14"/>
      <c r="Z113" s="14"/>
    </row>
    <row r="114" spans="2:26" s="15" customFormat="1" ht="16.149999999999999" customHeight="1" thickBot="1" x14ac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/>
      <c r="W114" s="14"/>
      <c r="X114" s="14"/>
      <c r="Y114" s="14"/>
      <c r="Z114" s="14"/>
    </row>
    <row r="115" spans="2:26" s="15" customFormat="1" ht="16.149999999999999" customHeight="1" thickBot="1" x14ac:dyDescent="0.3">
      <c r="B115" s="8"/>
      <c r="C115" s="11" t="str">
        <f>IF(ISTEXT(D114),MAX($C$10:C114)+1,"")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/>
      <c r="W115" s="14"/>
      <c r="X115" s="14"/>
      <c r="Y115" s="14"/>
      <c r="Z115" s="14"/>
    </row>
    <row r="116" spans="2:26" ht="15" customHeight="1" x14ac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</row>
    <row r="117" spans="2:26" x14ac:dyDescent="0.25">
      <c r="B117" s="20"/>
      <c r="C117" s="21"/>
      <c r="O117" s="22"/>
      <c r="P117" s="22"/>
      <c r="Q117" s="23"/>
      <c r="R117" s="23"/>
      <c r="S117" s="22"/>
      <c r="T117" s="22"/>
    </row>
    <row r="118" spans="2:26" ht="15.75" thickBot="1" x14ac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</row>
    <row r="119" spans="2:26" ht="15" customHeight="1" x14ac:dyDescent="0.25">
      <c r="C119" s="29"/>
      <c r="I119" s="30"/>
      <c r="O119" s="65"/>
      <c r="P119" s="65"/>
      <c r="Q119" s="60"/>
      <c r="R119" s="60"/>
      <c r="S119" s="65"/>
      <c r="T119" s="65"/>
    </row>
    <row r="120" spans="2:26" ht="18" customHeight="1" thickBot="1" x14ac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/>
      <c r="W120" s="62"/>
      <c r="X120" s="62"/>
      <c r="Y120" s="62"/>
    </row>
    <row r="121" spans="2:26" ht="15" customHeight="1" x14ac:dyDescent="0.25"/>
    <row r="122" spans="2:26" ht="15" customHeight="1" thickBot="1" x14ac:dyDescent="0.3"/>
    <row r="123" spans="2:26" ht="15" customHeight="1" x14ac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2" t="s">
        <v>99</v>
      </c>
      <c r="X123" s="79"/>
      <c r="Y123" s="79"/>
      <c r="Z123" s="79"/>
    </row>
    <row r="124" spans="2:26" ht="15" customHeight="1" thickBot="1" x14ac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</row>
    <row r="125" spans="2:26" ht="10.5" customHeight="1" thickBot="1" x14ac:dyDescent="0.3"/>
    <row r="126" spans="2:26" ht="15" customHeight="1" thickBot="1" x14ac:dyDescent="0.3">
      <c r="J126" s="79" t="s">
        <v>2</v>
      </c>
      <c r="K126" s="79"/>
      <c r="L126" s="79"/>
      <c r="M126" s="80" t="str">
        <f>M4</f>
        <v>C1012</v>
      </c>
      <c r="N126" s="80"/>
      <c r="O126" s="80"/>
      <c r="P126" s="80"/>
    </row>
    <row r="127" spans="2:26" s="15" customFormat="1" ht="15" customHeight="1" thickBot="1" x14ac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/>
    </row>
    <row r="128" spans="2:26" s="15" customFormat="1" ht="17.100000000000001" customHeight="1" thickBot="1" x14ac:dyDescent="0.3"/>
    <row r="129" spans="2:26" s="15" customFormat="1" ht="15" customHeight="1" thickBot="1" x14ac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/>
      <c r="W129" s="60"/>
      <c r="X129" s="23"/>
    </row>
    <row r="130" spans="2:26" s="15" customFormat="1" ht="10.5" customHeight="1" thickBot="1" x14ac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2:26" s="15" customFormat="1" ht="21" customHeight="1" thickBot="1" x14ac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 t="s">
        <v>8</v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x14ac:dyDescent="0.3">
      <c r="B132" s="8"/>
      <c r="C132" s="11"/>
      <c r="D132" s="73" t="s">
        <v>100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5"/>
      <c r="V132" s="9"/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>
        <f>IF(ISTEXT(D133),MAX($C$10:C132)+1,"")</f>
        <v>72</v>
      </c>
      <c r="D133" s="131" t="s">
        <v>101</v>
      </c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3"/>
      <c r="V133" s="10" t="s">
        <v>22</v>
      </c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>
        <f>IF(ISTEXT(D134),MAX($C$10:C133)+1,"")</f>
        <v>73</v>
      </c>
      <c r="D134" s="70" t="s">
        <v>102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 t="s">
        <v>22</v>
      </c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>
        <f>IF(ISTEXT(D135),MAX($C$10:C134)+1,"")</f>
        <v>74</v>
      </c>
      <c r="D135" s="70" t="s">
        <v>103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 t="s">
        <v>76</v>
      </c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>
        <f>IF(ISTEXT(D136),MAX($C$10:C135)+1,"")</f>
        <v>75</v>
      </c>
      <c r="D136" s="70" t="s">
        <v>104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 t="str">
        <f>_xlfn.XLOOKUP(D136,Common_Defect_List!A:A,Common_Defect_List!B:B,"")</f>
        <v>ELEC</v>
      </c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>
        <f>IF(ISTEXT(D137),MAX($C$10:C136)+1,"")</f>
        <v>76</v>
      </c>
      <c r="D137" s="70" t="s">
        <v>105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 t="s">
        <v>22</v>
      </c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>
        <f>IF(ISTEXT(D138),MAX($C$10:C137)+1,"")</f>
        <v>77</v>
      </c>
      <c r="D138" s="70" t="s">
        <v>106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 t="s">
        <v>22</v>
      </c>
      <c r="W138" s="14"/>
      <c r="X138" s="14"/>
      <c r="Y138" s="14"/>
      <c r="Z138" s="14"/>
    </row>
    <row r="139" spans="2:26" ht="16.149999999999999" customHeight="1" thickBot="1" x14ac:dyDescent="0.3">
      <c r="B139" s="8"/>
      <c r="C139" s="11">
        <f>IF(ISTEXT(D139),MAX($C$10:C138)+1,"")</f>
        <v>78</v>
      </c>
      <c r="D139" s="70" t="s">
        <v>107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10" t="s">
        <v>22</v>
      </c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>
        <f>IF(ISTEXT(D140),MAX($C$10:C139)+1,"")</f>
        <v>79</v>
      </c>
      <c r="D140" s="70" t="s">
        <v>108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 t="str">
        <f>_xlfn.XLOOKUP(D140,Common_Defect_List!A:A,Common_Defect_List!B:B,"")</f>
        <v>ELEC</v>
      </c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>
        <f>IF(ISTEXT(D141),MAX($C$10:C140)+1,"")</f>
        <v>80</v>
      </c>
      <c r="D141" s="70" t="s">
        <v>109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 t="s">
        <v>22</v>
      </c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81</v>
      </c>
      <c r="D142" s="126" t="s">
        <v>110</v>
      </c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8"/>
      <c r="V142" s="10" t="s">
        <v>74</v>
      </c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82</v>
      </c>
      <c r="D143" s="70" t="s">
        <v>79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 t="str">
        <f>_xlfn.XLOOKUP(D143,Common_Defect_List!A:A,Common_Defect_List!B:B,"")</f>
        <v>PLUM</v>
      </c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83</v>
      </c>
      <c r="D144" s="70" t="s">
        <v>80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 t="str">
        <f>_xlfn.XLOOKUP(D144,Common_Defect_List!A:A,Common_Defect_List!B:B,"")</f>
        <v>PLUM</v>
      </c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>
        <f>IF(ISTEXT(D145),MAX($C$10:C144)+1,"")</f>
        <v>84</v>
      </c>
      <c r="D145" s="70" t="s">
        <v>78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 t="str">
        <f>_xlfn.XLOOKUP(D145,Common_Defect_List!A:A,Common_Defect_List!B:B,"")</f>
        <v>PLUM</v>
      </c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>
        <f>IF(ISTEXT(D146),MAX($C$10:C145)+1,"")</f>
        <v>85</v>
      </c>
      <c r="D146" s="70" t="s">
        <v>111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 t="str">
        <f>_xlfn.XLOOKUP(D146,Common_Defect_List!A:A,Common_Defect_List!B:B,"")</f>
        <v>PLUM</v>
      </c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/>
      <c r="W147" s="14"/>
      <c r="X147" s="14"/>
      <c r="Y147" s="14"/>
      <c r="Z147" s="14"/>
    </row>
    <row r="148" spans="2:26" ht="16.5" thickBot="1" x14ac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10" t="str">
        <f>_xlfn.XLOOKUP(D148,Common_Defect_List!A:A,Common_Defect_List!B:B,"")</f>
        <v/>
      </c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86</v>
      </c>
      <c r="D149" s="70" t="s">
        <v>113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 t="str">
        <f>_xlfn.XLOOKUP(D149,Common_Defect_List!A:A,Common_Defect_List!B:B,"")</f>
        <v>PLUM</v>
      </c>
      <c r="W149" s="14"/>
      <c r="X149" s="14"/>
      <c r="Y149" s="14"/>
      <c r="Z149" s="14"/>
    </row>
    <row r="150" spans="2:26" s="15" customFormat="1" ht="16.149999999999999" customHeight="1" thickBot="1" x14ac:dyDescent="0.3">
      <c r="B150" s="8"/>
      <c r="C150" s="11">
        <f>IF(ISTEXT(D150),MAX($C$10:C149)+1,"")</f>
        <v>87</v>
      </c>
      <c r="D150" s="70" t="s">
        <v>114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 t="s">
        <v>22</v>
      </c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>
        <f>IF(ISTEXT(D151),MAX($C$10:C150)+1,"")</f>
        <v>88</v>
      </c>
      <c r="D151" s="70" t="s">
        <v>115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 t="s">
        <v>22</v>
      </c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>
        <f>IF(ISTEXT(D152),MAX($C$10:C151)+1,"")</f>
        <v>89</v>
      </c>
      <c r="D152" s="70" t="s">
        <v>116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 t="s">
        <v>22</v>
      </c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>
        <f>IF(ISTEXT(D153),MAX($C$10:C152)+1,"")</f>
        <v>90</v>
      </c>
      <c r="D153" s="126" t="s">
        <v>73</v>
      </c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8"/>
      <c r="V153" s="10" t="s">
        <v>74</v>
      </c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>
        <f>IF(ISTEXT(D154),MAX($C$10:C153)+1,"")</f>
        <v>91</v>
      </c>
      <c r="D154" s="70" t="s">
        <v>117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 t="s">
        <v>22</v>
      </c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>
        <f>IF(ISTEXT(D155),MAX($C$10:C154)+1,"")</f>
        <v>92</v>
      </c>
      <c r="D155" s="70" t="s">
        <v>78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 t="str">
        <f>_xlfn.XLOOKUP(D155,Common_Defect_List!A:A,Common_Defect_List!B:B,"")</f>
        <v>PLUM</v>
      </c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>
        <f>IF(ISTEXT(D156),MAX($C$10:C155)+1,"")</f>
        <v>93</v>
      </c>
      <c r="D156" s="70" t="s">
        <v>79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10" t="str">
        <f>_xlfn.XLOOKUP(D156,Common_Defect_List!A:A,Common_Defect_List!B:B,"")</f>
        <v>PLUM</v>
      </c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94</v>
      </c>
      <c r="D157" s="70" t="s">
        <v>80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 t="str">
        <f>_xlfn.XLOOKUP(D157,Common_Defect_List!A:A,Common_Defect_List!B:B,"")</f>
        <v>PLUM</v>
      </c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95</v>
      </c>
      <c r="D158" s="70" t="s">
        <v>118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 t="s">
        <v>76</v>
      </c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>
        <f>IF(ISTEXT(D159),MAX($C$10:C158)+1,"")</f>
        <v>96</v>
      </c>
      <c r="D159" s="70" t="s">
        <v>119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 t="s">
        <v>76</v>
      </c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>
        <f>IF(ISTEXT(D160),MAX($C$10:C159)+1,"")</f>
        <v>97</v>
      </c>
      <c r="D160" s="70" t="s">
        <v>111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 t="str">
        <f>_xlfn.XLOOKUP(D160,Common_Defect_List!A:A,Common_Defect_List!B:B,"")</f>
        <v>PLUM</v>
      </c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>
        <f>IF(ISTEXT(D161),MAX($C$10:C160)+1,"")</f>
        <v>98</v>
      </c>
      <c r="D161" s="70" t="s">
        <v>91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 t="str">
        <f>_xlfn.XLOOKUP(D161,Common_Defect_List!A:A,Common_Defect_List!B:B,"")</f>
        <v>ELEC</v>
      </c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/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10"/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10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/>
      <c r="D165" s="73" t="s">
        <v>120</v>
      </c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5"/>
      <c r="V165" s="10" t="str">
        <f>_xlfn.XLOOKUP(D165,Common_Defect_List!A:A,Common_Defect_List!B:B,"")</f>
        <v/>
      </c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>
        <f>IF(ISTEXT(D166),MAX($C$10:C165)+1,"")</f>
        <v>99</v>
      </c>
      <c r="D166" s="70" t="s">
        <v>121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10" t="s">
        <v>22</v>
      </c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>
        <f>IF(ISTEXT(D167),MAX($C$10:C166)+1,"")</f>
        <v>100</v>
      </c>
      <c r="D167" s="70" t="s">
        <v>122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0" t="str">
        <f>_xlfn.XLOOKUP(D167,Common_Defect_List!A:A,Common_Defect_List!B:B,"")</f>
        <v>ELEC</v>
      </c>
      <c r="W167" s="14"/>
      <c r="X167" s="14"/>
      <c r="Y167" s="14"/>
      <c r="Z167" s="14"/>
    </row>
    <row r="168" spans="2:26" s="15" customFormat="1" ht="16.149999999999999" customHeight="1" thickBot="1" x14ac:dyDescent="0.3">
      <c r="B168" s="8"/>
      <c r="C168" s="11">
        <f>IF(ISTEXT(D168),MAX($C$10:C167)+1,"")</f>
        <v>101</v>
      </c>
      <c r="D168" s="70" t="s">
        <v>123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10" t="s">
        <v>76</v>
      </c>
      <c r="W168" s="14"/>
      <c r="X168" s="14"/>
      <c r="Y168" s="14"/>
      <c r="Z168" s="14"/>
    </row>
    <row r="169" spans="2:26" s="15" customFormat="1" ht="16.149999999999999" customHeight="1" thickBot="1" x14ac:dyDescent="0.3">
      <c r="B169" s="8"/>
      <c r="C169" s="11">
        <f>IF(ISTEXT(D169),MAX($C$10:C168)+1,"")</f>
        <v>102</v>
      </c>
      <c r="D169" s="70" t="s">
        <v>124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10" t="s">
        <v>76</v>
      </c>
      <c r="W169" s="14"/>
      <c r="X169" s="14"/>
      <c r="Y169" s="14"/>
      <c r="Z169" s="14"/>
    </row>
    <row r="170" spans="2:26" s="15" customFormat="1" ht="16.149999999999999" customHeight="1" thickBot="1" x14ac:dyDescent="0.3">
      <c r="B170" s="8"/>
      <c r="C170" s="11">
        <f>IF(ISTEXT(D170),MAX($C$10:C169)+1,"")</f>
        <v>103</v>
      </c>
      <c r="D170" s="70" t="s">
        <v>125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10" t="s">
        <v>76</v>
      </c>
      <c r="W170" s="14"/>
      <c r="X170" s="14"/>
      <c r="Y170" s="14"/>
      <c r="Z170" s="14"/>
    </row>
    <row r="171" spans="2:26" s="15" customFormat="1" ht="16.149999999999999" customHeight="1" thickBot="1" x14ac:dyDescent="0.3">
      <c r="B171" s="8"/>
      <c r="C171" s="11">
        <f>IF(ISTEXT(D171),MAX($C$10:C170)+1,"")</f>
        <v>104</v>
      </c>
      <c r="D171" s="70" t="s">
        <v>118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 t="s">
        <v>76</v>
      </c>
      <c r="W171" s="14"/>
      <c r="X171" s="14"/>
      <c r="Y171" s="14"/>
      <c r="Z171" s="14"/>
    </row>
    <row r="172" spans="2:26" s="15" customFormat="1" ht="16.149999999999999" customHeight="1" thickBot="1" x14ac:dyDescent="0.3">
      <c r="B172" s="8"/>
      <c r="C172" s="11" t="str">
        <f>IF(ISTEXT(D172),MAX($C$10:C171)+1,"")</f>
        <v/>
      </c>
      <c r="D172" s="70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/>
      <c r="W172" s="14"/>
      <c r="X172" s="14"/>
      <c r="Y172" s="14"/>
      <c r="Z172" s="14"/>
    </row>
    <row r="173" spans="2:26" s="15" customFormat="1" ht="16.149999999999999" customHeight="1" thickBot="1" x14ac:dyDescent="0.3">
      <c r="B173" s="8"/>
      <c r="C173" s="11" t="str">
        <f>IF(ISTEXT(D173),MAX($C$10:C172)+1,"")</f>
        <v/>
      </c>
      <c r="D173" s="70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/>
      <c r="W173" s="14"/>
      <c r="X173" s="14"/>
      <c r="Y173" s="14"/>
      <c r="Z173" s="14"/>
    </row>
    <row r="174" spans="2:26" s="15" customFormat="1" ht="16.149999999999999" customHeight="1" thickBot="1" x14ac:dyDescent="0.3">
      <c r="B174" s="8"/>
      <c r="C174" s="11" t="str">
        <f>IF(ISTEXT(D174),MAX($C$10:C173)+1,"")</f>
        <v/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/>
      <c r="W174" s="14"/>
      <c r="X174" s="14"/>
      <c r="Y174" s="14"/>
      <c r="Z174" s="14"/>
    </row>
    <row r="175" spans="2:26" s="15" customFormat="1" ht="16.149999999999999" customHeight="1" thickBot="1" x14ac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/>
      <c r="W175" s="14"/>
      <c r="X175" s="14"/>
      <c r="Y175" s="14"/>
      <c r="Z175" s="14"/>
    </row>
    <row r="176" spans="2:26" s="15" customFormat="1" ht="16.149999999999999" customHeight="1" thickBot="1" x14ac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14"/>
      <c r="W176" s="14"/>
      <c r="X176" s="14"/>
      <c r="Y176" s="14"/>
      <c r="Z176" s="14"/>
    </row>
    <row r="177" spans="2:26" ht="15" customHeight="1" x14ac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</row>
    <row r="178" spans="2:26" x14ac:dyDescent="0.25">
      <c r="B178" s="20"/>
      <c r="C178" s="21"/>
      <c r="O178" s="22"/>
      <c r="P178" s="22"/>
      <c r="Q178" s="23"/>
      <c r="R178" s="23"/>
      <c r="S178" s="22"/>
      <c r="T178" s="22"/>
    </row>
    <row r="179" spans="2:26" ht="15.75" thickBot="1" x14ac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</row>
    <row r="180" spans="2:26" ht="15" customHeight="1" x14ac:dyDescent="0.25">
      <c r="C180" s="29"/>
      <c r="I180" s="30"/>
      <c r="O180" s="65"/>
      <c r="P180" s="65"/>
      <c r="Q180" s="60"/>
      <c r="R180" s="60"/>
      <c r="S180" s="65"/>
      <c r="T180" s="65"/>
    </row>
    <row r="181" spans="2:26" ht="15.75" thickBot="1" x14ac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/>
      <c r="W181" s="93"/>
      <c r="X181" s="93"/>
      <c r="Y181" s="93"/>
    </row>
    <row r="182" spans="2:26" ht="15" customHeight="1" x14ac:dyDescent="0.25"/>
    <row r="183" spans="2:26" ht="15" customHeight="1" thickBot="1" x14ac:dyDescent="0.3"/>
    <row r="184" spans="2:26" ht="15" customHeight="1" x14ac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2" t="s">
        <v>126</v>
      </c>
      <c r="X184" s="79"/>
      <c r="Y184" s="79"/>
      <c r="Z184" s="79"/>
    </row>
    <row r="185" spans="2:26" ht="15" customHeight="1" thickBot="1" x14ac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</row>
    <row r="186" spans="2:26" ht="10.5" customHeight="1" thickBot="1" x14ac:dyDescent="0.3"/>
    <row r="187" spans="2:26" ht="15" customHeight="1" thickBot="1" x14ac:dyDescent="0.3">
      <c r="J187" s="79" t="s">
        <v>2</v>
      </c>
      <c r="K187" s="79"/>
      <c r="L187" s="79"/>
      <c r="M187" s="80" t="str">
        <f>M4</f>
        <v>C1012</v>
      </c>
      <c r="N187" s="80"/>
      <c r="O187" s="80"/>
      <c r="P187" s="80"/>
    </row>
    <row r="188" spans="2:26" s="15" customFormat="1" ht="15" customHeight="1" thickBot="1" x14ac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/>
    </row>
    <row r="189" spans="2:26" s="15" customFormat="1" ht="8.25" customHeight="1" thickBot="1" x14ac:dyDescent="0.3">
      <c r="M189" s="38"/>
      <c r="N189" s="38"/>
      <c r="O189" s="38"/>
      <c r="P189" s="38"/>
    </row>
    <row r="190" spans="2:26" s="15" customFormat="1" ht="15" customHeight="1" thickBot="1" x14ac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/>
      <c r="W190" s="60"/>
      <c r="X190" s="23"/>
    </row>
    <row r="191" spans="2:26" s="15" customFormat="1" ht="10.5" customHeight="1" thickBot="1" x14ac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2:26" s="15" customFormat="1" ht="21" customHeight="1" thickBot="1" x14ac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 t="s">
        <v>8</v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x14ac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/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>
        <f>IF(ISTEXT(D194),MAX($C$10:C193),"")</f>
        <v>104</v>
      </c>
      <c r="D194" s="131" t="s">
        <v>128</v>
      </c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3"/>
      <c r="V194" s="10" t="s">
        <v>129</v>
      </c>
      <c r="W194" s="14"/>
      <c r="X194" s="14"/>
      <c r="Y194" s="14"/>
      <c r="Z194" s="14"/>
    </row>
    <row r="195" spans="2:26" s="15" customFormat="1" ht="16.149999999999999" customHeight="1" thickBot="1" x14ac:dyDescent="0.3">
      <c r="B195" s="8"/>
      <c r="C195" s="11">
        <f>IF(ISTEXT(D195),MAX($C$10:C194)+1,"")</f>
        <v>105</v>
      </c>
      <c r="D195" s="131" t="s">
        <v>130</v>
      </c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3"/>
      <c r="V195" s="10" t="s">
        <v>129</v>
      </c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IF(ISTEXT(D196),MAX($C$10:C195)+1,"")</f>
        <v>106</v>
      </c>
      <c r="D196" s="70" t="s">
        <v>131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 t="s">
        <v>22</v>
      </c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>
        <f>IF(ISTEXT(D197),MAX($C$10:C196)+1,"")</f>
        <v>107</v>
      </c>
      <c r="D197" s="70" t="s">
        <v>40</v>
      </c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2"/>
      <c r="V197" s="10" t="s">
        <v>22</v>
      </c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>
        <f>IF(ISTEXT(D198),MAX($C$10:C197)+1,"")</f>
        <v>108</v>
      </c>
      <c r="D198" s="70" t="s">
        <v>132</v>
      </c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2"/>
      <c r="V198" s="10" t="s">
        <v>22</v>
      </c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>
        <f>IF(ISTEXT(D199),MAX($C$10:C198)+1,"")</f>
        <v>109</v>
      </c>
      <c r="D199" s="70" t="s">
        <v>133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 t="s">
        <v>129</v>
      </c>
      <c r="W199" s="14"/>
      <c r="X199" s="14"/>
      <c r="Y199" s="14"/>
      <c r="Z199" s="14"/>
    </row>
    <row r="200" spans="2:26" ht="16.149999999999999" customHeight="1" thickBot="1" x14ac:dyDescent="0.3">
      <c r="B200" s="8"/>
      <c r="C200" s="11">
        <f>IF(ISTEXT(D200),MAX($C$10:C199)+1,"")</f>
        <v>110</v>
      </c>
      <c r="D200" s="126" t="s">
        <v>134</v>
      </c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8"/>
      <c r="V200" s="10" t="s">
        <v>129</v>
      </c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>
        <f>IF(ISTEXT(D201),MAX($C$10:C200)+1,"")</f>
        <v>111</v>
      </c>
      <c r="D201" s="70" t="s">
        <v>135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 t="s">
        <v>52</v>
      </c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>
        <f>IF(ISTEXT(D202),MAX($C$10:C201)+1,"")</f>
        <v>112</v>
      </c>
      <c r="D202" s="70" t="s">
        <v>136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 t="s">
        <v>22</v>
      </c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>
        <f>IF(ISTEXT(D203),MAX($C$10:C202)+1,"")</f>
        <v>113</v>
      </c>
      <c r="D203" s="70" t="s">
        <v>137</v>
      </c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 t="s">
        <v>22</v>
      </c>
      <c r="W203" s="14"/>
      <c r="X203" s="14"/>
      <c r="Y203" s="14"/>
      <c r="Z203" s="14"/>
    </row>
    <row r="204" spans="2:26" s="15" customFormat="1" ht="15.95" customHeight="1" thickBot="1" x14ac:dyDescent="0.3">
      <c r="B204" s="8"/>
      <c r="C204" s="11">
        <f>IF(ISTEXT(D204),MAX($C$10:C203)+1,"")</f>
        <v>114</v>
      </c>
      <c r="D204" s="70" t="s">
        <v>138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 t="s">
        <v>22</v>
      </c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>
        <f>IF(ISTEXT(D205),MAX($C$10:C204)+1,"")</f>
        <v>115</v>
      </c>
      <c r="D205" s="70" t="s">
        <v>139</v>
      </c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 t="s">
        <v>22</v>
      </c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>
        <f>IF(ISTEXT(D206),MAX($C$10:C205)+1,"")</f>
        <v>116</v>
      </c>
      <c r="D206" s="70" t="s">
        <v>140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 t="s">
        <v>22</v>
      </c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>
        <f>IF(ISTEXT(D207),MAX($C$10:C206)+1,"")</f>
        <v>117</v>
      </c>
      <c r="D207" s="70" t="s">
        <v>141</v>
      </c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2"/>
      <c r="V207" s="10" t="s">
        <v>129</v>
      </c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>
        <f>IF(ISTEXT(D208),MAX($C$10:C207)+1,"")</f>
        <v>118</v>
      </c>
      <c r="D208" s="70" t="s">
        <v>142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 t="s">
        <v>22</v>
      </c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>
        <f>IF(ISTEXT(D209),MAX($C$10:C208)+1,"")</f>
        <v>119</v>
      </c>
      <c r="D209" s="70" t="s">
        <v>143</v>
      </c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2"/>
      <c r="V209" s="10" t="s">
        <v>22</v>
      </c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>
        <f>IF(ISTEXT(D210),MAX($C$10:C209)+1,"")</f>
        <v>120</v>
      </c>
      <c r="D210" s="70" t="s">
        <v>144</v>
      </c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 t="s">
        <v>22</v>
      </c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>
        <f>IF(ISTEXT(D211),MAX($C$10:C210)+1,"")</f>
        <v>121</v>
      </c>
      <c r="D211" s="70" t="s">
        <v>145</v>
      </c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 t="str">
        <f>_xlfn.XLOOKUP(D211,Common_Defect_List!A:A,Common_Defect_List!B:B,"")</f>
        <v>ELEC</v>
      </c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>
        <f>IF(ISTEXT(D212),MAX($C$10:C211)+1,"")</f>
        <v>122</v>
      </c>
      <c r="D212" s="70" t="s">
        <v>146</v>
      </c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 t="s">
        <v>129</v>
      </c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>
        <f>IF(ISTEXT(D213),MAX($C$10:C212)+1,"")</f>
        <v>123</v>
      </c>
      <c r="D213" s="70" t="s">
        <v>147</v>
      </c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 t="s">
        <v>129</v>
      </c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 t="str">
        <f>IF(ISTEXT(D214),MAX($C$10:C213)+1,"")</f>
        <v/>
      </c>
      <c r="D214" s="70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2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/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 t="str">
        <f>_xlfn.XLOOKUP(D215,Common_Defect_List!A:A,Common_Defect_List!B:B,"")</f>
        <v/>
      </c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124</v>
      </c>
      <c r="D216" s="66" t="s">
        <v>149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 t="s">
        <v>72</v>
      </c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125</v>
      </c>
      <c r="D217" s="66" t="s">
        <v>150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 t="s">
        <v>72</v>
      </c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126</v>
      </c>
      <c r="D218" s="66" t="s">
        <v>151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 t="str">
        <f>_xlfn.XLOOKUP(D218,Common_Defect_List!A:A,Common_Defect_List!B:B,"")</f>
        <v>MECH</v>
      </c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127</v>
      </c>
      <c r="D219" s="66" t="s">
        <v>152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 t="s">
        <v>72</v>
      </c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128</v>
      </c>
      <c r="D220" s="66" t="s">
        <v>153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 t="s">
        <v>22</v>
      </c>
      <c r="W220" s="14"/>
      <c r="X220" s="14"/>
      <c r="Y220" s="14"/>
      <c r="Z220" s="14"/>
    </row>
    <row r="221" spans="2:26" s="15" customFormat="1" ht="16.149999999999999" customHeight="1" thickBot="1" x14ac:dyDescent="0.3">
      <c r="B221" s="8"/>
      <c r="C221" s="11">
        <f>IF(ISTEXT(D221),MAX($C$10:C220)+1,"")</f>
        <v>129</v>
      </c>
      <c r="D221" s="134" t="s">
        <v>154</v>
      </c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6"/>
      <c r="V221" s="10" t="s">
        <v>22</v>
      </c>
      <c r="W221" s="14"/>
      <c r="X221" s="14"/>
      <c r="Y221" s="14"/>
      <c r="Z221" s="14"/>
    </row>
    <row r="222" spans="2:26" s="15" customFormat="1" ht="16.149999999999999" customHeight="1" thickBot="1" x14ac:dyDescent="0.3">
      <c r="B222" s="8"/>
      <c r="C222" s="11">
        <f>IF(ISTEXT(D222),MAX($C$10:C221)+1,"")</f>
        <v>130</v>
      </c>
      <c r="D222" s="66" t="s">
        <v>155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 t="s">
        <v>22</v>
      </c>
      <c r="W222" s="14"/>
      <c r="X222" s="14"/>
      <c r="Y222" s="14"/>
      <c r="Z222" s="14"/>
    </row>
    <row r="223" spans="2:26" s="15" customFormat="1" ht="16.149999999999999" customHeight="1" thickBot="1" x14ac:dyDescent="0.3">
      <c r="B223" s="8"/>
      <c r="C223" s="11">
        <f>IF(ISTEXT(D223),MAX($C$10:C222)+1,"")</f>
        <v>131</v>
      </c>
      <c r="D223" s="66" t="s">
        <v>156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 t="s">
        <v>22</v>
      </c>
      <c r="W223" s="14"/>
      <c r="X223" s="14"/>
      <c r="Y223" s="14"/>
      <c r="Z223" s="14"/>
    </row>
    <row r="224" spans="2:26" s="15" customFormat="1" ht="16.149999999999999" customHeight="1" thickBot="1" x14ac:dyDescent="0.3">
      <c r="B224" s="8"/>
      <c r="C224" s="11">
        <f>IF(ISTEXT(D224),MAX($C$10:C223)+1,"")</f>
        <v>132</v>
      </c>
      <c r="D224" s="66" t="s">
        <v>157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 t="str">
        <f>_xlfn.XLOOKUP(D224,Common_Defect_List!A:A,Common_Defect_List!B:B,"")</f>
        <v>ELEC</v>
      </c>
      <c r="W224" s="14"/>
      <c r="X224" s="14"/>
      <c r="Y224" s="14"/>
      <c r="Z224" s="14"/>
    </row>
    <row r="225" spans="2:26" s="15" customFormat="1" ht="16.149999999999999" customHeight="1" thickBot="1" x14ac:dyDescent="0.3">
      <c r="B225" s="8"/>
      <c r="C225" s="11">
        <f>IF(ISTEXT(D225),MAX($C$10:C224)+1,"")</f>
        <v>133</v>
      </c>
      <c r="D225" s="66" t="s">
        <v>158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 t="s">
        <v>22</v>
      </c>
      <c r="W225" s="14"/>
      <c r="X225" s="14"/>
      <c r="Y225" s="14"/>
      <c r="Z225" s="14"/>
    </row>
    <row r="226" spans="2:26" s="15" customFormat="1" ht="16.149999999999999" customHeight="1" thickBot="1" x14ac:dyDescent="0.3">
      <c r="B226" s="8"/>
      <c r="C226" s="11" t="str">
        <f>IF(ISTEXT(D226),MAX($C$10:C225)+1,"")</f>
        <v/>
      </c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/>
      <c r="W226" s="14"/>
      <c r="X226" s="14"/>
      <c r="Y226" s="14"/>
      <c r="Z226" s="14"/>
    </row>
    <row r="227" spans="2:26" s="15" customFormat="1" ht="16.149999999999999" customHeight="1" thickBot="1" x14ac:dyDescent="0.3">
      <c r="B227" s="8"/>
      <c r="C227" s="11" t="str">
        <f>IF(ISTEXT(D227),MAX($C$10:C226)+1,"")</f>
        <v/>
      </c>
      <c r="D227" s="66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/>
      <c r="W227" s="14"/>
      <c r="X227" s="14"/>
      <c r="Y227" s="14"/>
      <c r="Z227" s="14"/>
    </row>
    <row r="228" spans="2:26" s="15" customFormat="1" ht="16.149999999999999" customHeight="1" thickBot="1" x14ac:dyDescent="0.3">
      <c r="B228" s="8"/>
      <c r="C228" s="11" t="str">
        <f>IF(ISTEXT(D228),MAX($C$10:C227)+1,"")</f>
        <v/>
      </c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/>
      <c r="W228" s="14"/>
      <c r="X228" s="14"/>
      <c r="Y228" s="14"/>
      <c r="Z228" s="14"/>
    </row>
    <row r="229" spans="2:26" s="15" customFormat="1" ht="16.149999999999999" customHeight="1" thickBot="1" x14ac:dyDescent="0.3">
      <c r="B229" s="8"/>
      <c r="C229" s="11" t="str">
        <f>IF(ISTEXT(D229),MAX($C$10:C228)+1,"")</f>
        <v/>
      </c>
      <c r="D229" s="66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8"/>
      <c r="V229" s="14"/>
      <c r="W229" s="14"/>
      <c r="X229" s="14"/>
      <c r="Y229" s="14"/>
      <c r="Z229" s="14"/>
    </row>
    <row r="230" spans="2:26" ht="15" customHeight="1" x14ac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</row>
    <row r="231" spans="2:26" x14ac:dyDescent="0.25">
      <c r="B231" s="20"/>
      <c r="C231" s="21"/>
      <c r="O231" s="22"/>
      <c r="P231" s="22"/>
      <c r="Q231" s="23"/>
      <c r="R231" s="23"/>
      <c r="S231" s="22"/>
      <c r="T231" s="22"/>
    </row>
    <row r="232" spans="2:26" ht="15.75" thickBot="1" x14ac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</row>
    <row r="233" spans="2:26" ht="15" customHeight="1" x14ac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</row>
    <row r="234" spans="2:26" ht="18" customHeight="1" thickBot="1" x14ac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/>
      <c r="W234" s="63"/>
      <c r="X234" s="62"/>
      <c r="Y234" s="62"/>
    </row>
    <row r="235" spans="2:26" ht="18" customHeight="1" thickBot="1" x14ac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/>
      <c r="W235" s="1"/>
      <c r="X235" s="4"/>
      <c r="Y235" s="4"/>
    </row>
    <row r="236" spans="2:26" ht="18" customHeight="1" thickBot="1" x14ac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/>
      <c r="W236" s="1"/>
      <c r="X236" s="4"/>
      <c r="Y236" s="4"/>
    </row>
    <row r="237" spans="2:26" ht="15" customHeight="1" x14ac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2" t="s">
        <v>159</v>
      </c>
      <c r="X237" s="79"/>
      <c r="Y237" s="79"/>
      <c r="Z237" s="79"/>
    </row>
    <row r="238" spans="2:26" ht="15" customHeight="1" thickBot="1" x14ac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</row>
    <row r="239" spans="2:26" ht="10.5" customHeight="1" thickBot="1" x14ac:dyDescent="0.3"/>
    <row r="240" spans="2:26" ht="15" customHeight="1" thickBot="1" x14ac:dyDescent="0.3">
      <c r="J240" s="79" t="s">
        <v>2</v>
      </c>
      <c r="K240" s="79"/>
      <c r="L240" s="79"/>
      <c r="M240" s="80" t="str">
        <f>M4</f>
        <v>C1012</v>
      </c>
      <c r="N240" s="80"/>
      <c r="O240" s="80"/>
      <c r="P240" s="80"/>
    </row>
    <row r="241" spans="2:26" s="15" customFormat="1" ht="15" customHeight="1" thickBot="1" x14ac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/>
    </row>
    <row r="242" spans="2:26" s="15" customFormat="1" ht="8.25" customHeight="1" thickBot="1" x14ac:dyDescent="0.3">
      <c r="M242" s="38"/>
      <c r="N242" s="38"/>
      <c r="O242" s="38"/>
      <c r="P242" s="38"/>
    </row>
    <row r="243" spans="2:26" s="15" customFormat="1" ht="15" customHeight="1" thickBot="1" x14ac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/>
      <c r="W243" s="60"/>
      <c r="X243" s="23"/>
    </row>
    <row r="244" spans="2:26" s="15" customFormat="1" ht="10.5" customHeight="1" thickBot="1" x14ac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2:26" s="15" customFormat="1" ht="21" customHeight="1" thickBot="1" x14ac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 t="s">
        <v>8</v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x14ac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/>
      <c r="W246" s="14"/>
      <c r="X246" s="14"/>
      <c r="Y246" s="14"/>
      <c r="Z246" s="14"/>
    </row>
    <row r="247" spans="2:26" s="15" customFormat="1" ht="16.149999999999999" customHeight="1" thickBot="1" x14ac:dyDescent="0.3">
      <c r="B247" s="8"/>
      <c r="C247" s="11">
        <f>IF(ISTEXT(D247),MAX($C$10:C246)+1,"")</f>
        <v>134</v>
      </c>
      <c r="D247" s="66" t="s">
        <v>161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 t="s">
        <v>22</v>
      </c>
      <c r="W247" s="14"/>
      <c r="X247" s="14"/>
      <c r="Y247" s="14"/>
      <c r="Z247" s="14"/>
    </row>
    <row r="248" spans="2:26" s="15" customFormat="1" ht="16.149999999999999" customHeight="1" thickBot="1" x14ac:dyDescent="0.3">
      <c r="B248" s="8"/>
      <c r="C248" s="11">
        <f>IF(ISTEXT(D248),MAX($C$10:C247)+1,"")</f>
        <v>135</v>
      </c>
      <c r="D248" s="66" t="s">
        <v>162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 t="s">
        <v>22</v>
      </c>
      <c r="W248" s="14"/>
      <c r="X248" s="14"/>
      <c r="Y248" s="14"/>
      <c r="Z248" s="14"/>
    </row>
    <row r="249" spans="2:26" s="15" customFormat="1" ht="16.149999999999999" customHeight="1" thickBot="1" x14ac:dyDescent="0.3">
      <c r="B249" s="8"/>
      <c r="C249" s="11">
        <f>IF(ISTEXT(D249),MAX($C$10:C248)+1,"")</f>
        <v>136</v>
      </c>
      <c r="D249" s="134" t="s">
        <v>163</v>
      </c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6"/>
      <c r="V249" s="10" t="s">
        <v>22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8"/>
      <c r="C250" s="11">
        <f>IF(ISTEXT(D250),MAX($C$10:C249)+1,"")</f>
        <v>137</v>
      </c>
      <c r="D250" s="66" t="s">
        <v>151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tr">
        <f>_xlfn.XLOOKUP(D250,Common_Defect_List!A:A,Common_Defect_List!B:B,"")</f>
        <v>MECH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44">
        <f>IF(ISTEXT(D251),MAX($C$10:C250)+1,"")</f>
        <v>138</v>
      </c>
      <c r="D251" s="66" t="s">
        <v>152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 t="s">
        <v>72</v>
      </c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>
        <f>IF(ISTEXT(D252),MAX($C$10:C251)+1,"")</f>
        <v>139</v>
      </c>
      <c r="D252" s="66" t="s">
        <v>164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 t="s">
        <v>22</v>
      </c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140</v>
      </c>
      <c r="D253" s="66" t="s">
        <v>157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 t="str">
        <f>_xlfn.XLOOKUP(D253,Common_Defect_List!A:A,Common_Defect_List!B:B,"")</f>
        <v>ELEC</v>
      </c>
      <c r="W253" s="14"/>
      <c r="X253" s="14"/>
      <c r="Y253" s="14"/>
      <c r="Z253" s="14"/>
    </row>
    <row r="254" spans="2:26" ht="16.149999999999999" customHeight="1" thickBot="1" x14ac:dyDescent="0.3">
      <c r="B254" s="8"/>
      <c r="C254" s="44">
        <f>IF(ISTEXT(D254),MAX($C$10:C253)+1,"")</f>
        <v>141</v>
      </c>
      <c r="D254" s="66" t="s">
        <v>165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 t="s">
        <v>22</v>
      </c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>
        <f>IF(ISTEXT(D255),MAX($C$10:C254)+1,"")</f>
        <v>142</v>
      </c>
      <c r="D255" s="66" t="s">
        <v>166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 t="s">
        <v>22</v>
      </c>
      <c r="W255" s="14"/>
      <c r="X255" s="14"/>
      <c r="Y255" s="14"/>
      <c r="Z255" s="14"/>
    </row>
    <row r="256" spans="2:26" s="15" customFormat="1" ht="16.149999999999999" customHeight="1" thickBot="1" x14ac:dyDescent="0.3">
      <c r="B256" s="13"/>
      <c r="C256" s="44">
        <f>IF(ISTEXT(D256),MAX($C$10:C255)+1,"")</f>
        <v>143</v>
      </c>
      <c r="D256" s="66" t="s">
        <v>167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0" t="s">
        <v>22</v>
      </c>
      <c r="W256" s="14"/>
      <c r="X256" s="14"/>
      <c r="Y256" s="14"/>
      <c r="Z256" s="14"/>
    </row>
    <row r="257" spans="2:26" s="15" customFormat="1" ht="16.149999999999999" customHeight="1" thickBot="1" x14ac:dyDescent="0.3">
      <c r="B257" s="13"/>
      <c r="C257" s="44">
        <f>IF(ISTEXT(D257),MAX($C$10:C256)+1,"")</f>
        <v>144</v>
      </c>
      <c r="D257" s="66" t="s">
        <v>156</v>
      </c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8"/>
      <c r="V257" s="18" t="s">
        <v>22</v>
      </c>
      <c r="W257" s="14"/>
      <c r="X257" s="14"/>
      <c r="Y257" s="14"/>
      <c r="Z257" s="14"/>
    </row>
    <row r="258" spans="2:26" s="15" customFormat="1" ht="15.95" customHeight="1" thickBot="1" x14ac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/>
      <c r="W258" s="14"/>
      <c r="X258" s="14"/>
      <c r="Y258" s="14"/>
      <c r="Z258" s="14"/>
    </row>
    <row r="259" spans="2:26" s="15" customFormat="1" ht="16.149999999999999" customHeight="1" thickBot="1" x14ac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/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/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44" t="str">
        <f>IF(ISTEXT(D261),MAX($C$10:C260)+1,"")</f>
        <v/>
      </c>
      <c r="D261" s="66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0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44" t="str">
        <f>IF(ISTEXT(D262),MAX($C$10:C261)+1,"")</f>
        <v/>
      </c>
      <c r="D262" s="66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8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44" t="str">
        <f>IF(ISTEXT(D263),MAX($C$10:C262)+1,"")</f>
        <v/>
      </c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44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>
        <f>IF(ISTEXT(D265),MAX($C$10:C264)+1,"")</f>
        <v>145</v>
      </c>
      <c r="D265" s="70" t="s">
        <v>169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 t="s">
        <v>22</v>
      </c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>
        <f>IF(ISTEXT(D266),MAX($C$10:C265)+1,"")</f>
        <v>146</v>
      </c>
      <c r="D266" s="126" t="s">
        <v>170</v>
      </c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8"/>
      <c r="V266" s="10" t="s">
        <v>74</v>
      </c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>
        <f>IF(ISTEXT(D267),MAX($C$10:C266)+1,"")</f>
        <v>147</v>
      </c>
      <c r="D267" s="70" t="s">
        <v>171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 t="s">
        <v>129</v>
      </c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>
        <f>IF(ISTEXT(D268),MAX($C$10:C267)+1,"")</f>
        <v>148</v>
      </c>
      <c r="D268" s="70" t="s">
        <v>172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 t="s">
        <v>22</v>
      </c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>
        <f>IF(ISTEXT(D269),MAX($C$10:C268)+1,"")</f>
        <v>149</v>
      </c>
      <c r="D269" s="126" t="s">
        <v>173</v>
      </c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8"/>
      <c r="V269" s="10" t="s">
        <v>129</v>
      </c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>
        <f>IF(ISTEXT(D270),MAX($C$10:C269)+1,"")</f>
        <v>150</v>
      </c>
      <c r="D270" s="126" t="s">
        <v>174</v>
      </c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8"/>
      <c r="V270" s="10" t="s">
        <v>28</v>
      </c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151</v>
      </c>
      <c r="D271" s="126" t="s">
        <v>175</v>
      </c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8"/>
      <c r="V271" s="10" t="s">
        <v>129</v>
      </c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152</v>
      </c>
      <c r="D272" s="70" t="s">
        <v>176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 t="s">
        <v>22</v>
      </c>
      <c r="W272" s="14"/>
      <c r="X272" s="14"/>
      <c r="Y272" s="14"/>
      <c r="Z272" s="14"/>
    </row>
    <row r="273" spans="2:26" s="15" customFormat="1" ht="16.149999999999999" customHeight="1" thickBot="1" x14ac:dyDescent="0.3">
      <c r="B273" s="8"/>
      <c r="C273" s="11">
        <f>IF(ISTEXT(D273),MAX($C$10:C272)+1,"")</f>
        <v>153</v>
      </c>
      <c r="D273" s="70" t="s">
        <v>177</v>
      </c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10" t="s">
        <v>22</v>
      </c>
      <c r="W273" s="14"/>
      <c r="X273" s="14"/>
      <c r="Y273" s="14"/>
      <c r="Z273" s="14"/>
    </row>
    <row r="274" spans="2:26" s="15" customFormat="1" ht="16.149999999999999" customHeight="1" thickBot="1" x14ac:dyDescent="0.3">
      <c r="B274" s="8"/>
      <c r="C274" s="11">
        <f>IF(ISTEXT(D274),MAX($C$10:C273)+1,"")</f>
        <v>154</v>
      </c>
      <c r="D274" s="126" t="s">
        <v>178</v>
      </c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8"/>
      <c r="V274" s="10" t="s">
        <v>74</v>
      </c>
      <c r="W274" s="14"/>
      <c r="X274" s="14"/>
      <c r="Y274" s="14"/>
      <c r="Z274" s="14"/>
    </row>
    <row r="275" spans="2:26" s="15" customFormat="1" ht="16.149999999999999" customHeight="1" thickBot="1" x14ac:dyDescent="0.3">
      <c r="B275" s="8"/>
      <c r="C275" s="11">
        <f>IF(ISTEXT(D275),MAX($C$10:C274)+1,"")</f>
        <v>155</v>
      </c>
      <c r="D275" s="126" t="s">
        <v>179</v>
      </c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8"/>
      <c r="V275" s="10" t="s">
        <v>74</v>
      </c>
      <c r="W275" s="14"/>
      <c r="X275" s="14"/>
      <c r="Y275" s="14"/>
      <c r="Z275" s="14"/>
    </row>
    <row r="276" spans="2:26" s="15" customFormat="1" ht="16.149999999999999" customHeight="1" thickBot="1" x14ac:dyDescent="0.3">
      <c r="B276" s="8"/>
      <c r="C276" s="11">
        <f>IF(ISTEXT(D276),MAX($C$10:C275)+1,"")</f>
        <v>156</v>
      </c>
      <c r="D276" s="70" t="s">
        <v>180</v>
      </c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2"/>
      <c r="V276" s="10" t="s">
        <v>76</v>
      </c>
      <c r="W276" s="14"/>
      <c r="X276" s="14"/>
      <c r="Y276" s="14"/>
      <c r="Z276" s="14"/>
    </row>
    <row r="277" spans="2:26" s="15" customFormat="1" ht="16.149999999999999" customHeight="1" thickBot="1" x14ac:dyDescent="0.3">
      <c r="B277" s="8"/>
      <c r="C277" s="11" t="str">
        <f>IF(ISTEXT(D277),MAX($C$10:C276)+1,"")</f>
        <v/>
      </c>
      <c r="D277" s="70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2"/>
      <c r="V277" s="10"/>
      <c r="W277" s="14"/>
      <c r="X277" s="14"/>
      <c r="Y277" s="14"/>
      <c r="Z277" s="14"/>
    </row>
    <row r="278" spans="2:26" s="15" customFormat="1" ht="16.149999999999999" customHeight="1" thickBot="1" x14ac:dyDescent="0.3">
      <c r="B278" s="8"/>
      <c r="C278" s="11" t="str">
        <f>IF(ISTEXT(D278),MAX($C$10:C277)+1,"")</f>
        <v/>
      </c>
      <c r="D278" s="70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10"/>
      <c r="W278" s="14"/>
      <c r="X278" s="14"/>
      <c r="Y278" s="14"/>
      <c r="Z278" s="14"/>
    </row>
    <row r="279" spans="2:26" s="15" customFormat="1" ht="16.149999999999999" customHeight="1" thickBot="1" x14ac:dyDescent="0.3">
      <c r="B279" s="8"/>
      <c r="C279" s="11"/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/>
      <c r="W279" s="14"/>
      <c r="X279" s="14"/>
      <c r="Y279" s="14"/>
      <c r="Z279" s="14"/>
    </row>
    <row r="280" spans="2:26" s="15" customFormat="1" ht="16.149999999999999" customHeight="1" thickBot="1" x14ac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/>
      <c r="W280" s="14"/>
      <c r="X280" s="14"/>
      <c r="Y280" s="14"/>
      <c r="Z280" s="14"/>
    </row>
    <row r="281" spans="2:26" s="15" customFormat="1" ht="16.149999999999999" customHeight="1" thickBot="1" x14ac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/>
      <c r="W281" s="14"/>
      <c r="X281" s="14"/>
      <c r="Y281" s="14"/>
      <c r="Z281" s="14"/>
    </row>
    <row r="282" spans="2:26" s="15" customFormat="1" ht="16.149999999999999" customHeight="1" thickBot="1" x14ac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/>
      <c r="W282" s="14"/>
      <c r="X282" s="14"/>
      <c r="Y282" s="14"/>
      <c r="Z282" s="14"/>
    </row>
    <row r="283" spans="2:26" s="15" customFormat="1" ht="16.149999999999999" customHeight="1" thickBot="1" x14ac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/>
      <c r="W283" s="14"/>
      <c r="X283" s="14"/>
      <c r="Y283" s="14"/>
      <c r="Z283" s="14"/>
    </row>
    <row r="284" spans="2:26" s="15" customFormat="1" ht="16.149999999999999" customHeight="1" thickBot="1" x14ac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/>
      <c r="W284" s="14"/>
      <c r="X284" s="14"/>
      <c r="Y284" s="14"/>
      <c r="Z284" s="14"/>
    </row>
    <row r="285" spans="2:26" s="15" customFormat="1" ht="16.149999999999999" customHeight="1" thickBot="1" x14ac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/>
      <c r="W285" s="14"/>
      <c r="X285" s="14"/>
      <c r="Y285" s="14"/>
      <c r="Z285" s="14"/>
    </row>
    <row r="286" spans="2:26" ht="15" customHeight="1" x14ac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</row>
    <row r="287" spans="2:26" x14ac:dyDescent="0.25">
      <c r="B287" s="20"/>
      <c r="C287" s="21"/>
      <c r="O287" s="22"/>
      <c r="P287" s="22"/>
      <c r="Q287" s="23"/>
      <c r="R287" s="23"/>
      <c r="S287" s="22"/>
      <c r="T287" s="22"/>
    </row>
    <row r="288" spans="2:26" ht="15.75" thickBot="1" x14ac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</row>
    <row r="289" spans="2:256" ht="15" customHeight="1" x14ac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</row>
    <row r="290" spans="2:256" ht="18" customHeight="1" thickBot="1" x14ac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/>
      <c r="W290" s="63"/>
      <c r="X290" s="62"/>
      <c r="Y290" s="62"/>
    </row>
    <row r="291" spans="2:256" ht="20.100000000000001" customHeight="1" x14ac:dyDescent="0.25">
      <c r="B291" s="15"/>
      <c r="C291" s="15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x14ac:dyDescent="0.25">
      <c r="B292" s="15"/>
      <c r="C292" s="15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x14ac:dyDescent="0.25">
      <c r="B293" s="15"/>
      <c r="C293" s="15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x14ac:dyDescent="0.25">
      <c r="B294" s="15"/>
      <c r="C294" s="15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x14ac:dyDescent="0.25">
      <c r="B295" s="15"/>
      <c r="C295" s="1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x14ac:dyDescent="0.25">
      <c r="B296" s="15"/>
      <c r="C296" s="15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x14ac:dyDescent="0.25">
      <c r="B297" s="15"/>
      <c r="C297" s="15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x14ac:dyDescent="0.25">
      <c r="B298" s="15"/>
      <c r="C298" s="15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x14ac:dyDescent="0.25">
      <c r="B299" s="15"/>
      <c r="C299" s="15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x14ac:dyDescent="0.25"/>
    <row r="301" spans="2:256" s="15" customFormat="1" ht="15.95" customHeight="1" x14ac:dyDescent="0.25"/>
    <row r="302" spans="2:256" s="15" customFormat="1" ht="17.100000000000001" customHeight="1" x14ac:dyDescent="0.25"/>
    <row r="303" spans="2:256" s="15" customFormat="1" ht="18.95" customHeight="1" x14ac:dyDescent="0.25"/>
    <row r="304" spans="2:256" s="15" customFormat="1" ht="21" customHeight="1" x14ac:dyDescent="0.25"/>
    <row r="305" spans="2:256" s="15" customFormat="1" ht="16.149999999999999" customHeight="1" x14ac:dyDescent="0.25"/>
    <row r="306" spans="2:256" s="15" customFormat="1" ht="16.149999999999999" customHeight="1" x14ac:dyDescent="0.25"/>
    <row r="307" spans="2:256" s="15" customFormat="1" ht="16.149999999999999" customHeight="1" x14ac:dyDescent="0.25"/>
    <row r="308" spans="2:256" s="15" customFormat="1" ht="16.149999999999999" customHeight="1" x14ac:dyDescent="0.25"/>
    <row r="309" spans="2:256" s="15" customFormat="1" ht="16.149999999999999" customHeight="1" x14ac:dyDescent="0.25"/>
    <row r="310" spans="2:256" s="15" customFormat="1" ht="16.149999999999999" customHeight="1" x14ac:dyDescent="0.25"/>
    <row r="311" spans="2:256" s="15" customFormat="1" ht="16.149999999999999" customHeight="1" x14ac:dyDescent="0.25"/>
    <row r="312" spans="2:256" ht="16.149999999999999" customHeight="1" x14ac:dyDescent="0.25">
      <c r="B312" s="15"/>
      <c r="C312" s="15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x14ac:dyDescent="0.25"/>
    <row r="314" spans="2:256" s="15" customFormat="1" ht="16.149999999999999" customHeight="1" x14ac:dyDescent="0.25"/>
    <row r="315" spans="2:256" s="15" customFormat="1" ht="16.149999999999999" customHeight="1" x14ac:dyDescent="0.25"/>
    <row r="316" spans="2:256" s="15" customFormat="1" ht="16.149999999999999" customHeight="1" x14ac:dyDescent="0.25"/>
    <row r="317" spans="2:256" s="15" customFormat="1" ht="16.149999999999999" customHeight="1" x14ac:dyDescent="0.25"/>
    <row r="318" spans="2:256" s="15" customFormat="1" ht="16.149999999999999" customHeight="1" x14ac:dyDescent="0.25"/>
    <row r="319" spans="2:256" s="15" customFormat="1" ht="16.149999999999999" customHeight="1" x14ac:dyDescent="0.25"/>
    <row r="320" spans="2:256" s="15" customFormat="1" ht="16.149999999999999" customHeight="1" x14ac:dyDescent="0.25"/>
    <row r="321" s="15" customFormat="1" ht="16.149999999999999" customHeight="1" x14ac:dyDescent="0.25"/>
    <row r="322" s="15" customFormat="1" ht="16.149999999999999" customHeight="1" x14ac:dyDescent="0.25"/>
    <row r="323" s="15" customFormat="1" ht="16.149999999999999" customHeight="1" x14ac:dyDescent="0.25"/>
    <row r="324" s="15" customFormat="1" ht="16.149999999999999" customHeight="1" x14ac:dyDescent="0.25"/>
    <row r="325" s="15" customFormat="1" ht="16.149999999999999" customHeight="1" x14ac:dyDescent="0.25"/>
    <row r="326" s="15" customFormat="1" ht="16.149999999999999" customHeight="1" x14ac:dyDescent="0.25"/>
    <row r="327" s="15" customFormat="1" ht="16.149999999999999" customHeight="1" x14ac:dyDescent="0.25"/>
    <row r="328" s="15" customFormat="1" ht="16.149999999999999" customHeight="1" x14ac:dyDescent="0.25"/>
    <row r="329" s="15" customFormat="1" ht="16.149999999999999" customHeight="1" x14ac:dyDescent="0.25"/>
    <row r="330" s="15" customFormat="1" ht="16.149999999999999" customHeight="1" x14ac:dyDescent="0.25"/>
    <row r="331" s="15" customFormat="1" ht="16.149999999999999" customHeight="1" x14ac:dyDescent="0.25"/>
    <row r="332" s="15" customFormat="1" ht="16.149999999999999" customHeight="1" x14ac:dyDescent="0.25"/>
    <row r="333" s="15" customFormat="1" ht="16.149999999999999" customHeight="1" x14ac:dyDescent="0.25"/>
    <row r="334" s="15" customFormat="1" ht="16.149999999999999" customHeight="1" x14ac:dyDescent="0.25"/>
    <row r="335" s="15" customFormat="1" ht="16.149999999999999" customHeight="1" x14ac:dyDescent="0.25"/>
    <row r="336" s="15" customFormat="1" ht="16.149999999999999" customHeight="1" x14ac:dyDescent="0.25"/>
    <row r="337" spans="2:256" s="15" customFormat="1" ht="16.149999999999999" customHeight="1" x14ac:dyDescent="0.25"/>
    <row r="338" spans="2:256" s="15" customFormat="1" ht="16.149999999999999" customHeight="1" x14ac:dyDescent="0.25"/>
    <row r="339" spans="2:256" s="15" customFormat="1" ht="16.149999999999999" customHeight="1" x14ac:dyDescent="0.25"/>
    <row r="340" spans="2:256" s="15" customFormat="1" ht="16.149999999999999" customHeight="1" x14ac:dyDescent="0.25"/>
    <row r="341" spans="2:256" s="15" customFormat="1" ht="16.149999999999999" customHeight="1" x14ac:dyDescent="0.25"/>
    <row r="342" spans="2:256" s="15" customFormat="1" ht="16.149999999999999" customHeight="1" x14ac:dyDescent="0.25"/>
    <row r="343" spans="2:256" ht="15" customHeight="1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x14ac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x14ac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x14ac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x14ac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x14ac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x14ac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x14ac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x14ac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x14ac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jHQlV0U0hlv/7FO3G7Qp+3/QR6TgBf19augn4JIUtqN/SHjjLnUhekcYBzUkN1YBQZfGjexHxUj/HonYSowccg==" saltValue="RNLKEdyH6zLU/T9fTLsTCw==" spinCount="100000" sheet="1" formatCells="0" formatColumns="0" formatRows="0" insertColumns="0" insertRows="0" insertHyperlinks="0" deleteColumns="0" deleteRows="0" sort="0" autoFilter="0" pivotTables="0"/>
  <mergeCells count="331"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EE000ACB-A6DF-4BC4-9F0C-A3E412C943F2}">
          <x14:formula1>
            <xm:f>Common_Defect_List!$A:$A</xm:f>
          </x14:formula1>
          <xm:sqref>D32</xm:sqref>
        </x14:dataValidation>
        <x14:dataValidation type="list" allowBlank="1" showInputMessage="1" xr:uid="{D3CEBDA4-D76E-46D8-A8DB-FFF61387CC78}">
          <x14:formula1>
            <xm:f>Common_Defect_List!$B$2:$B$5</xm:f>
          </x14:formula1>
          <xm:sqref>V132:V176 V79:V115 V194:V229 V247:V285 V11:V62</xm:sqref>
        </x14:dataValidation>
        <x14:dataValidation type="list" allowBlank="1" showInputMessage="1" xr:uid="{5D4A1FC6-6A55-4E49-AB55-22EDA8C7D4AC}">
          <x14:formula1>
            <xm:f>'Breakdown of areas'!$A:$A</xm:f>
          </x14:formula1>
          <xm:sqref>D11:U62 D94:U94</xm:sqref>
        </x14:dataValidation>
        <x14:dataValidation type="list" allowBlank="1" showInputMessage="1" xr:uid="{905BAF85-C435-431E-BED8-3EB7E20B03F2}">
          <x14:formula1>
            <xm:f>'Breakdown of areas'!$B:$B</xm:f>
          </x14:formula1>
          <xm:sqref>D79:U81 D83:U92</xm:sqref>
        </x14:dataValidation>
        <x14:dataValidation type="list" allowBlank="1" showInputMessage="1" xr:uid="{D98FE278-DF1A-4EE5-97B0-2706908B6691}">
          <x14:formula1>
            <xm:f>'Breakdown of areas'!$D:$D</xm:f>
          </x14:formula1>
          <xm:sqref>D105:U115</xm:sqref>
        </x14:dataValidation>
        <x14:dataValidation type="list" allowBlank="1" showInputMessage="1" xr:uid="{DCE406C5-7B4C-4B16-948D-31FB4E936CA3}">
          <x14:formula1>
            <xm:f>'Breakdown of areas'!$G:$G</xm:f>
          </x14:formula1>
          <xm:sqref>D133:U147</xm:sqref>
        </x14:dataValidation>
        <x14:dataValidation type="list" allowBlank="1" showInputMessage="1" xr:uid="{7F6D248F-29B9-444A-80EC-737C468BF253}">
          <x14:formula1>
            <xm:f>'Breakdown of areas'!$E:$E</xm:f>
          </x14:formula1>
          <xm:sqref>D149:U164 D82:U82</xm:sqref>
        </x14:dataValidation>
        <x14:dataValidation type="list" allowBlank="1" showInputMessage="1" xr:uid="{A1368418-6D28-455E-B91B-E5CDBDB971F1}">
          <x14:formula1>
            <xm:f>'Breakdown of areas'!$F:$F</xm:f>
          </x14:formula1>
          <xm:sqref>D166:U176</xm:sqref>
        </x14:dataValidation>
        <x14:dataValidation type="list" allowBlank="1" showInputMessage="1" xr:uid="{145D64F4-921F-42DC-9E14-81444069B63A}">
          <x14:formula1>
            <xm:f>'Breakdown of areas'!$H:$H</xm:f>
          </x14:formula1>
          <xm:sqref>D194:U214</xm:sqref>
        </x14:dataValidation>
        <x14:dataValidation type="list" allowBlank="1" showInputMessage="1" xr:uid="{1DA518C9-92D9-45CA-AFC5-853DCDD98079}">
          <x14:formula1>
            <xm:f>'Breakdown of areas'!$I:$I</xm:f>
          </x14:formula1>
          <xm:sqref>D216:U218 D220:U229 D257:U257</xm:sqref>
        </x14:dataValidation>
        <x14:dataValidation type="list" allowBlank="1" showInputMessage="1" xr:uid="{EF064B57-2B21-4EC9-A37A-5653BDD21B53}">
          <x14:formula1>
            <xm:f>'Breakdown of areas'!$J:$J</xm:f>
          </x14:formula1>
          <xm:sqref>D219:U219 D247:U256 D258:U263</xm:sqref>
        </x14:dataValidation>
        <x14:dataValidation type="list" allowBlank="1" showInputMessage="1" xr:uid="{13BB7584-374F-4D2A-96D8-C3505D6A2498}">
          <x14:formula1>
            <xm:f>'Breakdown of areas'!$K:$K</xm:f>
          </x14:formula1>
          <xm:sqref>D265:U278</xm:sqref>
        </x14:dataValidation>
        <x14:dataValidation type="list" allowBlank="1" showInputMessage="1" xr:uid="{D8209D8C-E173-4326-8CC7-2F5334D2294C}">
          <x14:formula1>
            <xm:f>'Breakdown of areas'!$L:$L</xm:f>
          </x14:formula1>
          <xm:sqref>D280:U285</xm:sqref>
        </x14:dataValidation>
        <x14:dataValidation type="list" allowBlank="1" showInputMessage="1" xr:uid="{C7A8AEDF-1062-477C-80E7-A296C9CED290}">
          <x14:formula1>
            <xm:f>'Breakdown of areas'!$C:$C</xm:f>
          </x14:formula1>
          <xm:sqref>D95:U103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D273-CCD8-4F52-89BF-0378D9978E81}">
  <sheetPr>
    <pageSetUpPr fitToPage="1"/>
  </sheetPr>
  <dimension ref="A1:IV400"/>
  <sheetViews>
    <sheetView view="pageBreakPreview" topLeftCell="A258" zoomScaleNormal="100" zoomScaleSheetLayoutView="100" workbookViewId="0">
      <selection activeCell="D283" sqref="D283:U283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182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0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x14ac:dyDescent="0.3">
      <c r="B11" s="8"/>
      <c r="C11" s="11">
        <v>1</v>
      </c>
      <c r="D11" s="101" t="s">
        <v>183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/>
      <c r="W11" s="10"/>
      <c r="X11" s="10"/>
      <c r="Y11" s="10"/>
      <c r="Z11" s="10"/>
    </row>
    <row r="12" spans="2:29" s="4" customFormat="1" ht="16.350000000000001" customHeight="1" thickBot="1" x14ac:dyDescent="0.3">
      <c r="B12" s="8"/>
      <c r="C12" s="11">
        <f>IF(ISTEXT(D12),MAX($C$10:C11)+1,"")</f>
        <v>2</v>
      </c>
      <c r="D12" s="101" t="s">
        <v>184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/>
      <c r="W12" s="10"/>
      <c r="X12" s="10"/>
      <c r="Y12" s="10"/>
      <c r="Z12" s="10"/>
    </row>
    <row r="13" spans="2:29" s="4" customFormat="1" ht="16.350000000000001" customHeight="1" thickBot="1" x14ac:dyDescent="0.3">
      <c r="B13" s="8"/>
      <c r="C13" s="11">
        <f>IF(ISTEXT(D13),MAX($C$10:C12)+1,"")</f>
        <v>3</v>
      </c>
      <c r="D13" s="101" t="s">
        <v>185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/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f>IF(ISTEXT(D14),MAX($C$10:C13)+1,"")</f>
        <v>4</v>
      </c>
      <c r="D14" s="101" t="s">
        <v>186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/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f>IF(ISTEXT(D15),MAX($C$10:C14)+1,"")</f>
        <v>5</v>
      </c>
      <c r="D15" s="101" t="s">
        <v>187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/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f>IF(ISTEXT(D16),MAX($C$10:C15)+1,"")</f>
        <v>6</v>
      </c>
      <c r="D16" s="101" t="s">
        <v>188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/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f>IF(ISTEXT(D17),MAX($C$10:C16)+1,"")</f>
        <v>7</v>
      </c>
      <c r="D17" s="101" t="s">
        <v>189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/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f>IF(ISTEXT(D18),MAX($C$10:C17)+1,"")</f>
        <v>8</v>
      </c>
      <c r="D18" s="101" t="s">
        <v>190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/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f>IF(ISTEXT(D19),MAX($C$10:C18)+1,"")</f>
        <v>9</v>
      </c>
      <c r="D19" s="101" t="s">
        <v>191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/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f>IF(ISTEXT(D20),MAX($C$10:C19)+1,"")</f>
        <v>10</v>
      </c>
      <c r="D20" s="101" t="s">
        <v>192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/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f>IF(ISTEXT(D21),MAX($C$10:C20)+1,"")</f>
        <v>11</v>
      </c>
      <c r="D21" s="101" t="s">
        <v>193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/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f>IF(ISTEXT(D22),MAX($C$10:C21)+1,"")</f>
        <v>12</v>
      </c>
      <c r="D22" s="101" t="s">
        <v>194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/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f>IF(ISTEXT(D23),MAX($C$10:C22)+1,"")</f>
        <v>13</v>
      </c>
      <c r="D23" s="101" t="s">
        <v>195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/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f>IF(ISTEXT(D24),MAX($C$10:C23)+1,"")</f>
        <v>14</v>
      </c>
      <c r="D24" s="101" t="s">
        <v>196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/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f>IF(ISTEXT(D25),MAX($C$10:C24)+1,"")</f>
        <v>15</v>
      </c>
      <c r="D25" s="101" t="s">
        <v>197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/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f>IF(ISTEXT(D26),MAX($C$10:C25)+1,"")</f>
        <v>16</v>
      </c>
      <c r="D26" s="101" t="s">
        <v>198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/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f>IF(ISTEXT(D27),MAX($C$10:C26)+1,"")</f>
        <v>17</v>
      </c>
      <c r="D27" s="137" t="s">
        <v>199</v>
      </c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9"/>
      <c r="V27" s="10"/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f>IF(ISTEXT(D28),MAX($C$10:C27)+1,"")</f>
        <v>18</v>
      </c>
      <c r="D28" s="137" t="s">
        <v>35</v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9"/>
      <c r="V28" s="10"/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f>IF(ISTEXT(D29),MAX($C$10:C28)+1,"")</f>
        <v>19</v>
      </c>
      <c r="D29" s="101" t="s">
        <v>200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/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f>IF(ISTEXT(D30),MAX($C$10:C29)+1,"")</f>
        <v>20</v>
      </c>
      <c r="D30" s="101" t="s">
        <v>201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/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f>IF(ISTEXT(D31),MAX($C$10:C30)+1,"")</f>
        <v>21</v>
      </c>
      <c r="D31" s="101" t="s">
        <v>202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/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f>IF(ISTEXT(D32),MAX($C$10:C31)+1,"")</f>
        <v>22</v>
      </c>
      <c r="D32" s="101" t="s">
        <v>203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/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f>IF(ISTEXT(D33),MAX($C$10:C32)+1,"")</f>
        <v>23</v>
      </c>
      <c r="D33" s="147" t="s">
        <v>204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/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>
        <f>IF(ISTEXT(D34),MAX($C$10:C33)+1,"")</f>
        <v>24</v>
      </c>
      <c r="D34" s="101" t="s">
        <v>205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/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>
        <f>IF(ISTEXT(D35),MAX($C$10:C34)+1,"")</f>
        <v>25</v>
      </c>
      <c r="D35" s="101" t="s">
        <v>206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/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 t="str">
        <f>IF(ISTEXT(D36),MAX($C$10:C35)+1,"")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/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 t="str">
        <f>IF(ISTEXT(D37),MAX($C$10:C36)+1,"")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/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 t="str">
        <f>IF(ISTEXT(D38),MAX($C$10:C37)+1,"")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/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/>
      <c r="W39" s="10"/>
      <c r="X39" s="10"/>
      <c r="Y39" s="10"/>
      <c r="Z39" s="10"/>
    </row>
    <row r="40" spans="2:26" s="4" customFormat="1" ht="15" customHeight="1" thickBot="1" x14ac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/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/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/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/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/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/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/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6.350000000000001" customHeight="1" thickBot="1" x14ac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/>
      <c r="W50" s="10"/>
      <c r="X50" s="10"/>
      <c r="Y50" s="10"/>
      <c r="Z50" s="10"/>
    </row>
    <row r="51" spans="2:26" s="4" customFormat="1" ht="16.350000000000001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/>
      <c r="W53" s="10"/>
      <c r="X53" s="10"/>
      <c r="Y53" s="10"/>
      <c r="Z53" s="10"/>
    </row>
    <row r="54" spans="2:26" s="4" customFormat="1" ht="16.350000000000001" customHeight="1" thickBot="1" x14ac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/>
      <c r="W54" s="10"/>
      <c r="X54" s="10"/>
      <c r="Y54" s="10"/>
      <c r="Z54" s="10"/>
    </row>
    <row r="55" spans="2:26" s="4" customFormat="1" ht="16.350000000000001" customHeight="1" thickBot="1" x14ac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/>
      <c r="W55" s="10"/>
      <c r="X55" s="10"/>
      <c r="Y55" s="10"/>
      <c r="Z55" s="10"/>
    </row>
    <row r="56" spans="2:26" s="4" customFormat="1" ht="16.350000000000001" customHeight="1" thickBot="1" x14ac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/>
      <c r="W56" s="18"/>
      <c r="X56" s="10"/>
      <c r="Y56" s="10"/>
      <c r="Z56" s="10"/>
    </row>
    <row r="57" spans="2:26" s="4" customFormat="1" ht="16.350000000000001" customHeight="1" thickBot="1" x14ac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/>
      <c r="W57" s="18"/>
      <c r="X57" s="10"/>
      <c r="Y57" s="10"/>
      <c r="Z57" s="10"/>
    </row>
    <row r="58" spans="2:26" s="15" customFormat="1" ht="15" customHeight="1" thickBot="1" x14ac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/>
      <c r="W58" s="14"/>
      <c r="X58" s="14"/>
      <c r="Y58" s="14"/>
      <c r="Z58" s="14"/>
    </row>
    <row r="59" spans="2:26" s="4" customFormat="1" ht="15.95" customHeight="1" thickBot="1" x14ac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/>
      <c r="W59" s="10"/>
      <c r="X59" s="10"/>
      <c r="Y59" s="10"/>
      <c r="Z59" s="10"/>
    </row>
    <row r="60" spans="2:26" s="4" customFormat="1" ht="15.95" customHeight="1" thickBot="1" x14ac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/>
      <c r="W60" s="10"/>
      <c r="X60" s="10"/>
      <c r="Y60" s="10"/>
      <c r="Z60" s="10"/>
    </row>
    <row r="61" spans="2:26" s="4" customFormat="1" ht="16.350000000000001" customHeight="1" thickBot="1" x14ac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/>
      <c r="W61" s="10"/>
      <c r="X61" s="10"/>
      <c r="Y61" s="10"/>
      <c r="Z61" s="10"/>
    </row>
    <row r="62" spans="2:26" s="4" customFormat="1" ht="16.350000000000001" customHeight="1" thickBot="1" x14ac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/>
      <c r="W62" s="10"/>
      <c r="X62" s="10"/>
      <c r="Y62" s="10"/>
      <c r="Z62" s="10"/>
    </row>
    <row r="63" spans="2:26" s="1" customFormat="1" ht="15" customHeight="1" x14ac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</row>
    <row r="64" spans="2:26" x14ac:dyDescent="0.25">
      <c r="B64" s="20"/>
      <c r="C64" s="21"/>
      <c r="O64" s="22"/>
      <c r="P64" s="22"/>
      <c r="Q64" s="23"/>
      <c r="R64" s="23"/>
      <c r="S64" s="22"/>
      <c r="T64" s="22"/>
    </row>
    <row r="65" spans="2:26" s="1" customFormat="1" ht="13.5" thickBot="1" x14ac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</row>
    <row r="66" spans="2:26" ht="15" customHeight="1" x14ac:dyDescent="0.25">
      <c r="C66" s="29"/>
      <c r="I66" s="30"/>
      <c r="O66" s="65"/>
      <c r="P66" s="65"/>
      <c r="Q66" s="60"/>
      <c r="R66" s="60"/>
      <c r="S66" s="65"/>
      <c r="T66" s="65"/>
    </row>
    <row r="67" spans="2:26" ht="18" customHeight="1" thickBot="1" x14ac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/>
      <c r="W67" s="62"/>
      <c r="X67" s="62"/>
      <c r="Y67" s="62"/>
    </row>
    <row r="68" spans="2:26" ht="15" customHeight="1" thickBot="1" x14ac:dyDescent="0.3"/>
    <row r="69" spans="2:26" ht="15" customHeight="1" x14ac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2" t="s">
        <v>65</v>
      </c>
      <c r="X69" s="79"/>
      <c r="Y69" s="79"/>
      <c r="Z69" s="79"/>
    </row>
    <row r="70" spans="2:26" ht="15" customHeight="1" thickBot="1" x14ac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2:26" ht="10.5" customHeight="1" thickBot="1" x14ac:dyDescent="0.3"/>
    <row r="72" spans="2:26" ht="15" customHeight="1" thickBot="1" x14ac:dyDescent="0.3">
      <c r="J72" s="79" t="s">
        <v>2</v>
      </c>
      <c r="K72" s="79"/>
      <c r="L72" s="79"/>
      <c r="M72" s="80" t="str">
        <f>M4</f>
        <v>C1016</v>
      </c>
      <c r="N72" s="80"/>
      <c r="O72" s="80"/>
      <c r="P72" s="80"/>
    </row>
    <row r="73" spans="2:26" s="15" customFormat="1" ht="15" customHeight="1" thickBot="1" x14ac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/>
    </row>
    <row r="74" spans="2:26" s="15" customFormat="1" ht="15.95" customHeight="1" thickBot="1" x14ac:dyDescent="0.3"/>
    <row r="75" spans="2:26" s="15" customFormat="1" ht="15" customHeight="1" thickBot="1" x14ac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/>
      <c r="W75" s="60"/>
      <c r="X75" s="23"/>
    </row>
    <row r="76" spans="2:26" s="15" customFormat="1" ht="15" customHeight="1" thickBot="1" x14ac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s="15" customFormat="1" ht="22.5" customHeight="1" thickBot="1" x14ac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 t="s">
        <v>8</v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x14ac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/>
      <c r="W78" s="14"/>
      <c r="X78" s="14"/>
      <c r="Y78" s="14"/>
      <c r="Z78" s="14"/>
    </row>
    <row r="79" spans="2:26" s="15" customFormat="1" ht="15.6" customHeight="1" thickBot="1" x14ac:dyDescent="0.25">
      <c r="B79" s="8"/>
      <c r="C79" s="11" t="str">
        <f>IF(ISTEXT(D79),MAX($C$10:C78)+1,"")</f>
        <v/>
      </c>
      <c r="D79" s="95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/>
      <c r="W79" s="14"/>
      <c r="X79" s="14"/>
      <c r="Y79" s="14"/>
      <c r="Z79" s="14"/>
    </row>
    <row r="80" spans="2:26" s="15" customFormat="1" ht="15.6" customHeight="1" thickBot="1" x14ac:dyDescent="0.3">
      <c r="B80" s="8"/>
      <c r="C80" s="11">
        <f>IF(ISTEXT(D80),MAX($C$10:C79)+1,"")</f>
        <v>26</v>
      </c>
      <c r="D80" s="70" t="s">
        <v>207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/>
      <c r="W80" s="14"/>
      <c r="X80" s="14"/>
      <c r="Y80" s="14"/>
      <c r="Z80" s="14"/>
    </row>
    <row r="81" spans="1:26" s="15" customFormat="1" ht="15.6" customHeight="1" thickBot="1" x14ac:dyDescent="0.3">
      <c r="B81" s="8"/>
      <c r="C81" s="11">
        <f>IF(ISTEXT(D81),MAX($C$10:C80)+1,"")</f>
        <v>27</v>
      </c>
      <c r="D81" s="70" t="s">
        <v>208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/>
      <c r="W81" s="14"/>
      <c r="X81" s="14"/>
      <c r="Y81" s="14"/>
      <c r="Z81" s="14"/>
    </row>
    <row r="82" spans="1:26" s="15" customFormat="1" ht="16.149999999999999" customHeight="1" thickBot="1" x14ac:dyDescent="0.3">
      <c r="B82" s="8"/>
      <c r="C82" s="11">
        <f>IF(ISTEXT(D82),MAX($C$10:C81)+1,"")</f>
        <v>28</v>
      </c>
      <c r="D82" s="70" t="s">
        <v>209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/>
      <c r="W82" s="14"/>
      <c r="X82" s="14"/>
      <c r="Y82" s="14"/>
      <c r="Z82" s="14"/>
    </row>
    <row r="83" spans="1:26" s="15" customFormat="1" ht="16.149999999999999" customHeight="1" thickBot="1" x14ac:dyDescent="0.3">
      <c r="B83" s="8"/>
      <c r="C83" s="11">
        <f>IF(ISTEXT(D83),MAX($C$10:C82)+1,"")</f>
        <v>29</v>
      </c>
      <c r="D83" s="70" t="s">
        <v>210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/>
      <c r="W83" s="14"/>
      <c r="X83" s="14"/>
      <c r="Y83" s="14"/>
      <c r="Z83" s="14"/>
    </row>
    <row r="84" spans="1:26" s="15" customFormat="1" ht="16.149999999999999" customHeight="1" thickBot="1" x14ac:dyDescent="0.3">
      <c r="B84" s="8"/>
      <c r="C84" s="11">
        <f>IF(ISTEXT(D84),MAX($C$10:C83)+1,"")</f>
        <v>30</v>
      </c>
      <c r="D84" s="70" t="s">
        <v>211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/>
      <c r="W84" s="14"/>
      <c r="X84" s="14"/>
      <c r="Y84" s="14"/>
      <c r="Z84" s="14"/>
    </row>
    <row r="85" spans="1:26" s="15" customFormat="1" ht="16.149999999999999" customHeight="1" thickBot="1" x14ac:dyDescent="0.3">
      <c r="B85" s="8"/>
      <c r="C85" s="11">
        <f>IF(ISTEXT(D85),MAX($C$10:C84)+1,"")</f>
        <v>31</v>
      </c>
      <c r="D85" s="70" t="s">
        <v>79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/>
      <c r="W85" s="14"/>
      <c r="X85" s="14"/>
      <c r="Y85" s="14"/>
      <c r="Z85" s="14"/>
    </row>
    <row r="86" spans="1:26" s="15" customFormat="1" ht="16.149999999999999" customHeight="1" thickBot="1" x14ac:dyDescent="0.3">
      <c r="B86" s="8"/>
      <c r="C86" s="11">
        <f>IF(ISTEXT(D86),MAX($C$10:C85)+1,"")</f>
        <v>32</v>
      </c>
      <c r="D86" s="70" t="s">
        <v>212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/>
      <c r="W86" s="14"/>
      <c r="X86" s="14"/>
      <c r="Y86" s="14"/>
      <c r="Z86" s="14"/>
    </row>
    <row r="87" spans="1:26" ht="16.149999999999999" customHeight="1" thickBot="1" x14ac:dyDescent="0.3">
      <c r="B87" s="8"/>
      <c r="C87" s="11">
        <f>IF(ISTEXT(D87),MAX($C$10:C86)+1,"")</f>
        <v>33</v>
      </c>
      <c r="D87" s="143" t="s">
        <v>213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/>
      <c r="W87" s="14"/>
      <c r="X87" s="14"/>
      <c r="Y87" s="14"/>
      <c r="Z87" s="14"/>
    </row>
    <row r="88" spans="1:26" s="15" customFormat="1" ht="16.149999999999999" customHeight="1" thickBot="1" x14ac:dyDescent="0.3">
      <c r="A88" s="36"/>
      <c r="B88" s="37"/>
      <c r="C88" s="11" t="str">
        <f>IF(ISTEXT(D88),MAX($C$10:C87)+1,"")</f>
        <v/>
      </c>
      <c r="D88" s="143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/>
      <c r="W88" s="14"/>
      <c r="X88" s="14"/>
      <c r="Y88" s="14"/>
      <c r="Z88" s="14"/>
    </row>
    <row r="89" spans="1:26" s="15" customFormat="1" ht="16.149999999999999" customHeight="1" thickBot="1" x14ac:dyDescent="0.3">
      <c r="B89" s="8"/>
      <c r="C89" s="11" t="str">
        <f>IF(ISTEXT(D89),MAX($C$10:C88)+1,"")</f>
        <v/>
      </c>
      <c r="D89" s="143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/>
      <c r="W89" s="14"/>
      <c r="X89" s="14"/>
      <c r="Y89" s="14"/>
      <c r="Z89" s="14"/>
    </row>
    <row r="90" spans="1:26" s="15" customFormat="1" ht="16.149999999999999" customHeight="1" thickBot="1" x14ac:dyDescent="0.3">
      <c r="B90" s="8"/>
      <c r="C90" s="11" t="str">
        <f>IF(ISTEXT(D90),MAX($C$10:C89)+1,"")</f>
        <v/>
      </c>
      <c r="D90" s="143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/>
      <c r="W90" s="14"/>
      <c r="X90" s="14"/>
      <c r="Y90" s="14"/>
      <c r="Z90" s="14"/>
    </row>
    <row r="91" spans="1:26" s="15" customFormat="1" ht="16.149999999999999" customHeight="1" thickBot="1" x14ac:dyDescent="0.3">
      <c r="B91" s="8"/>
      <c r="C91" s="11" t="str">
        <f>IF(ISTEXT(D91),MAX($C$10:C90)+1,"")</f>
        <v/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/>
      <c r="W91" s="14"/>
      <c r="X91" s="14"/>
      <c r="Y91" s="14"/>
      <c r="Z91" s="14"/>
    </row>
    <row r="92" spans="1:26" s="15" customFormat="1" ht="16.149999999999999" customHeight="1" thickBot="1" x14ac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/>
      <c r="W92" s="14"/>
      <c r="X92" s="14"/>
      <c r="Y92" s="14"/>
      <c r="Z92" s="14"/>
    </row>
    <row r="93" spans="1:26" s="15" customFormat="1" ht="16.149999999999999" customHeight="1" thickBot="1" x14ac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/>
      <c r="W93" s="14"/>
      <c r="X93" s="14"/>
      <c r="Y93" s="14"/>
      <c r="Z93" s="14"/>
    </row>
    <row r="94" spans="1:26" s="15" customFormat="1" ht="16.149999999999999" customHeight="1" thickBot="1" x14ac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/>
      <c r="W94" s="14"/>
      <c r="X94" s="14"/>
      <c r="Y94" s="14"/>
      <c r="Z94" s="14"/>
    </row>
    <row r="95" spans="1:26" s="15" customFormat="1" ht="16.149999999999999" customHeight="1" thickBot="1" x14ac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/>
      <c r="W95" s="14"/>
      <c r="X95" s="14"/>
      <c r="Y95" s="14"/>
      <c r="Z95" s="14"/>
    </row>
    <row r="96" spans="1:26" s="15" customFormat="1" ht="16.149999999999999" customHeight="1" thickBot="1" x14ac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/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/>
      <c r="D97" s="73" t="s">
        <v>214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5"/>
      <c r="V97" s="10"/>
      <c r="W97" s="14"/>
      <c r="X97" s="14"/>
      <c r="Y97" s="14"/>
      <c r="Z97" s="14"/>
    </row>
    <row r="98" spans="2:26" s="15" customFormat="1" ht="16.149999999999999" customHeight="1" thickBot="1" x14ac:dyDescent="0.3">
      <c r="B98" s="8"/>
      <c r="C98" s="11">
        <f>IF(ISTEXT(D98),MAX($C$10:C97)+1,"")</f>
        <v>34</v>
      </c>
      <c r="D98" s="70" t="s">
        <v>204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/>
      <c r="W98" s="14"/>
      <c r="X98" s="14"/>
      <c r="Y98" s="14"/>
      <c r="Z98" s="14"/>
    </row>
    <row r="99" spans="2:26" s="15" customFormat="1" ht="15.95" customHeight="1" thickBot="1" x14ac:dyDescent="0.3">
      <c r="B99" s="8"/>
      <c r="C99" s="11">
        <f>IF(ISTEXT(D99),MAX($C$10:C98)+1,"")</f>
        <v>35</v>
      </c>
      <c r="D99" s="70" t="s">
        <v>208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/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36</v>
      </c>
      <c r="D100" s="70" t="s">
        <v>209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/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37</v>
      </c>
      <c r="D101" s="70" t="s">
        <v>215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/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38</v>
      </c>
      <c r="D102" s="70" t="s">
        <v>216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/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>
        <f>IF(ISTEXT(D103),MAX($C$10:C102)+1,"")</f>
        <v>39</v>
      </c>
      <c r="D103" s="70" t="s">
        <v>217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/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40</v>
      </c>
      <c r="D104" s="70" t="s">
        <v>212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/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>
        <f>IF(ISTEXT(D105),MAX($C$10:C104)+1,"")</f>
        <v>41</v>
      </c>
      <c r="D105" s="70" t="s">
        <v>218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/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>
        <f>IF(ISTEXT(D106),MAX($C$10:C105)+1,"")</f>
        <v>42</v>
      </c>
      <c r="D106" s="70" t="s">
        <v>219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/>
      <c r="W106" s="14"/>
      <c r="X106" s="14"/>
      <c r="Y106" s="14"/>
      <c r="Z106" s="14"/>
    </row>
    <row r="107" spans="2:26" s="15" customFormat="1" ht="19.149999999999999" customHeight="1" thickBot="1" x14ac:dyDescent="0.3">
      <c r="B107" s="8"/>
      <c r="C107" s="11">
        <f>IF(ISTEXT(D107),MAX($C$10:C106)+1,"")</f>
        <v>43</v>
      </c>
      <c r="D107" s="70" t="s">
        <v>220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/>
      <c r="W107" s="14"/>
      <c r="X107" s="14"/>
      <c r="Y107" s="14"/>
      <c r="Z107" s="14"/>
    </row>
    <row r="108" spans="2:26" s="15" customFormat="1" ht="16.149999999999999" customHeight="1" thickBot="1" x14ac:dyDescent="0.3">
      <c r="B108" s="8"/>
      <c r="C108" s="11">
        <f>IF(ISTEXT(D108),MAX($C$10:C107)+1,"")</f>
        <v>44</v>
      </c>
      <c r="D108" s="70" t="s">
        <v>221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/>
      <c r="W108" s="14"/>
      <c r="X108" s="14"/>
      <c r="Y108" s="14"/>
      <c r="Z108" s="14"/>
    </row>
    <row r="109" spans="2:26" s="15" customFormat="1" ht="16.149999999999999" customHeight="1" thickBot="1" x14ac:dyDescent="0.3">
      <c r="B109" s="8"/>
      <c r="C109" s="11">
        <f>IF(ISTEXT(D109),MAX($C$10:C108)+1,"")</f>
        <v>45</v>
      </c>
      <c r="D109" s="70" t="s">
        <v>222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/>
      <c r="W109" s="14"/>
      <c r="X109" s="14"/>
      <c r="Y109" s="14"/>
      <c r="Z109" s="14"/>
    </row>
    <row r="110" spans="2:26" s="15" customFormat="1" ht="16.149999999999999" customHeight="1" thickBot="1" x14ac:dyDescent="0.3">
      <c r="B110" s="8"/>
      <c r="C110" s="11">
        <f>IF(ISTEXT(D110),MAX($C$10:C109)+1,"")</f>
        <v>46</v>
      </c>
      <c r="D110" s="140" t="s">
        <v>223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/>
      <c r="W110" s="14"/>
      <c r="X110" s="14"/>
      <c r="Y110" s="14"/>
      <c r="Z110" s="14"/>
    </row>
    <row r="111" spans="2:26" s="15" customFormat="1" ht="16.149999999999999" customHeight="1" thickBot="1" x14ac:dyDescent="0.3">
      <c r="B111" s="8"/>
      <c r="C111" s="11">
        <f>IF(ISTEXT(D111),MAX($C$10:C110)+1,"")</f>
        <v>47</v>
      </c>
      <c r="D111" s="140" t="s">
        <v>224</v>
      </c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2"/>
      <c r="V111" s="10"/>
      <c r="W111" s="14"/>
      <c r="X111" s="14"/>
      <c r="Y111" s="14"/>
      <c r="Z111" s="14"/>
    </row>
    <row r="112" spans="2:26" s="15" customFormat="1" ht="16.149999999999999" customHeight="1" thickBot="1" x14ac:dyDescent="0.3">
      <c r="B112" s="8"/>
      <c r="C112" s="11">
        <f>IF(ISTEXT(D112),MAX($C$10:C111)+1,"")</f>
        <v>48</v>
      </c>
      <c r="D112" s="140" t="s">
        <v>225</v>
      </c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/>
      <c r="W112" s="14"/>
      <c r="X112" s="14"/>
      <c r="Y112" s="14"/>
      <c r="Z112" s="14"/>
    </row>
    <row r="113" spans="2:26" s="15" customFormat="1" ht="16.149999999999999" customHeight="1" thickBot="1" x14ac:dyDescent="0.3">
      <c r="B113" s="8"/>
      <c r="C113" s="11"/>
      <c r="D113" s="73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/>
      <c r="W113" s="14"/>
      <c r="X113" s="14"/>
      <c r="Y113" s="14"/>
      <c r="Z113" s="14"/>
    </row>
    <row r="114" spans="2:26" s="15" customFormat="1" ht="16.149999999999999" customHeight="1" thickBot="1" x14ac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/>
      <c r="W114" s="14"/>
      <c r="X114" s="14"/>
      <c r="Y114" s="14"/>
      <c r="Z114" s="14"/>
    </row>
    <row r="115" spans="2:26" s="15" customFormat="1" ht="16.149999999999999" customHeight="1" thickBot="1" x14ac:dyDescent="0.3">
      <c r="B115" s="8"/>
      <c r="C115" s="11" t="str">
        <f>IF(ISTEXT(D114),MAX($C$10:C114)+1,"")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/>
      <c r="W115" s="14"/>
      <c r="X115" s="14"/>
      <c r="Y115" s="14"/>
      <c r="Z115" s="14"/>
    </row>
    <row r="116" spans="2:26" ht="15" customHeight="1" x14ac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</row>
    <row r="117" spans="2:26" x14ac:dyDescent="0.25">
      <c r="B117" s="20"/>
      <c r="C117" s="21"/>
      <c r="O117" s="22"/>
      <c r="P117" s="22"/>
      <c r="Q117" s="23"/>
      <c r="R117" s="23"/>
      <c r="S117" s="22"/>
      <c r="T117" s="22"/>
    </row>
    <row r="118" spans="2:26" ht="15.75" thickBot="1" x14ac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</row>
    <row r="119" spans="2:26" ht="15" customHeight="1" x14ac:dyDescent="0.25">
      <c r="C119" s="29"/>
      <c r="I119" s="30"/>
      <c r="O119" s="65"/>
      <c r="P119" s="65"/>
      <c r="Q119" s="60"/>
      <c r="R119" s="60"/>
      <c r="S119" s="65"/>
      <c r="T119" s="65"/>
    </row>
    <row r="120" spans="2:26" ht="18" customHeight="1" thickBot="1" x14ac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/>
      <c r="W120" s="62"/>
      <c r="X120" s="62"/>
      <c r="Y120" s="62"/>
    </row>
    <row r="121" spans="2:26" ht="15" customHeight="1" x14ac:dyDescent="0.25"/>
    <row r="122" spans="2:26" ht="15" customHeight="1" thickBot="1" x14ac:dyDescent="0.3"/>
    <row r="123" spans="2:26" ht="15" customHeight="1" x14ac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2" t="s">
        <v>99</v>
      </c>
      <c r="X123" s="79"/>
      <c r="Y123" s="79"/>
      <c r="Z123" s="79"/>
    </row>
    <row r="124" spans="2:26" ht="15" customHeight="1" thickBot="1" x14ac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</row>
    <row r="125" spans="2:26" ht="10.5" customHeight="1" thickBot="1" x14ac:dyDescent="0.3"/>
    <row r="126" spans="2:26" ht="15" customHeight="1" thickBot="1" x14ac:dyDescent="0.3">
      <c r="J126" s="79" t="s">
        <v>2</v>
      </c>
      <c r="K126" s="79"/>
      <c r="L126" s="79"/>
      <c r="M126" s="80" t="str">
        <f>M4</f>
        <v>C1016</v>
      </c>
      <c r="N126" s="80"/>
      <c r="O126" s="80"/>
      <c r="P126" s="80"/>
    </row>
    <row r="127" spans="2:26" s="15" customFormat="1" ht="15" customHeight="1" thickBot="1" x14ac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/>
    </row>
    <row r="128" spans="2:26" s="15" customFormat="1" ht="17.100000000000001" customHeight="1" thickBot="1" x14ac:dyDescent="0.3"/>
    <row r="129" spans="2:26" s="15" customFormat="1" ht="15" customHeight="1" thickBot="1" x14ac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/>
      <c r="W129" s="60"/>
      <c r="X129" s="23"/>
    </row>
    <row r="130" spans="2:26" s="15" customFormat="1" ht="10.5" customHeight="1" thickBot="1" x14ac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2:26" s="15" customFormat="1" ht="21" customHeight="1" thickBot="1" x14ac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 t="s">
        <v>8</v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x14ac:dyDescent="0.3">
      <c r="B132" s="8"/>
      <c r="C132" s="11"/>
      <c r="D132" s="73" t="s">
        <v>100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5"/>
      <c r="V132" s="9"/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>
        <f>IF(ISTEXT(D133),MAX($C$10:C132)+1,"")</f>
        <v>49</v>
      </c>
      <c r="D133" s="70" t="s">
        <v>204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/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>
        <f>IF(ISTEXT(D134),MAX($C$10:C133)+1,"")</f>
        <v>50</v>
      </c>
      <c r="D134" s="70" t="s">
        <v>226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/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>
        <f>IF(ISTEXT(D135),MAX($C$10:C134)+1,"")</f>
        <v>51</v>
      </c>
      <c r="D135" s="70" t="s">
        <v>227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/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>
        <f>IF(ISTEXT(D136),MAX($C$10:C135)+1,"")</f>
        <v>52</v>
      </c>
      <c r="D136" s="70" t="s">
        <v>228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/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>
        <f>IF(ISTEXT(D137),MAX($C$10:C136)+1,"")</f>
        <v>53</v>
      </c>
      <c r="D137" s="70" t="s">
        <v>229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/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>
        <f>IF(ISTEXT(D138),MAX($C$10:C137)+1,"")</f>
        <v>54</v>
      </c>
      <c r="D138" s="70" t="s">
        <v>209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/>
      <c r="W138" s="14"/>
      <c r="X138" s="14"/>
      <c r="Y138" s="14"/>
      <c r="Z138" s="14"/>
    </row>
    <row r="139" spans="2:26" ht="16.149999999999999" customHeight="1" thickBot="1" x14ac:dyDescent="0.3">
      <c r="B139" s="8"/>
      <c r="C139" s="11">
        <f>IF(ISTEXT(D139),MAX($C$10:C138)+1,"")</f>
        <v>55</v>
      </c>
      <c r="D139" s="70" t="s">
        <v>230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/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>
        <f>IF(ISTEXT(D140),MAX($C$10:C139)+1,"")</f>
        <v>56</v>
      </c>
      <c r="D140" s="70" t="s">
        <v>231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/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>
        <f>IF(ISTEXT(D141),MAX($C$10:C140)+1,"")</f>
        <v>57</v>
      </c>
      <c r="D141" s="140" t="s">
        <v>232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/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58</v>
      </c>
      <c r="D142" s="140" t="s">
        <v>233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2"/>
      <c r="V142" s="9"/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59</v>
      </c>
      <c r="D143" s="140" t="s">
        <v>234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/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60</v>
      </c>
      <c r="D144" s="70" t="s">
        <v>235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/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/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/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/>
      <c r="W147" s="14"/>
      <c r="X147" s="14"/>
      <c r="Y147" s="14"/>
      <c r="Z147" s="14"/>
    </row>
    <row r="148" spans="2:26" ht="16.5" thickBot="1" x14ac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/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61</v>
      </c>
      <c r="D149" s="70" t="s">
        <v>204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/>
      <c r="W149" s="14"/>
      <c r="X149" s="14"/>
      <c r="Y149" s="14"/>
      <c r="Z149" s="14"/>
    </row>
    <row r="150" spans="2:26" s="15" customFormat="1" ht="16.149999999999999" customHeight="1" thickBot="1" x14ac:dyDescent="0.3">
      <c r="B150" s="8"/>
      <c r="C150" s="11">
        <f>IF(ISTEXT(D150),MAX($C$10:C149)+1,"")</f>
        <v>62</v>
      </c>
      <c r="D150" s="70" t="s">
        <v>236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/>
      <c r="W150" s="14"/>
      <c r="X150" s="14"/>
      <c r="Y150" s="14"/>
      <c r="Z150" s="14"/>
    </row>
    <row r="151" spans="2:26" s="15" customFormat="1" ht="16.149999999999999" customHeight="1" thickBot="1" x14ac:dyDescent="0.25">
      <c r="B151" s="8"/>
      <c r="C151" s="11">
        <f>IF(ISTEXT(D151),MAX($C$10:C150)+1,"")</f>
        <v>63</v>
      </c>
      <c r="D151" s="95" t="s">
        <v>237</v>
      </c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"/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>
        <f>IF(ISTEXT(D152),MAX($C$10:C151)+1,"")</f>
        <v>64</v>
      </c>
      <c r="D152" s="70" t="s">
        <v>208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/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>
        <f>IF(ISTEXT(D153),MAX($C$10:C152)+1,"")</f>
        <v>65</v>
      </c>
      <c r="D153" s="70" t="s">
        <v>209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/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>
        <f>IF(ISTEXT(D154),MAX($C$10:C153)+1,"")</f>
        <v>66</v>
      </c>
      <c r="D154" s="70" t="s">
        <v>238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>
        <f>IF(ISTEXT(D155),MAX($C$10:C154)+1,"")</f>
        <v>67</v>
      </c>
      <c r="D155" s="70" t="s">
        <v>239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/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>
        <f>IF(ISTEXT(D156),MAX($C$10:C155)+1,"")</f>
        <v>68</v>
      </c>
      <c r="D156" s="70" t="s">
        <v>240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/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69</v>
      </c>
      <c r="D157" s="70" t="s">
        <v>241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/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70</v>
      </c>
      <c r="D158" s="70" t="s">
        <v>242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/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>
        <f>IF(ISTEXT(D159),MAX($C$10:C158)+1,"")</f>
        <v>71</v>
      </c>
      <c r="D159" s="70" t="s">
        <v>79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/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>
        <f>IF(ISTEXT(D160),MAX($C$10:C159)+1,"")</f>
        <v>72</v>
      </c>
      <c r="D160" s="70" t="s">
        <v>243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/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>
        <f>IF(ISTEXT(D161),MAX($C$10:C160)+1,"")</f>
        <v>73</v>
      </c>
      <c r="D161" s="70" t="s">
        <v>244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>
        <f>IF(ISTEXT(D162),MAX($C$10:C161)+1,"")</f>
        <v>74</v>
      </c>
      <c r="D162" s="70" t="s">
        <v>245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/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>
        <f>IF(ISTEXT(D163),MAX($C$10:C162)+1,"")</f>
        <v>75</v>
      </c>
      <c r="D163" s="70" t="s">
        <v>246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/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>
        <f>IF(ISTEXT(D164),MAX($C$10:C163)+1,"")</f>
        <v>76</v>
      </c>
      <c r="D164" s="70" t="s">
        <v>247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/>
      <c r="D165" s="73" t="s">
        <v>120</v>
      </c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5"/>
      <c r="V165" s="9"/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>
        <f>IF(ISTEXT(D166),MAX($C$10:C165)+1,"")</f>
        <v>77</v>
      </c>
      <c r="D166" s="70" t="s">
        <v>248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>
        <f>IF(ISTEXT(D167),MAX($C$10:C166)+1,"")</f>
        <v>78</v>
      </c>
      <c r="D167" s="70" t="s">
        <v>249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/>
      <c r="W167" s="14"/>
      <c r="X167" s="14"/>
      <c r="Y167" s="14"/>
      <c r="Z167" s="14"/>
    </row>
    <row r="168" spans="2:26" s="15" customFormat="1" ht="16.149999999999999" customHeight="1" thickBot="1" x14ac:dyDescent="0.3">
      <c r="B168" s="8"/>
      <c r="C168" s="11">
        <f>IF(ISTEXT(D168),MAX($C$10:C167)+1,"")</f>
        <v>79</v>
      </c>
      <c r="D168" s="70" t="s">
        <v>250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/>
      <c r="W168" s="14"/>
      <c r="X168" s="14"/>
      <c r="Y168" s="14"/>
      <c r="Z168" s="14"/>
    </row>
    <row r="169" spans="2:26" s="15" customFormat="1" ht="16.149999999999999" customHeight="1" thickBot="1" x14ac:dyDescent="0.3">
      <c r="B169" s="8"/>
      <c r="C169" s="11">
        <f>IF(ISTEXT(D169),MAX($C$10:C168)+1,"")</f>
        <v>80</v>
      </c>
      <c r="D169" s="70" t="s">
        <v>251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/>
      <c r="W169" s="14"/>
      <c r="X169" s="14"/>
      <c r="Y169" s="14"/>
      <c r="Z169" s="14"/>
    </row>
    <row r="170" spans="2:26" s="15" customFormat="1" ht="16.149999999999999" customHeight="1" thickBot="1" x14ac:dyDescent="0.3">
      <c r="B170" s="8"/>
      <c r="C170" s="11">
        <f>IF(ISTEXT(D170),MAX($C$10:C169)+1,"")</f>
        <v>81</v>
      </c>
      <c r="D170" s="70" t="s">
        <v>252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/>
      <c r="W170" s="14"/>
      <c r="X170" s="14"/>
      <c r="Y170" s="14"/>
      <c r="Z170" s="14"/>
    </row>
    <row r="171" spans="2:26" s="15" customFormat="1" ht="16.149999999999999" customHeight="1" thickBot="1" x14ac:dyDescent="0.3">
      <c r="B171" s="8"/>
      <c r="C171" s="11">
        <f>IF(ISTEXT(D171),MAX($C$10:C170)+1,"")</f>
        <v>82</v>
      </c>
      <c r="D171" s="70" t="s">
        <v>253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/>
      <c r="W171" s="14"/>
      <c r="X171" s="14"/>
      <c r="Y171" s="14"/>
      <c r="Z171" s="14"/>
    </row>
    <row r="172" spans="2:26" s="15" customFormat="1" ht="16.149999999999999" customHeight="1" thickBot="1" x14ac:dyDescent="0.3">
      <c r="B172" s="8"/>
      <c r="C172" s="11">
        <f>IF(ISTEXT(D172),MAX($C$10:C171)+1,"")</f>
        <v>83</v>
      </c>
      <c r="D172" s="70" t="s">
        <v>254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/>
      <c r="W172" s="14"/>
      <c r="X172" s="14"/>
      <c r="Y172" s="14"/>
      <c r="Z172" s="14"/>
    </row>
    <row r="173" spans="2:26" s="15" customFormat="1" ht="16.149999999999999" customHeight="1" thickBot="1" x14ac:dyDescent="0.3">
      <c r="B173" s="8"/>
      <c r="C173" s="11">
        <f>IF(ISTEXT(D173),MAX($C$10:C172)+1,"")</f>
        <v>84</v>
      </c>
      <c r="D173" s="70" t="s">
        <v>255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/>
      <c r="W173" s="14"/>
      <c r="X173" s="14"/>
      <c r="Y173" s="14"/>
      <c r="Z173" s="14"/>
    </row>
    <row r="174" spans="2:26" s="15" customFormat="1" ht="16.149999999999999" customHeight="1" thickBot="1" x14ac:dyDescent="0.3">
      <c r="B174" s="8"/>
      <c r="C174" s="11">
        <f>IF(ISTEXT(D174),MAX($C$10:C172)+1,"")</f>
        <v>84</v>
      </c>
      <c r="D174" s="66" t="s">
        <v>256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/>
      <c r="W174" s="14"/>
      <c r="X174" s="14"/>
      <c r="Y174" s="14"/>
      <c r="Z174" s="14"/>
    </row>
    <row r="175" spans="2:26" s="15" customFormat="1" ht="16.149999999999999" customHeight="1" thickBot="1" x14ac:dyDescent="0.3">
      <c r="B175" s="8"/>
      <c r="C175" s="11">
        <f>IF(ISTEXT(D175),MAX($C$10:C174)+1,"")</f>
        <v>85</v>
      </c>
      <c r="D175" s="70" t="s">
        <v>257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/>
      <c r="W175" s="14"/>
      <c r="X175" s="14"/>
      <c r="Y175" s="14"/>
      <c r="Z175" s="14"/>
    </row>
    <row r="176" spans="2:26" s="15" customFormat="1" ht="16.149999999999999" customHeight="1" thickBot="1" x14ac:dyDescent="0.3">
      <c r="B176" s="8"/>
      <c r="C176" s="11">
        <f>IF(ISTEXT(D176),MAX($C$10:C175)+1,"")</f>
        <v>86</v>
      </c>
      <c r="D176" s="66" t="s">
        <v>258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/>
      <c r="W176" s="14"/>
      <c r="X176" s="14"/>
      <c r="Y176" s="14"/>
      <c r="Z176" s="14"/>
    </row>
    <row r="177" spans="2:26" ht="15" customHeight="1" x14ac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</row>
    <row r="178" spans="2:26" x14ac:dyDescent="0.25">
      <c r="B178" s="20"/>
      <c r="C178" s="21"/>
      <c r="O178" s="22"/>
      <c r="P178" s="22"/>
      <c r="Q178" s="23"/>
      <c r="R178" s="23"/>
      <c r="S178" s="22"/>
      <c r="T178" s="22"/>
    </row>
    <row r="179" spans="2:26" ht="15.75" thickBot="1" x14ac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</row>
    <row r="180" spans="2:26" ht="15" customHeight="1" x14ac:dyDescent="0.25">
      <c r="C180" s="29"/>
      <c r="I180" s="30"/>
      <c r="O180" s="65"/>
      <c r="P180" s="65"/>
      <c r="Q180" s="60"/>
      <c r="R180" s="60"/>
      <c r="S180" s="65"/>
      <c r="T180" s="65"/>
    </row>
    <row r="181" spans="2:26" ht="15.75" thickBot="1" x14ac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/>
      <c r="W181" s="93"/>
      <c r="X181" s="93"/>
      <c r="Y181" s="93"/>
    </row>
    <row r="182" spans="2:26" ht="15" customHeight="1" x14ac:dyDescent="0.25"/>
    <row r="183" spans="2:26" ht="15" customHeight="1" thickBot="1" x14ac:dyDescent="0.3"/>
    <row r="184" spans="2:26" ht="15" customHeight="1" x14ac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2" t="s">
        <v>126</v>
      </c>
      <c r="X184" s="79"/>
      <c r="Y184" s="79"/>
      <c r="Z184" s="79"/>
    </row>
    <row r="185" spans="2:26" ht="15" customHeight="1" thickBot="1" x14ac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</row>
    <row r="186" spans="2:26" ht="10.5" customHeight="1" thickBot="1" x14ac:dyDescent="0.3"/>
    <row r="187" spans="2:26" ht="15" customHeight="1" thickBot="1" x14ac:dyDescent="0.3">
      <c r="J187" s="79" t="s">
        <v>2</v>
      </c>
      <c r="K187" s="79"/>
      <c r="L187" s="79"/>
      <c r="M187" s="80" t="str">
        <f>M4</f>
        <v>C1016</v>
      </c>
      <c r="N187" s="80"/>
      <c r="O187" s="80"/>
      <c r="P187" s="80"/>
    </row>
    <row r="188" spans="2:26" s="15" customFormat="1" ht="15" customHeight="1" thickBot="1" x14ac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/>
    </row>
    <row r="189" spans="2:26" s="15" customFormat="1" ht="8.25" customHeight="1" thickBot="1" x14ac:dyDescent="0.3">
      <c r="M189" s="38"/>
      <c r="N189" s="38"/>
      <c r="O189" s="38"/>
      <c r="P189" s="38"/>
    </row>
    <row r="190" spans="2:26" s="15" customFormat="1" ht="15" customHeight="1" thickBot="1" x14ac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/>
      <c r="W190" s="60"/>
      <c r="X190" s="23"/>
    </row>
    <row r="191" spans="2:26" s="15" customFormat="1" ht="10.5" customHeight="1" thickBot="1" x14ac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2:26" s="15" customFormat="1" ht="21" customHeight="1" thickBot="1" x14ac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 t="s">
        <v>8</v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x14ac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/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 t="str">
        <f>IF(ISTEXT(D194),MAX($C$10:C193),"")</f>
        <v/>
      </c>
      <c r="D194" s="70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/>
      <c r="W194" s="14"/>
      <c r="X194" s="14"/>
      <c r="Y194" s="14"/>
      <c r="Z194" s="14"/>
    </row>
    <row r="195" spans="2:26" s="15" customFormat="1" ht="16.149999999999999" customHeight="1" thickBot="1" x14ac:dyDescent="0.3">
      <c r="B195" s="8"/>
      <c r="C195" s="11">
        <f>IF(ISTEXT(D195),MAX($C$10:C194)+1,"")</f>
        <v>87</v>
      </c>
      <c r="D195" s="66" t="s">
        <v>259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/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IF(ISTEXT(D196),MAX($C$10:C195)+1,"")</f>
        <v>88</v>
      </c>
      <c r="D196" s="66" t="s">
        <v>260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/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>
        <f>IF(ISTEXT(D197),MAX($C$10:C196)+1,"")</f>
        <v>89</v>
      </c>
      <c r="D197" s="66" t="s">
        <v>261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/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>
        <f>IF(ISTEXT(D198),MAX($C$10:C197)+1,"")</f>
        <v>90</v>
      </c>
      <c r="D198" s="66" t="s">
        <v>262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/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>
        <f>IF(ISTEXT(D199),MAX($C$10:C198)+1,"")</f>
        <v>91</v>
      </c>
      <c r="D199" s="70" t="s">
        <v>263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/>
      <c r="W199" s="14"/>
      <c r="X199" s="14"/>
      <c r="Y199" s="14"/>
      <c r="Z199" s="14"/>
    </row>
    <row r="200" spans="2:26" ht="16.149999999999999" customHeight="1" thickBot="1" x14ac:dyDescent="0.3">
      <c r="B200" s="8"/>
      <c r="C200" s="11">
        <f>IF(ISTEXT(D200),MAX($C$10:C199)+1,"")</f>
        <v>92</v>
      </c>
      <c r="D200" s="66" t="s">
        <v>264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/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>
        <f>IF(ISTEXT(D201),MAX($C$10:C200)+1,"")</f>
        <v>93</v>
      </c>
      <c r="D201" s="66" t="s">
        <v>265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/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>
        <f>IF(ISTEXT(D202),MAX($C$10:C201)+1,"")</f>
        <v>94</v>
      </c>
      <c r="D202" s="70" t="s">
        <v>266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>
        <f>IF(ISTEXT(D203),MAX($C$10:C202)+1,"")</f>
        <v>95</v>
      </c>
      <c r="D203" s="101" t="s">
        <v>267</v>
      </c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"/>
      <c r="W203" s="14"/>
      <c r="X203" s="14"/>
      <c r="Y203" s="14"/>
      <c r="Z203" s="14"/>
    </row>
    <row r="204" spans="2:26" s="15" customFormat="1" ht="15.95" customHeight="1" thickBot="1" x14ac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 t="str">
        <f>IF(ISTEXT(D205),MAX($C$10:C204)+1,"")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/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/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/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/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/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/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/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/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/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/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96</v>
      </c>
      <c r="D216" s="66" t="s">
        <v>268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/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97</v>
      </c>
      <c r="D217" s="66" t="s">
        <v>269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/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98</v>
      </c>
      <c r="D218" s="66" t="s">
        <v>270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/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99</v>
      </c>
      <c r="D219" s="66" t="s">
        <v>271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/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100</v>
      </c>
      <c r="D220" s="66" t="s">
        <v>272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/>
      <c r="W220" s="14"/>
      <c r="X220" s="14"/>
      <c r="Y220" s="14"/>
      <c r="Z220" s="14"/>
    </row>
    <row r="221" spans="2:26" s="15" customFormat="1" ht="16.149999999999999" customHeight="1" thickBot="1" x14ac:dyDescent="0.3">
      <c r="B221" s="8"/>
      <c r="C221" s="11">
        <f>IF(ISTEXT(D221),MAX($C$10:C220)+1,"")</f>
        <v>101</v>
      </c>
      <c r="D221" s="66" t="s">
        <v>273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/>
      <c r="W221" s="14"/>
      <c r="X221" s="14"/>
      <c r="Y221" s="14"/>
      <c r="Z221" s="14"/>
    </row>
    <row r="222" spans="2:26" s="15" customFormat="1" ht="16.149999999999999" customHeight="1" thickBot="1" x14ac:dyDescent="0.3">
      <c r="B222" s="8"/>
      <c r="C222" s="11">
        <f>IF(ISTEXT(D222),MAX($C$10:C221)+1,"")</f>
        <v>102</v>
      </c>
      <c r="D222" s="66" t="s">
        <v>157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/>
      <c r="W222" s="14"/>
      <c r="X222" s="14"/>
      <c r="Y222" s="14"/>
      <c r="Z222" s="14"/>
    </row>
    <row r="223" spans="2:26" s="15" customFormat="1" ht="16.149999999999999" customHeight="1" thickBot="1" x14ac:dyDescent="0.3">
      <c r="B223" s="8"/>
      <c r="C223" s="11">
        <f>IF(ISTEXT(D223),MAX($C$10:C222)+1,"")</f>
        <v>103</v>
      </c>
      <c r="D223" s="66" t="s">
        <v>274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/>
      <c r="W223" s="14"/>
      <c r="X223" s="14"/>
      <c r="Y223" s="14"/>
      <c r="Z223" s="14"/>
    </row>
    <row r="224" spans="2:26" s="15" customFormat="1" ht="16.149999999999999" customHeight="1" thickBot="1" x14ac:dyDescent="0.3">
      <c r="B224" s="8"/>
      <c r="C224" s="11">
        <f>IF(ISTEXT(D224),MAX($C$10:C223)+1,"")</f>
        <v>104</v>
      </c>
      <c r="D224" s="66" t="s">
        <v>275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/>
      <c r="W224" s="14"/>
      <c r="X224" s="14"/>
      <c r="Y224" s="14"/>
      <c r="Z224" s="14"/>
    </row>
    <row r="225" spans="2:26" s="15" customFormat="1" ht="16.149999999999999" customHeight="1" thickBot="1" x14ac:dyDescent="0.3">
      <c r="B225" s="8"/>
      <c r="C225" s="11">
        <f>IF(ISTEXT(D225),MAX($C$10:C224)+1,"")</f>
        <v>105</v>
      </c>
      <c r="D225" s="66" t="s">
        <v>276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/>
      <c r="W225" s="14"/>
      <c r="X225" s="14"/>
      <c r="Y225" s="14"/>
      <c r="Z225" s="14"/>
    </row>
    <row r="226" spans="2:26" s="15" customFormat="1" ht="16.149999999999999" customHeight="1" thickBot="1" x14ac:dyDescent="0.3">
      <c r="B226" s="8"/>
      <c r="C226" s="11">
        <f>IF(ISTEXT(D226),MAX($C$10:C225)+1,"")</f>
        <v>106</v>
      </c>
      <c r="D226" s="66" t="s">
        <v>277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/>
      <c r="W226" s="14"/>
      <c r="X226" s="14"/>
      <c r="Y226" s="14"/>
      <c r="Z226" s="14"/>
    </row>
    <row r="227" spans="2:26" s="15" customFormat="1" ht="16.149999999999999" customHeight="1" thickBot="1" x14ac:dyDescent="0.3">
      <c r="B227" s="8"/>
      <c r="C227" s="11">
        <f>IF(ISTEXT(D227),MAX($C$10:C226)+1,"")</f>
        <v>107</v>
      </c>
      <c r="D227" s="66" t="s">
        <v>278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/>
      <c r="W227" s="14"/>
      <c r="X227" s="14"/>
      <c r="Y227" s="14"/>
      <c r="Z227" s="14"/>
    </row>
    <row r="228" spans="2:26" s="15" customFormat="1" ht="16.149999999999999" customHeight="1" thickBot="1" x14ac:dyDescent="0.3">
      <c r="B228" s="8"/>
      <c r="C228" s="11">
        <f>IF(ISTEXT(D228),MAX($C$10:C227)+1,"")</f>
        <v>108</v>
      </c>
      <c r="D228" s="66" t="s">
        <v>279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/>
      <c r="W228" s="14"/>
      <c r="X228" s="14"/>
      <c r="Y228" s="14"/>
      <c r="Z228" s="14"/>
    </row>
    <row r="229" spans="2:26" s="15" customFormat="1" ht="16.149999999999999" customHeight="1" thickBot="1" x14ac:dyDescent="0.3">
      <c r="B229" s="8"/>
      <c r="C229" s="11">
        <f>IF(ISTEXT(D229),MAX($C$10:C228)+1,"")</f>
        <v>109</v>
      </c>
      <c r="D229" s="70" t="s">
        <v>280</v>
      </c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/>
      <c r="W229" s="14"/>
      <c r="X229" s="14"/>
      <c r="Y229" s="14"/>
      <c r="Z229" s="14"/>
    </row>
    <row r="230" spans="2:26" ht="15" customHeight="1" x14ac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</row>
    <row r="231" spans="2:26" x14ac:dyDescent="0.25">
      <c r="B231" s="20"/>
      <c r="C231" s="21"/>
      <c r="O231" s="22"/>
      <c r="P231" s="22"/>
      <c r="Q231" s="23"/>
      <c r="R231" s="23"/>
      <c r="S231" s="22"/>
      <c r="T231" s="22"/>
    </row>
    <row r="232" spans="2:26" ht="15.75" thickBot="1" x14ac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</row>
    <row r="233" spans="2:26" ht="15" customHeight="1" x14ac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</row>
    <row r="234" spans="2:26" ht="18" customHeight="1" thickBot="1" x14ac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/>
      <c r="W234" s="63"/>
      <c r="X234" s="62"/>
      <c r="Y234" s="62"/>
    </row>
    <row r="235" spans="2:26" ht="18" customHeight="1" thickBot="1" x14ac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/>
      <c r="W235" s="1"/>
      <c r="X235" s="4"/>
      <c r="Y235" s="4"/>
    </row>
    <row r="236" spans="2:26" ht="18" customHeight="1" thickBot="1" x14ac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/>
      <c r="W236" s="1"/>
      <c r="X236" s="4"/>
      <c r="Y236" s="4"/>
    </row>
    <row r="237" spans="2:26" ht="15" customHeight="1" x14ac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2" t="s">
        <v>159</v>
      </c>
      <c r="X237" s="79"/>
      <c r="Y237" s="79"/>
      <c r="Z237" s="79"/>
    </row>
    <row r="238" spans="2:26" ht="15" customHeight="1" thickBot="1" x14ac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</row>
    <row r="239" spans="2:26" ht="10.5" customHeight="1" thickBot="1" x14ac:dyDescent="0.3"/>
    <row r="240" spans="2:26" ht="15" customHeight="1" thickBot="1" x14ac:dyDescent="0.3">
      <c r="J240" s="79" t="s">
        <v>2</v>
      </c>
      <c r="K240" s="79"/>
      <c r="L240" s="79"/>
      <c r="M240" s="80" t="str">
        <f>M4</f>
        <v>C1016</v>
      </c>
      <c r="N240" s="80"/>
      <c r="O240" s="80"/>
      <c r="P240" s="80"/>
    </row>
    <row r="241" spans="2:26" s="15" customFormat="1" ht="15" customHeight="1" thickBot="1" x14ac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/>
    </row>
    <row r="242" spans="2:26" s="15" customFormat="1" ht="8.25" customHeight="1" thickBot="1" x14ac:dyDescent="0.3">
      <c r="M242" s="38"/>
      <c r="N242" s="38"/>
      <c r="O242" s="38"/>
      <c r="P242" s="38"/>
    </row>
    <row r="243" spans="2:26" s="15" customFormat="1" ht="15" customHeight="1" thickBot="1" x14ac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/>
      <c r="W243" s="60"/>
      <c r="X243" s="23"/>
    </row>
    <row r="244" spans="2:26" s="15" customFormat="1" ht="10.5" customHeight="1" thickBot="1" x14ac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2:26" s="15" customFormat="1" ht="21" customHeight="1" thickBot="1" x14ac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 t="s">
        <v>8</v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x14ac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/>
      <c r="W246" s="14"/>
      <c r="X246" s="14"/>
      <c r="Y246" s="14"/>
      <c r="Z246" s="14"/>
    </row>
    <row r="247" spans="2:26" s="15" customFormat="1" ht="16.149999999999999" customHeight="1" thickBot="1" x14ac:dyDescent="0.3">
      <c r="B247" s="8"/>
      <c r="C247" s="11">
        <f>IF(ISTEXT(D247),MAX($C$10:C246)+1,"")</f>
        <v>110</v>
      </c>
      <c r="D247" s="66" t="s">
        <v>281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/>
      <c r="W247" s="14"/>
      <c r="X247" s="14"/>
      <c r="Y247" s="14"/>
      <c r="Z247" s="14"/>
    </row>
    <row r="248" spans="2:26" s="15" customFormat="1" ht="16.149999999999999" customHeight="1" thickBot="1" x14ac:dyDescent="0.3">
      <c r="B248" s="8"/>
      <c r="C248" s="11">
        <f>IF(ISTEXT(D248),MAX($C$10:C247)+1,"")</f>
        <v>111</v>
      </c>
      <c r="D248" s="66" t="s">
        <v>282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/>
      <c r="W248" s="14"/>
      <c r="X248" s="14"/>
      <c r="Y248" s="14"/>
      <c r="Z248" s="14"/>
    </row>
    <row r="249" spans="2:26" s="15" customFormat="1" ht="16.149999999999999" customHeight="1" thickBot="1" x14ac:dyDescent="0.3">
      <c r="B249" s="8"/>
      <c r="C249" s="11">
        <f>IF(ISTEXT(D249),MAX($C$10:C248)+1,"")</f>
        <v>112</v>
      </c>
      <c r="D249" s="66" t="s">
        <v>270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/>
      <c r="W249" s="14"/>
      <c r="X249" s="14"/>
      <c r="Y249" s="14"/>
      <c r="Z249" s="14"/>
    </row>
    <row r="250" spans="2:26" s="15" customFormat="1" ht="16.149999999999999" customHeight="1" thickBot="1" x14ac:dyDescent="0.3">
      <c r="B250" s="8"/>
      <c r="C250" s="11">
        <f>IF(ISTEXT(D250),MAX($C$10:C249)+1,"")</f>
        <v>113</v>
      </c>
      <c r="D250" s="66" t="s">
        <v>271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/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44">
        <f>IF(ISTEXT(D251),MAX($C$10:C250)+1,"")</f>
        <v>114</v>
      </c>
      <c r="D251" s="66" t="s">
        <v>278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/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>
        <f>IF(ISTEXT(D252),MAX($C$10:C251)+1,"")</f>
        <v>115</v>
      </c>
      <c r="D252" s="66" t="s">
        <v>273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/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116</v>
      </c>
      <c r="D253" s="66" t="s">
        <v>157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/>
      <c r="W253" s="14"/>
      <c r="X253" s="14"/>
      <c r="Y253" s="14"/>
      <c r="Z253" s="14"/>
    </row>
    <row r="254" spans="2:26" ht="16.149999999999999" customHeight="1" thickBot="1" x14ac:dyDescent="0.3">
      <c r="B254" s="8"/>
      <c r="C254" s="44">
        <f>IF(ISTEXT(D254),MAX($C$10:C253)+1,"")</f>
        <v>117</v>
      </c>
      <c r="D254" s="66" t="s">
        <v>279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/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>
        <f>IF(ISTEXT(D255),MAX($C$10:C254)+1,"")</f>
        <v>118</v>
      </c>
      <c r="D255" s="66" t="s">
        <v>283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/>
      <c r="W255" s="14"/>
      <c r="X255" s="14"/>
      <c r="Y255" s="14"/>
      <c r="Z255" s="14"/>
    </row>
    <row r="256" spans="2:26" s="15" customFormat="1" ht="16.149999999999999" customHeight="1" thickBot="1" x14ac:dyDescent="0.3">
      <c r="B256" s="13"/>
      <c r="C256" s="44">
        <f>IF(ISTEXT(D256),MAX($C$10:C255)+1,"")</f>
        <v>119</v>
      </c>
      <c r="D256" s="66" t="s">
        <v>284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/>
      <c r="W256" s="14"/>
      <c r="X256" s="14"/>
      <c r="Y256" s="14"/>
      <c r="Z256" s="14"/>
    </row>
    <row r="257" spans="2:26" s="15" customFormat="1" ht="16.149999999999999" customHeight="1" thickBot="1" x14ac:dyDescent="0.3">
      <c r="B257" s="13"/>
      <c r="C257" s="44">
        <f>IF(ISTEXT(D257),MAX($C$10:C256)+1,"")</f>
        <v>120</v>
      </c>
      <c r="D257" s="70" t="s">
        <v>285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/>
      <c r="W257" s="14"/>
      <c r="X257" s="14"/>
      <c r="Y257" s="14"/>
      <c r="Z257" s="14"/>
    </row>
    <row r="258" spans="2:26" s="15" customFormat="1" ht="15.95" customHeight="1" thickBot="1" x14ac:dyDescent="0.3">
      <c r="B258" s="13"/>
      <c r="C258" s="44">
        <f>IF(ISTEXT(D258),MAX($C$10:C257)+1,"")</f>
        <v>121</v>
      </c>
      <c r="D258" s="66" t="s">
        <v>286</v>
      </c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/>
      <c r="W258" s="14"/>
      <c r="X258" s="14"/>
      <c r="Y258" s="14"/>
      <c r="Z258" s="14"/>
    </row>
    <row r="259" spans="2:26" s="15" customFormat="1" ht="16.149999999999999" customHeight="1" thickBot="1" x14ac:dyDescent="0.3">
      <c r="B259" s="13"/>
      <c r="C259" s="44">
        <f>IF(ISTEXT(D259),MAX($C$10:C258)+1,"")</f>
        <v>122</v>
      </c>
      <c r="D259" s="66" t="s">
        <v>287</v>
      </c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/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44">
        <f>IF(ISTEXT(D260),MAX($C$10:C259)+1,"")</f>
        <v>123</v>
      </c>
      <c r="D260" s="66" t="s">
        <v>288</v>
      </c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/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44">
        <f>IF(ISTEXT(D261),MAX($C$10:C260)+1,"")</f>
        <v>124</v>
      </c>
      <c r="D261" s="66" t="s">
        <v>289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0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44">
        <f>IF(ISTEXT(D262),MAX($C$10:C261)+1,"")</f>
        <v>125</v>
      </c>
      <c r="D262" s="70" t="s">
        <v>290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44">
        <f>IF(ISTEXT(D263),MAX($C$10:C262)+1,"")</f>
        <v>126</v>
      </c>
      <c r="D263" s="66" t="s">
        <v>291</v>
      </c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44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>
        <f>IF(ISTEXT(D265),MAX($C$10:C264)+1,"")</f>
        <v>127</v>
      </c>
      <c r="D265" s="70" t="s">
        <v>292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/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>
        <f>IF(ISTEXT(D266),MAX($C$10:C265)+1,"")</f>
        <v>128</v>
      </c>
      <c r="D266" s="66" t="s">
        <v>293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/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>
        <f>IF(ISTEXT(D267),MAX($C$10:C266)+1,"")</f>
        <v>129</v>
      </c>
      <c r="D267" s="70" t="s">
        <v>263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/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>
        <f>IF(ISTEXT(D268),MAX($C$10:C267)+1,"")</f>
        <v>130</v>
      </c>
      <c r="D268" s="70" t="s">
        <v>294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/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>
        <f>IF(ISTEXT(D269),MAX($C$10:C268)+1,"")</f>
        <v>131</v>
      </c>
      <c r="D269" s="70" t="s">
        <v>295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/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>
        <f>IF(ISTEXT(D270),MAX($C$10:C269)+1,"")</f>
        <v>132</v>
      </c>
      <c r="D270" s="70" t="s">
        <v>296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/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133</v>
      </c>
      <c r="D271" s="70" t="s">
        <v>297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/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134</v>
      </c>
      <c r="D272" s="70" t="s">
        <v>298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/>
      <c r="W272" s="14"/>
      <c r="X272" s="14"/>
      <c r="Y272" s="14"/>
      <c r="Z272" s="14"/>
    </row>
    <row r="273" spans="2:26" s="15" customFormat="1" ht="16.149999999999999" customHeight="1" thickBot="1" x14ac:dyDescent="0.3">
      <c r="B273" s="8"/>
      <c r="C273" s="11">
        <f>IF(ISTEXT(D273),MAX($C$10:C272)+1,"")</f>
        <v>135</v>
      </c>
      <c r="D273" s="66" t="s">
        <v>299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/>
      <c r="W273" s="14"/>
      <c r="X273" s="14"/>
      <c r="Y273" s="14"/>
      <c r="Z273" s="14"/>
    </row>
    <row r="274" spans="2:26" s="15" customFormat="1" ht="16.149999999999999" customHeight="1" thickBot="1" x14ac:dyDescent="0.3">
      <c r="B274" s="8"/>
      <c r="C274" s="11">
        <f>IF(ISTEXT(D274),MAX($C$10:C273)+1,"")</f>
        <v>136</v>
      </c>
      <c r="D274" s="140" t="s">
        <v>300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/>
      <c r="W274" s="14"/>
      <c r="X274" s="14"/>
      <c r="Y274" s="14"/>
      <c r="Z274" s="14"/>
    </row>
    <row r="275" spans="2:26" s="15" customFormat="1" ht="16.149999999999999" customHeight="1" thickBot="1" x14ac:dyDescent="0.3">
      <c r="B275" s="8"/>
      <c r="C275" s="11">
        <f>IF(ISTEXT(D275),MAX($C$10:C274)+1,"")</f>
        <v>137</v>
      </c>
      <c r="D275" s="137" t="s">
        <v>301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/>
      <c r="W275" s="14"/>
      <c r="X275" s="14"/>
      <c r="Y275" s="14"/>
      <c r="Z275" s="14"/>
    </row>
    <row r="276" spans="2:26" s="15" customFormat="1" ht="16.149999999999999" customHeight="1" thickBot="1" x14ac:dyDescent="0.3">
      <c r="B276" s="8"/>
      <c r="C276" s="11">
        <f>IF(ISTEXT(D276),MAX($C$10:C275)+1,"")</f>
        <v>138</v>
      </c>
      <c r="D276" s="140" t="s">
        <v>302</v>
      </c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/>
      <c r="W276" s="14"/>
      <c r="X276" s="14"/>
      <c r="Y276" s="14"/>
      <c r="Z276" s="14"/>
    </row>
    <row r="277" spans="2:26" s="15" customFormat="1" ht="16.149999999999999" customHeight="1" thickBot="1" x14ac:dyDescent="0.3">
      <c r="B277" s="8"/>
      <c r="C277" s="11">
        <f>IF(ISTEXT(D277),MAX($C$10:C276)+1,"")</f>
        <v>139</v>
      </c>
      <c r="D277" s="66" t="s">
        <v>303</v>
      </c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/>
      <c r="W277" s="14"/>
      <c r="X277" s="14"/>
      <c r="Y277" s="14"/>
      <c r="Z277" s="14"/>
    </row>
    <row r="278" spans="2:26" s="15" customFormat="1" ht="16.149999999999999" customHeight="1" thickBot="1" x14ac:dyDescent="0.3">
      <c r="B278" s="8"/>
      <c r="C278" s="11">
        <f>IF(ISTEXT(D278),MAX($C$10:C277)+1,"")</f>
        <v>140</v>
      </c>
      <c r="D278" s="66" t="s">
        <v>304</v>
      </c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/>
      <c r="W278" s="14"/>
      <c r="X278" s="14"/>
      <c r="Y278" s="14"/>
      <c r="Z278" s="14"/>
    </row>
    <row r="279" spans="2:26" s="15" customFormat="1" ht="16.149999999999999" customHeight="1" thickBot="1" x14ac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/>
      <c r="W279" s="14"/>
      <c r="X279" s="14"/>
      <c r="Y279" s="14"/>
      <c r="Z279" s="14"/>
    </row>
    <row r="280" spans="2:26" s="15" customFormat="1" ht="16.149999999999999" customHeight="1" thickBot="1" x14ac:dyDescent="0.3">
      <c r="B280" s="8"/>
      <c r="C280" s="11">
        <f>IF(ISTEXT(D280),MAX($C$10:C279)+1,"")</f>
        <v>141</v>
      </c>
      <c r="D280" s="66" t="s">
        <v>305</v>
      </c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/>
      <c r="W280" s="14"/>
      <c r="X280" s="14"/>
      <c r="Y280" s="14"/>
      <c r="Z280" s="14"/>
    </row>
    <row r="281" spans="2:26" s="15" customFormat="1" ht="16.149999999999999" customHeight="1" thickBot="1" x14ac:dyDescent="0.3">
      <c r="B281" s="8"/>
      <c r="C281" s="11">
        <f>IF(ISTEXT(D281),MAX($C$10:C280)+1,"")</f>
        <v>142</v>
      </c>
      <c r="D281" s="66" t="s">
        <v>306</v>
      </c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/>
      <c r="W281" s="14"/>
      <c r="X281" s="14"/>
      <c r="Y281" s="14"/>
      <c r="Z281" s="14"/>
    </row>
    <row r="282" spans="2:26" s="15" customFormat="1" ht="16.149999999999999" customHeight="1" thickBot="1" x14ac:dyDescent="0.3">
      <c r="B282" s="8"/>
      <c r="C282" s="11">
        <f>IF(ISTEXT(D282),MAX($C$10:C281)+1,"")</f>
        <v>143</v>
      </c>
      <c r="D282" s="66" t="s">
        <v>307</v>
      </c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/>
      <c r="W282" s="14"/>
      <c r="X282" s="14"/>
      <c r="Y282" s="14"/>
      <c r="Z282" s="14"/>
    </row>
    <row r="283" spans="2:26" s="15" customFormat="1" ht="16.149999999999999" customHeight="1" thickBot="1" x14ac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/>
      <c r="W283" s="14"/>
      <c r="X283" s="14"/>
      <c r="Y283" s="14"/>
      <c r="Z283" s="14"/>
    </row>
    <row r="284" spans="2:26" s="15" customFormat="1" ht="16.149999999999999" customHeight="1" thickBot="1" x14ac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/>
      <c r="W284" s="14"/>
      <c r="X284" s="14"/>
      <c r="Y284" s="14"/>
      <c r="Z284" s="14"/>
    </row>
    <row r="285" spans="2:26" s="15" customFormat="1" ht="16.149999999999999" customHeight="1" thickBot="1" x14ac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/>
      <c r="W285" s="14"/>
      <c r="X285" s="14"/>
      <c r="Y285" s="14"/>
      <c r="Z285" s="14"/>
    </row>
    <row r="286" spans="2:26" ht="15" customHeight="1" x14ac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</row>
    <row r="287" spans="2:26" x14ac:dyDescent="0.25">
      <c r="B287" s="20"/>
      <c r="C287" s="21"/>
      <c r="O287" s="22"/>
      <c r="P287" s="22"/>
      <c r="Q287" s="23"/>
      <c r="R287" s="23"/>
      <c r="S287" s="22"/>
      <c r="T287" s="22"/>
    </row>
    <row r="288" spans="2:26" ht="15.75" thickBot="1" x14ac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</row>
    <row r="289" spans="2:256" ht="15" customHeight="1" x14ac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</row>
    <row r="290" spans="2:256" ht="18" customHeight="1" thickBot="1" x14ac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/>
      <c r="W290" s="63"/>
      <c r="X290" s="62"/>
      <c r="Y290" s="62"/>
    </row>
    <row r="291" spans="2:256" ht="20.100000000000001" customHeight="1" x14ac:dyDescent="0.25">
      <c r="B291" s="15"/>
      <c r="C291" s="15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x14ac:dyDescent="0.25">
      <c r="B292" s="15"/>
      <c r="C292" s="15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x14ac:dyDescent="0.25">
      <c r="B293" s="15"/>
      <c r="C293" s="15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x14ac:dyDescent="0.25">
      <c r="B294" s="15"/>
      <c r="C294" s="15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x14ac:dyDescent="0.25">
      <c r="B295" s="15"/>
      <c r="C295" s="1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x14ac:dyDescent="0.25">
      <c r="B296" s="15"/>
      <c r="C296" s="15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x14ac:dyDescent="0.25">
      <c r="B297" s="15"/>
      <c r="C297" s="15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x14ac:dyDescent="0.25">
      <c r="B298" s="15"/>
      <c r="C298" s="15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x14ac:dyDescent="0.25">
      <c r="B299" s="15"/>
      <c r="C299" s="15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x14ac:dyDescent="0.25"/>
    <row r="301" spans="2:256" s="15" customFormat="1" ht="15.95" customHeight="1" x14ac:dyDescent="0.25"/>
    <row r="302" spans="2:256" s="15" customFormat="1" ht="17.100000000000001" customHeight="1" x14ac:dyDescent="0.25"/>
    <row r="303" spans="2:256" s="15" customFormat="1" ht="18.95" customHeight="1" x14ac:dyDescent="0.25"/>
    <row r="304" spans="2:256" s="15" customFormat="1" ht="21" customHeight="1" x14ac:dyDescent="0.25"/>
    <row r="305" spans="2:256" s="15" customFormat="1" ht="16.149999999999999" customHeight="1" x14ac:dyDescent="0.25"/>
    <row r="306" spans="2:256" s="15" customFormat="1" ht="16.149999999999999" customHeight="1" x14ac:dyDescent="0.25"/>
    <row r="307" spans="2:256" s="15" customFormat="1" ht="16.149999999999999" customHeight="1" x14ac:dyDescent="0.25"/>
    <row r="308" spans="2:256" s="15" customFormat="1" ht="16.149999999999999" customHeight="1" x14ac:dyDescent="0.25"/>
    <row r="309" spans="2:256" s="15" customFormat="1" ht="16.149999999999999" customHeight="1" x14ac:dyDescent="0.25"/>
    <row r="310" spans="2:256" s="15" customFormat="1" ht="16.149999999999999" customHeight="1" x14ac:dyDescent="0.25"/>
    <row r="311" spans="2:256" s="15" customFormat="1" ht="16.149999999999999" customHeight="1" x14ac:dyDescent="0.25"/>
    <row r="312" spans="2:256" ht="16.149999999999999" customHeight="1" x14ac:dyDescent="0.25">
      <c r="B312" s="15"/>
      <c r="C312" s="15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x14ac:dyDescent="0.25"/>
    <row r="314" spans="2:256" s="15" customFormat="1" ht="16.149999999999999" customHeight="1" x14ac:dyDescent="0.25"/>
    <row r="315" spans="2:256" s="15" customFormat="1" ht="16.149999999999999" customHeight="1" x14ac:dyDescent="0.25"/>
    <row r="316" spans="2:256" s="15" customFormat="1" ht="16.149999999999999" customHeight="1" x14ac:dyDescent="0.25"/>
    <row r="317" spans="2:256" s="15" customFormat="1" ht="16.149999999999999" customHeight="1" x14ac:dyDescent="0.25"/>
    <row r="318" spans="2:256" s="15" customFormat="1" ht="16.149999999999999" customHeight="1" x14ac:dyDescent="0.25"/>
    <row r="319" spans="2:256" s="15" customFormat="1" ht="16.149999999999999" customHeight="1" x14ac:dyDescent="0.25"/>
    <row r="320" spans="2:256" s="15" customFormat="1" ht="16.149999999999999" customHeight="1" x14ac:dyDescent="0.25"/>
    <row r="321" s="15" customFormat="1" ht="16.149999999999999" customHeight="1" x14ac:dyDescent="0.25"/>
    <row r="322" s="15" customFormat="1" ht="16.149999999999999" customHeight="1" x14ac:dyDescent="0.25"/>
    <row r="323" s="15" customFormat="1" ht="16.149999999999999" customHeight="1" x14ac:dyDescent="0.25"/>
    <row r="324" s="15" customFormat="1" ht="16.149999999999999" customHeight="1" x14ac:dyDescent="0.25"/>
    <row r="325" s="15" customFormat="1" ht="16.149999999999999" customHeight="1" x14ac:dyDescent="0.25"/>
    <row r="326" s="15" customFormat="1" ht="16.149999999999999" customHeight="1" x14ac:dyDescent="0.25"/>
    <row r="327" s="15" customFormat="1" ht="16.149999999999999" customHeight="1" x14ac:dyDescent="0.25"/>
    <row r="328" s="15" customFormat="1" ht="16.149999999999999" customHeight="1" x14ac:dyDescent="0.25"/>
    <row r="329" s="15" customFormat="1" ht="16.149999999999999" customHeight="1" x14ac:dyDescent="0.25"/>
    <row r="330" s="15" customFormat="1" ht="16.149999999999999" customHeight="1" x14ac:dyDescent="0.25"/>
    <row r="331" s="15" customFormat="1" ht="16.149999999999999" customHeight="1" x14ac:dyDescent="0.25"/>
    <row r="332" s="15" customFormat="1" ht="16.149999999999999" customHeight="1" x14ac:dyDescent="0.25"/>
    <row r="333" s="15" customFormat="1" ht="16.149999999999999" customHeight="1" x14ac:dyDescent="0.25"/>
    <row r="334" s="15" customFormat="1" ht="16.149999999999999" customHeight="1" x14ac:dyDescent="0.25"/>
    <row r="335" s="15" customFormat="1" ht="16.149999999999999" customHeight="1" x14ac:dyDescent="0.25"/>
    <row r="336" s="15" customFormat="1" ht="16.149999999999999" customHeight="1" x14ac:dyDescent="0.25"/>
    <row r="337" spans="2:256" s="15" customFormat="1" ht="16.149999999999999" customHeight="1" x14ac:dyDescent="0.25"/>
    <row r="338" spans="2:256" s="15" customFormat="1" ht="16.149999999999999" customHeight="1" x14ac:dyDescent="0.25"/>
    <row r="339" spans="2:256" s="15" customFormat="1" ht="16.149999999999999" customHeight="1" x14ac:dyDescent="0.25"/>
    <row r="340" spans="2:256" s="15" customFormat="1" ht="16.149999999999999" customHeight="1" x14ac:dyDescent="0.25"/>
    <row r="341" spans="2:256" s="15" customFormat="1" ht="16.149999999999999" customHeight="1" x14ac:dyDescent="0.25"/>
    <row r="342" spans="2:256" s="15" customFormat="1" ht="16.149999999999999" customHeight="1" x14ac:dyDescent="0.25"/>
    <row r="343" spans="2:256" ht="15" customHeight="1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x14ac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x14ac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x14ac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x14ac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x14ac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x14ac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x14ac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x14ac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x14ac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3Alkj1P69JDym7SC6W5ve1YKe2LjEIoJQpW1Dynt2gsthIS4cHoaD1ubRWXqXu/lM7yXDvoJ/tsrN0b2Gd3WNQ==" saltValue="UVLD1925hzYkiZ6eCDNc1Q==" spinCount="100000" sheet="1" formatCells="0" formatColumns="0" formatRows="0" insertColumns="0" insertRows="0" insertHyperlinks="0" deleteColumns="0" deleteRows="0" sort="0" autoFilter="0" pivotTables="0"/>
  <mergeCells count="331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12:U12"/>
    <mergeCell ref="D13:U13"/>
    <mergeCell ref="D14:U14"/>
    <mergeCell ref="D15:U15"/>
    <mergeCell ref="D16:U16"/>
    <mergeCell ref="D17:U17"/>
    <mergeCell ref="D22:U22"/>
    <mergeCell ref="D41:U41"/>
    <mergeCell ref="D40:U40"/>
    <mergeCell ref="D27:U27"/>
    <mergeCell ref="D28:U28"/>
    <mergeCell ref="D32:U32"/>
    <mergeCell ref="D33:U33"/>
    <mergeCell ref="D34:U34"/>
    <mergeCell ref="D29:U29"/>
    <mergeCell ref="D24:U24"/>
    <mergeCell ref="D25:U25"/>
    <mergeCell ref="D42:U42"/>
    <mergeCell ref="D43:U43"/>
    <mergeCell ref="D44:U44"/>
    <mergeCell ref="D45:U45"/>
    <mergeCell ref="D46:U46"/>
    <mergeCell ref="D47:U47"/>
    <mergeCell ref="D36:U36"/>
    <mergeCell ref="D26:U26"/>
    <mergeCell ref="D23:U23"/>
    <mergeCell ref="D39:U39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O180:P180"/>
    <mergeCell ref="Q180:R180"/>
    <mergeCell ref="S180:T180"/>
    <mergeCell ref="B181:J181"/>
    <mergeCell ref="K181:P181"/>
    <mergeCell ref="Q181:R181"/>
    <mergeCell ref="S181:U181"/>
    <mergeCell ref="D195:U195"/>
    <mergeCell ref="D196:U196"/>
    <mergeCell ref="D197:U197"/>
    <mergeCell ref="D198:U198"/>
    <mergeCell ref="D199:U199"/>
    <mergeCell ref="D200:U200"/>
    <mergeCell ref="C190:L190"/>
    <mergeCell ref="M190:S190"/>
    <mergeCell ref="T190:W190"/>
    <mergeCell ref="B192:U192"/>
    <mergeCell ref="D193:U193"/>
    <mergeCell ref="D194:U194"/>
    <mergeCell ref="D207:U207"/>
    <mergeCell ref="D208:U208"/>
    <mergeCell ref="D209:U209"/>
    <mergeCell ref="D210:U210"/>
    <mergeCell ref="D211:U211"/>
    <mergeCell ref="D212:U212"/>
    <mergeCell ref="D201:U201"/>
    <mergeCell ref="D202:U202"/>
    <mergeCell ref="D203:U203"/>
    <mergeCell ref="D204:U204"/>
    <mergeCell ref="D205:U205"/>
    <mergeCell ref="D206:U206"/>
    <mergeCell ref="D219:U219"/>
    <mergeCell ref="D220:U220"/>
    <mergeCell ref="D221:U221"/>
    <mergeCell ref="D222:U222"/>
    <mergeCell ref="D223:U223"/>
    <mergeCell ref="D224:U224"/>
    <mergeCell ref="D213:U213"/>
    <mergeCell ref="D214:U214"/>
    <mergeCell ref="D215:U215"/>
    <mergeCell ref="D216:U216"/>
    <mergeCell ref="D217:U217"/>
    <mergeCell ref="D218:U218"/>
    <mergeCell ref="B232:J232"/>
    <mergeCell ref="K232:P232"/>
    <mergeCell ref="Q232:R232"/>
    <mergeCell ref="S232:T232"/>
    <mergeCell ref="Q233:R233"/>
    <mergeCell ref="S233:T233"/>
    <mergeCell ref="D225:U225"/>
    <mergeCell ref="D226:U226"/>
    <mergeCell ref="D227:U227"/>
    <mergeCell ref="D228:U228"/>
    <mergeCell ref="D229:U229"/>
    <mergeCell ref="B230:T23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B234:J234"/>
    <mergeCell ref="K234:P234"/>
    <mergeCell ref="Q234:R234"/>
    <mergeCell ref="S234:U234"/>
    <mergeCell ref="V234:Y234"/>
    <mergeCell ref="E237:V238"/>
    <mergeCell ref="W237:Z237"/>
    <mergeCell ref="D251:U251"/>
    <mergeCell ref="D252:U252"/>
    <mergeCell ref="D253:U253"/>
    <mergeCell ref="D254:U254"/>
    <mergeCell ref="D255:U255"/>
    <mergeCell ref="D256:U256"/>
    <mergeCell ref="B245:U245"/>
    <mergeCell ref="D246:U246"/>
    <mergeCell ref="D247:U247"/>
    <mergeCell ref="D248:U248"/>
    <mergeCell ref="D249:U249"/>
    <mergeCell ref="D250:U250"/>
    <mergeCell ref="D263:U263"/>
    <mergeCell ref="D264:U264"/>
    <mergeCell ref="D265:U265"/>
    <mergeCell ref="D266:U266"/>
    <mergeCell ref="D267:U267"/>
    <mergeCell ref="D268:U268"/>
    <mergeCell ref="D257:U257"/>
    <mergeCell ref="D258:U258"/>
    <mergeCell ref="D259:U259"/>
    <mergeCell ref="D260:U260"/>
    <mergeCell ref="D261:U261"/>
    <mergeCell ref="D262:U262"/>
    <mergeCell ref="D277:U277"/>
    <mergeCell ref="D278:U278"/>
    <mergeCell ref="D279:U279"/>
    <mergeCell ref="D280:U280"/>
    <mergeCell ref="D269:U269"/>
    <mergeCell ref="D270:U270"/>
    <mergeCell ref="D271:U271"/>
    <mergeCell ref="D272:U272"/>
    <mergeCell ref="D273:U273"/>
    <mergeCell ref="D274:U274"/>
    <mergeCell ref="B290:J290"/>
    <mergeCell ref="K290:P290"/>
    <mergeCell ref="Q290:R290"/>
    <mergeCell ref="S290:U290"/>
    <mergeCell ref="V290:Y290"/>
    <mergeCell ref="D30:U30"/>
    <mergeCell ref="D31:U31"/>
    <mergeCell ref="D35:U35"/>
    <mergeCell ref="D37:U37"/>
    <mergeCell ref="D38:U38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</mergeCells>
  <dataValidations count="1">
    <dataValidation type="list" allowBlank="1" showInputMessage="1" sqref="D102:U102" xr:uid="{94051999-BB14-44AC-A57B-E048DA1233E6}">
      <formula1>#REF!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3B5524DD-4E00-4FBB-BF5E-1B35D44719DE}">
          <x14:formula1>
            <xm:f>Common_Defect_List!$B$2:$B$5</xm:f>
          </x14:formula1>
          <xm:sqref>V194:V229 V132:V176 V11:V62 V79:V115 V247:V285</xm:sqref>
        </x14:dataValidation>
        <x14:dataValidation type="list" allowBlank="1" showInputMessage="1" xr:uid="{8D0681B5-49D8-4CFC-99F3-DE1415678A44}">
          <x14:formula1>
            <xm:f>Common_Defect_List!$A:$A</xm:f>
          </x14:formula1>
          <xm:sqref>D162:U164 D114:D115 D79:U96 E253:U263 D265:U273 D62:U62 D103:U109 E11:U23 D144:U145 D133:U140 E213:U213 D98:U100 E228:U229 D158:U160 D275:U275 D277:U285 E173:U176 D170:D176 E170:U171 D149:U156 D166:U168 D213:D229 E222:U226 D247:D263 D194:U211 D22:U23 D26:U26 E25:U31 D11:D31 D28:U32 D34:U48</xm:sqref>
        </x14:dataValidation>
        <x14:dataValidation type="list" allowBlank="1" showInputMessage="1" showErrorMessage="1" xr:uid="{A077D242-E171-4E69-8DD8-3CEC4CFA4CEA}">
          <x14:formula1>
            <xm:f>Common_Defect_List!$A:$A</xm:f>
          </x14:formula1>
          <xm:sqref>D142:U142 D97:U97 D113:U113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322A-8DCC-4977-A5BA-B3BE82EE0A3A}">
  <sheetPr>
    <pageSetUpPr fitToPage="1"/>
  </sheetPr>
  <dimension ref="A1:IV400"/>
  <sheetViews>
    <sheetView view="pageBreakPreview" zoomScaleNormal="100" zoomScaleSheetLayoutView="100" workbookViewId="0">
      <selection activeCell="D11" sqref="D11:U12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308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0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x14ac:dyDescent="0.3">
      <c r="B11" s="8"/>
      <c r="C11" s="11">
        <v>1</v>
      </c>
      <c r="D11" s="101" t="s">
        <v>309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/>
      <c r="W11" s="10"/>
      <c r="X11" s="10"/>
      <c r="Y11" s="10"/>
      <c r="Z11" s="10"/>
    </row>
    <row r="12" spans="2:29" s="4" customFormat="1" ht="16.350000000000001" customHeight="1" thickBot="1" x14ac:dyDescent="0.3">
      <c r="B12" s="8"/>
      <c r="C12" s="11">
        <f>IF(ISTEXT(D12),MAX($C$10:C11)+1,"")</f>
        <v>2</v>
      </c>
      <c r="D12" s="101" t="s">
        <v>310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/>
      <c r="W12" s="10"/>
      <c r="X12" s="10"/>
      <c r="Y12" s="10"/>
      <c r="Z12" s="10"/>
    </row>
    <row r="13" spans="2:29" s="4" customFormat="1" ht="16.350000000000001" customHeight="1" thickBot="1" x14ac:dyDescent="0.3">
      <c r="B13" s="8"/>
      <c r="C13" s="11">
        <f>IF(ISTEXT(D13),MAX($C$10:C12)+1,"")</f>
        <v>3</v>
      </c>
      <c r="D13" s="101" t="s">
        <v>311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/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f>IF(ISTEXT(D14),MAX($C$10:C13)+1,"")</f>
        <v>4</v>
      </c>
      <c r="D14" s="101" t="s">
        <v>312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/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f>IF(ISTEXT(D15),MAX($C$10:C14)+1,"")</f>
        <v>5</v>
      </c>
      <c r="D15" s="101" t="s">
        <v>187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/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f>IF(ISTEXT(D16),MAX($C$10:C15)+1,"")</f>
        <v>6</v>
      </c>
      <c r="D16" s="101" t="s">
        <v>188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/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f>IF(ISTEXT(D17),MAX($C$10:C16)+1,"")</f>
        <v>7</v>
      </c>
      <c r="D17" s="101" t="s">
        <v>189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/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f>IF(ISTEXT(D18),MAX($C$10:C17)+1,"")</f>
        <v>8</v>
      </c>
      <c r="D18" s="101" t="s">
        <v>190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/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f>IF(ISTEXT(D19),MAX($C$10:C18)+1,"")</f>
        <v>9</v>
      </c>
      <c r="D19" s="101" t="s">
        <v>313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/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f>IF(ISTEXT(D20),MAX($C$10:C19)+1,"")</f>
        <v>10</v>
      </c>
      <c r="D20" s="101" t="s">
        <v>314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/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f>IF(ISTEXT(D21),MAX($C$10:C20)+1,"")</f>
        <v>11</v>
      </c>
      <c r="D21" s="101" t="s">
        <v>193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/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f>IF(ISTEXT(D22),MAX($C$10:C21)+1,"")</f>
        <v>12</v>
      </c>
      <c r="D22" s="101" t="s">
        <v>315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/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f>IF(ISTEXT(D23),MAX($C$10:C22)+1,"")</f>
        <v>13</v>
      </c>
      <c r="D23" s="101" t="s">
        <v>316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/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f>IF(ISTEXT(D24),MAX($C$10:C23)+1,"")</f>
        <v>14</v>
      </c>
      <c r="D24" s="101" t="s">
        <v>196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/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f>IF(ISTEXT(D25),MAX($C$10:C24)+1,"")</f>
        <v>15</v>
      </c>
      <c r="D25" s="101" t="s">
        <v>197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/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f>IF(ISTEXT(D26),MAX($C$10:C25)+1,"")</f>
        <v>16</v>
      </c>
      <c r="D26" s="101" t="s">
        <v>317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/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f>IF(ISTEXT(D27),MAX($C$10:C26)+1,"")</f>
        <v>17</v>
      </c>
      <c r="D27" s="101" t="s">
        <v>318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/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f>IF(ISTEXT(D28),MAX($C$10:C27)+1,"")</f>
        <v>18</v>
      </c>
      <c r="D28" s="101" t="s">
        <v>319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/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f>IF(ISTEXT(D29),MAX($C$10:C28)+1,"")</f>
        <v>19</v>
      </c>
      <c r="D29" s="101" t="s">
        <v>320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/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f>IF(ISTEXT(D30),MAX($C$10:C29)+1,"")</f>
        <v>20</v>
      </c>
      <c r="D30" s="137" t="s">
        <v>199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/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f>IF(ISTEXT(D31),MAX($C$10:C30)+1,"")</f>
        <v>21</v>
      </c>
      <c r="D31" s="137" t="s">
        <v>35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/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f>IF(ISTEXT(D32),MAX($C$10:C31)+1,"")</f>
        <v>22</v>
      </c>
      <c r="D32" s="101" t="s">
        <v>321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/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f>IF(ISTEXT(D32),MAX($C$10:C32)+1,"")</f>
        <v>23</v>
      </c>
      <c r="D33" s="147" t="s">
        <v>322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/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>
        <f>IF(ISTEXT(D34),MAX($C$10:C33)+1,"")</f>
        <v>24</v>
      </c>
      <c r="D34" s="101" t="s">
        <v>323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/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>
        <f>IF(ISTEXT(D35),MAX($C$10:C34)+1,"")</f>
        <v>25</v>
      </c>
      <c r="D35" s="101" t="s">
        <v>200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/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>
        <f>IF(ISTEXT(D36),MAX($C$10:C35)+1,"")</f>
        <v>26</v>
      </c>
      <c r="D36" s="101" t="s">
        <v>324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/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>
        <f>IF(ISTEXT(D37),MAX($C$10:C36)+1,"")</f>
        <v>27</v>
      </c>
      <c r="D37" s="101" t="s">
        <v>198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/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>
        <f>IF(ISTEXT(D38),MAX($C$10:C37)+1,"")</f>
        <v>28</v>
      </c>
      <c r="D38" s="101" t="s">
        <v>195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/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>
        <f>IF(ISTEXT(D39),MAX($C$10:C38)+1,"")</f>
        <v>29</v>
      </c>
      <c r="D39" s="101" t="s">
        <v>325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/>
      <c r="W39" s="10"/>
      <c r="X39" s="10"/>
      <c r="Y39" s="10"/>
      <c r="Z39" s="10"/>
    </row>
    <row r="40" spans="2:26" s="4" customFormat="1" ht="15" customHeight="1" thickBot="1" x14ac:dyDescent="0.3">
      <c r="B40" s="8"/>
      <c r="C40" s="11">
        <f>IF(ISTEXT(D40),MAX($C$10:C39)+1,"")</f>
        <v>30</v>
      </c>
      <c r="D40" s="101" t="s">
        <v>194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/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/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/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/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/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/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/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6.350000000000001" customHeight="1" thickBot="1" x14ac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/>
      <c r="W50" s="10"/>
      <c r="X50" s="10"/>
      <c r="Y50" s="10"/>
      <c r="Z50" s="10"/>
    </row>
    <row r="51" spans="2:26" s="4" customFormat="1" ht="16.350000000000001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/>
      <c r="W53" s="10"/>
      <c r="X53" s="10"/>
      <c r="Y53" s="10"/>
      <c r="Z53" s="10"/>
    </row>
    <row r="54" spans="2:26" s="4" customFormat="1" ht="16.350000000000001" customHeight="1" thickBot="1" x14ac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/>
      <c r="W54" s="10"/>
      <c r="X54" s="10"/>
      <c r="Y54" s="10"/>
      <c r="Z54" s="10"/>
    </row>
    <row r="55" spans="2:26" s="4" customFormat="1" ht="16.350000000000001" customHeight="1" thickBot="1" x14ac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/>
      <c r="W55" s="10"/>
      <c r="X55" s="10"/>
      <c r="Y55" s="10"/>
      <c r="Z55" s="10"/>
    </row>
    <row r="56" spans="2:26" s="4" customFormat="1" ht="16.350000000000001" customHeight="1" thickBot="1" x14ac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/>
      <c r="W56" s="18"/>
      <c r="X56" s="10"/>
      <c r="Y56" s="10"/>
      <c r="Z56" s="10"/>
    </row>
    <row r="57" spans="2:26" s="4" customFormat="1" ht="16.350000000000001" customHeight="1" thickBot="1" x14ac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/>
      <c r="W57" s="18"/>
      <c r="X57" s="10"/>
      <c r="Y57" s="10"/>
      <c r="Z57" s="10"/>
    </row>
    <row r="58" spans="2:26" s="15" customFormat="1" ht="15" customHeight="1" thickBot="1" x14ac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/>
      <c r="W58" s="14"/>
      <c r="X58" s="14"/>
      <c r="Y58" s="14"/>
      <c r="Z58" s="14"/>
    </row>
    <row r="59" spans="2:26" s="4" customFormat="1" ht="15.95" customHeight="1" thickBot="1" x14ac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/>
      <c r="W59" s="10"/>
      <c r="X59" s="10"/>
      <c r="Y59" s="10"/>
      <c r="Z59" s="10"/>
    </row>
    <row r="60" spans="2:26" s="4" customFormat="1" ht="15.95" customHeight="1" thickBot="1" x14ac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/>
      <c r="W60" s="10"/>
      <c r="X60" s="10"/>
      <c r="Y60" s="10"/>
      <c r="Z60" s="10"/>
    </row>
    <row r="61" spans="2:26" s="4" customFormat="1" ht="16.350000000000001" customHeight="1" thickBot="1" x14ac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/>
      <c r="W61" s="10"/>
      <c r="X61" s="10"/>
      <c r="Y61" s="10"/>
      <c r="Z61" s="10"/>
    </row>
    <row r="62" spans="2:26" s="4" customFormat="1" ht="16.350000000000001" customHeight="1" thickBot="1" x14ac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/>
      <c r="W62" s="10"/>
      <c r="X62" s="10"/>
      <c r="Y62" s="10"/>
      <c r="Z62" s="10"/>
    </row>
    <row r="63" spans="2:26" s="1" customFormat="1" ht="15" customHeight="1" x14ac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</row>
    <row r="64" spans="2:26" x14ac:dyDescent="0.25">
      <c r="B64" s="20"/>
      <c r="C64" s="21"/>
      <c r="O64" s="22"/>
      <c r="P64" s="22"/>
      <c r="Q64" s="23"/>
      <c r="R64" s="23"/>
      <c r="S64" s="22"/>
      <c r="T64" s="22"/>
    </row>
    <row r="65" spans="2:26" s="1" customFormat="1" ht="13.5" thickBot="1" x14ac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</row>
    <row r="66" spans="2:26" ht="15" customHeight="1" x14ac:dyDescent="0.25">
      <c r="C66" s="29"/>
      <c r="I66" s="30"/>
      <c r="O66" s="65"/>
      <c r="P66" s="65"/>
      <c r="Q66" s="60"/>
      <c r="R66" s="60"/>
      <c r="S66" s="65"/>
      <c r="T66" s="65"/>
    </row>
    <row r="67" spans="2:26" ht="18" customHeight="1" thickBot="1" x14ac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/>
      <c r="W67" s="62"/>
      <c r="X67" s="62"/>
      <c r="Y67" s="62"/>
    </row>
    <row r="68" spans="2:26" ht="15" customHeight="1" thickBot="1" x14ac:dyDescent="0.3"/>
    <row r="69" spans="2:26" ht="15" customHeight="1" x14ac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2" t="s">
        <v>65</v>
      </c>
      <c r="X69" s="79"/>
      <c r="Y69" s="79"/>
      <c r="Z69" s="79"/>
    </row>
    <row r="70" spans="2:26" ht="15" customHeight="1" thickBot="1" x14ac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2:26" ht="10.5" customHeight="1" thickBot="1" x14ac:dyDescent="0.3"/>
    <row r="72" spans="2:26" ht="15" customHeight="1" thickBot="1" x14ac:dyDescent="0.3">
      <c r="J72" s="79" t="s">
        <v>2</v>
      </c>
      <c r="K72" s="79"/>
      <c r="L72" s="79"/>
      <c r="M72" s="80" t="str">
        <f>M4</f>
        <v>C1010</v>
      </c>
      <c r="N72" s="80"/>
      <c r="O72" s="80"/>
      <c r="P72" s="80"/>
    </row>
    <row r="73" spans="2:26" s="15" customFormat="1" ht="15" customHeight="1" thickBot="1" x14ac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/>
    </row>
    <row r="74" spans="2:26" s="15" customFormat="1" ht="15.95" customHeight="1" thickBot="1" x14ac:dyDescent="0.3"/>
    <row r="75" spans="2:26" s="15" customFormat="1" ht="15" customHeight="1" thickBot="1" x14ac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/>
      <c r="W75" s="60"/>
      <c r="X75" s="23"/>
    </row>
    <row r="76" spans="2:26" s="15" customFormat="1" ht="15" customHeight="1" thickBot="1" x14ac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s="15" customFormat="1" ht="22.5" customHeight="1" thickBot="1" x14ac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 t="s">
        <v>8</v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x14ac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/>
      <c r="W78" s="14"/>
      <c r="X78" s="14"/>
      <c r="Y78" s="14"/>
      <c r="Z78" s="14"/>
    </row>
    <row r="79" spans="2:26" s="15" customFormat="1" ht="15.6" customHeight="1" thickBot="1" x14ac:dyDescent="0.25">
      <c r="B79" s="8"/>
      <c r="C79" s="11">
        <f>IF(ISTEXT(D79),MAX($C$10:C78)+1,"")</f>
        <v>31</v>
      </c>
      <c r="D79" s="95" t="s">
        <v>326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/>
      <c r="W79" s="14"/>
      <c r="X79" s="14"/>
      <c r="Y79" s="14"/>
      <c r="Z79" s="14"/>
    </row>
    <row r="80" spans="2:26" s="15" customFormat="1" ht="15.6" customHeight="1" thickBot="1" x14ac:dyDescent="0.3">
      <c r="B80" s="8"/>
      <c r="C80" s="11">
        <f>IF(ISTEXT(D80),MAX($C$10:C79)+1,"")</f>
        <v>32</v>
      </c>
      <c r="D80" s="70" t="s">
        <v>207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/>
      <c r="W80" s="14"/>
      <c r="X80" s="14"/>
      <c r="Y80" s="14"/>
      <c r="Z80" s="14"/>
    </row>
    <row r="81" spans="1:26" s="15" customFormat="1" ht="15.6" customHeight="1" thickBot="1" x14ac:dyDescent="0.3">
      <c r="B81" s="8"/>
      <c r="C81" s="11">
        <f>IF(ISTEXT(D81),MAX($C$10:C80)+1,"")</f>
        <v>33</v>
      </c>
      <c r="D81" s="70" t="s">
        <v>327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/>
      <c r="W81" s="14"/>
      <c r="X81" s="14"/>
      <c r="Y81" s="14"/>
      <c r="Z81" s="14"/>
    </row>
    <row r="82" spans="1:26" s="15" customFormat="1" ht="16.149999999999999" customHeight="1" thickBot="1" x14ac:dyDescent="0.3">
      <c r="B82" s="8"/>
      <c r="C82" s="11">
        <f>IF(ISTEXT(D82),MAX($C$10:C81)+1,"")</f>
        <v>34</v>
      </c>
      <c r="D82" s="70" t="s">
        <v>238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/>
      <c r="W82" s="14"/>
      <c r="X82" s="14"/>
      <c r="Y82" s="14"/>
      <c r="Z82" s="14"/>
    </row>
    <row r="83" spans="1:26" s="15" customFormat="1" ht="16.149999999999999" customHeight="1" thickBot="1" x14ac:dyDescent="0.3">
      <c r="B83" s="8"/>
      <c r="C83" s="11">
        <f>IF(ISTEXT(D83),MAX($C$10:C82)+1,"")</f>
        <v>35</v>
      </c>
      <c r="D83" s="70" t="s">
        <v>328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/>
      <c r="W83" s="14"/>
      <c r="X83" s="14"/>
      <c r="Y83" s="14"/>
      <c r="Z83" s="14"/>
    </row>
    <row r="84" spans="1:26" s="15" customFormat="1" ht="16.149999999999999" customHeight="1" thickBot="1" x14ac:dyDescent="0.3">
      <c r="B84" s="8"/>
      <c r="C84" s="11">
        <f>IF(ISTEXT(D84),MAX($C$10:C83)+1,"")</f>
        <v>36</v>
      </c>
      <c r="D84" s="70" t="s">
        <v>329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/>
      <c r="W84" s="14"/>
      <c r="X84" s="14"/>
      <c r="Y84" s="14"/>
      <c r="Z84" s="14"/>
    </row>
    <row r="85" spans="1:26" s="15" customFormat="1" ht="16.149999999999999" customHeight="1" thickBot="1" x14ac:dyDescent="0.3">
      <c r="B85" s="8"/>
      <c r="C85" s="11">
        <f>IF(ISTEXT(D85),MAX($C$10:C84)+1,"")</f>
        <v>37</v>
      </c>
      <c r="D85" s="70" t="s">
        <v>79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/>
      <c r="W85" s="14"/>
      <c r="X85" s="14"/>
      <c r="Y85" s="14"/>
      <c r="Z85" s="14"/>
    </row>
    <row r="86" spans="1:26" s="15" customFormat="1" ht="16.149999999999999" customHeight="1" thickBot="1" x14ac:dyDescent="0.3">
      <c r="B86" s="8"/>
      <c r="C86" s="11">
        <f>IF(ISTEXT(D86),MAX($C$10:C85)+1,"")</f>
        <v>38</v>
      </c>
      <c r="D86" s="70" t="s">
        <v>212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/>
      <c r="W86" s="14"/>
      <c r="X86" s="14"/>
      <c r="Y86" s="14"/>
      <c r="Z86" s="14"/>
    </row>
    <row r="87" spans="1:26" ht="16.149999999999999" customHeight="1" thickBot="1" x14ac:dyDescent="0.3">
      <c r="B87" s="8"/>
      <c r="C87" s="11" t="str">
        <f>IF(ISTEXT(D87),MAX($C$10:C86)+1,"")</f>
        <v/>
      </c>
      <c r="D87" s="143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/>
      <c r="W87" s="14"/>
      <c r="X87" s="14"/>
      <c r="Y87" s="14"/>
      <c r="Z87" s="14"/>
    </row>
    <row r="88" spans="1:26" s="15" customFormat="1" ht="16.149999999999999" customHeight="1" thickBot="1" x14ac:dyDescent="0.3">
      <c r="A88" s="36"/>
      <c r="B88" s="37"/>
      <c r="C88" s="11" t="str">
        <f>IF(ISTEXT(D88),MAX($C$10:C87)+1,"")</f>
        <v/>
      </c>
      <c r="D88" s="143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/>
      <c r="W88" s="14"/>
      <c r="X88" s="14"/>
      <c r="Y88" s="14"/>
      <c r="Z88" s="14"/>
    </row>
    <row r="89" spans="1:26" s="15" customFormat="1" ht="16.149999999999999" customHeight="1" thickBot="1" x14ac:dyDescent="0.3">
      <c r="B89" s="8"/>
      <c r="C89" s="11" t="str">
        <f>IF(ISTEXT(D89),MAX($C$10:C88)+1,"")</f>
        <v/>
      </c>
      <c r="D89" s="143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/>
      <c r="W89" s="14"/>
      <c r="X89" s="14"/>
      <c r="Y89" s="14"/>
      <c r="Z89" s="14"/>
    </row>
    <row r="90" spans="1:26" s="15" customFormat="1" ht="16.149999999999999" customHeight="1" thickBot="1" x14ac:dyDescent="0.3">
      <c r="B90" s="8"/>
      <c r="C90" s="11" t="str">
        <f>IF(ISTEXT(D90),MAX($C$10:C89)+1,"")</f>
        <v/>
      </c>
      <c r="D90" s="143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/>
      <c r="W90" s="14"/>
      <c r="X90" s="14"/>
      <c r="Y90" s="14"/>
      <c r="Z90" s="14"/>
    </row>
    <row r="91" spans="1:26" s="15" customFormat="1" ht="16.149999999999999" customHeight="1" thickBot="1" x14ac:dyDescent="0.3">
      <c r="B91" s="8"/>
      <c r="C91" s="11" t="str">
        <f>IF(ISTEXT(D91),MAX($C$10:C90)+1,"")</f>
        <v/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/>
      <c r="W91" s="14"/>
      <c r="X91" s="14"/>
      <c r="Y91" s="14"/>
      <c r="Z91" s="14"/>
    </row>
    <row r="92" spans="1:26" s="15" customFormat="1" ht="16.149999999999999" customHeight="1" thickBot="1" x14ac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/>
      <c r="W92" s="14"/>
      <c r="X92" s="14"/>
      <c r="Y92" s="14"/>
      <c r="Z92" s="14"/>
    </row>
    <row r="93" spans="1:26" s="15" customFormat="1" ht="16.149999999999999" customHeight="1" thickBot="1" x14ac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/>
      <c r="W93" s="14"/>
      <c r="X93" s="14"/>
      <c r="Y93" s="14"/>
      <c r="Z93" s="14"/>
    </row>
    <row r="94" spans="1:26" s="15" customFormat="1" ht="16.149999999999999" customHeight="1" thickBot="1" x14ac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/>
      <c r="W94" s="14"/>
      <c r="X94" s="14"/>
      <c r="Y94" s="14"/>
      <c r="Z94" s="14"/>
    </row>
    <row r="95" spans="1:26" s="15" customFormat="1" ht="16.149999999999999" customHeight="1" thickBot="1" x14ac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/>
      <c r="W95" s="14"/>
      <c r="X95" s="14"/>
      <c r="Y95" s="14"/>
      <c r="Z95" s="14"/>
    </row>
    <row r="96" spans="1:26" s="15" customFormat="1" ht="16.149999999999999" customHeight="1" thickBot="1" x14ac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/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/>
      <c r="D97" s="73" t="s">
        <v>214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5"/>
      <c r="V97" s="10"/>
      <c r="W97" s="14"/>
      <c r="X97" s="14"/>
      <c r="Y97" s="14"/>
      <c r="Z97" s="14"/>
    </row>
    <row r="98" spans="2:26" s="15" customFormat="1" ht="16.149999999999999" customHeight="1" thickBot="1" x14ac:dyDescent="0.3">
      <c r="B98" s="8"/>
      <c r="C98" s="11">
        <f>IF(ISTEXT(D98),MAX($C$10:C97)+1,"")</f>
        <v>39</v>
      </c>
      <c r="D98" s="70" t="s">
        <v>330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/>
      <c r="W98" s="14"/>
      <c r="X98" s="14"/>
      <c r="Y98" s="14"/>
      <c r="Z98" s="14"/>
    </row>
    <row r="99" spans="2:26" s="15" customFormat="1" ht="15.95" customHeight="1" thickBot="1" x14ac:dyDescent="0.3">
      <c r="B99" s="8"/>
      <c r="C99" s="11">
        <f>IF(ISTEXT(D99),MAX($C$10:C98)+1,"")</f>
        <v>40</v>
      </c>
      <c r="D99" s="70" t="s">
        <v>331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/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41</v>
      </c>
      <c r="D100" s="70" t="s">
        <v>332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/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42</v>
      </c>
      <c r="D101" s="70" t="s">
        <v>333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/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43</v>
      </c>
      <c r="D102" s="70" t="s">
        <v>216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/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>
        <f>IF(ISTEXT(D103),MAX($C$10:C102)+1,"")</f>
        <v>44</v>
      </c>
      <c r="D103" s="70" t="s">
        <v>334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/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45</v>
      </c>
      <c r="D104" s="70" t="s">
        <v>212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/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>
        <f>IF(ISTEXT(D105),MAX($C$10:C104)+1,"")</f>
        <v>46</v>
      </c>
      <c r="D105" s="70" t="s">
        <v>218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/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>
        <f>IF(ISTEXT(D106),MAX($C$10:C105)+1,"")</f>
        <v>47</v>
      </c>
      <c r="D106" s="70" t="s">
        <v>219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/>
      <c r="W106" s="14"/>
      <c r="X106" s="14"/>
      <c r="Y106" s="14"/>
      <c r="Z106" s="14"/>
    </row>
    <row r="107" spans="2:26" s="15" customFormat="1" ht="19.149999999999999" customHeight="1" thickBot="1" x14ac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/>
      <c r="W107" s="14"/>
      <c r="X107" s="14"/>
      <c r="Y107" s="14"/>
      <c r="Z107" s="14"/>
    </row>
    <row r="108" spans="2:26" s="15" customFormat="1" ht="16.149999999999999" customHeight="1" thickBot="1" x14ac:dyDescent="0.3">
      <c r="B108" s="8"/>
      <c r="C108" s="11" t="str">
        <f>IF(ISTEXT(D108),MAX($C$10:C107)+1,"")</f>
        <v/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/>
      <c r="W108" s="14"/>
      <c r="X108" s="14"/>
      <c r="Y108" s="14"/>
      <c r="Z108" s="14"/>
    </row>
    <row r="109" spans="2:26" s="15" customFormat="1" ht="16.149999999999999" customHeight="1" thickBot="1" x14ac:dyDescent="0.3">
      <c r="B109" s="8"/>
      <c r="C109" s="11" t="str">
        <f>IF(ISTEXT(D109),MAX($C$10:C108)+1,"")</f>
        <v/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/>
      <c r="W109" s="14"/>
      <c r="X109" s="14"/>
      <c r="Y109" s="14"/>
      <c r="Z109" s="14"/>
    </row>
    <row r="110" spans="2:26" s="15" customFormat="1" ht="16.149999999999999" customHeight="1" thickBot="1" x14ac:dyDescent="0.3">
      <c r="B110" s="8"/>
      <c r="C110" s="11" t="str">
        <f>IF(ISTEXT(D110),MAX($C$10:C109)+1,"")</f>
        <v/>
      </c>
      <c r="D110" s="140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/>
      <c r="W110" s="14"/>
      <c r="X110" s="14"/>
      <c r="Y110" s="14"/>
      <c r="Z110" s="14"/>
    </row>
    <row r="111" spans="2:26" s="15" customFormat="1" ht="16.149999999999999" customHeight="1" thickBot="1" x14ac:dyDescent="0.3">
      <c r="B111" s="8"/>
      <c r="C111" s="11" t="str">
        <f>IF(ISTEXT(D111),MAX($C$10:C110)+1,"")</f>
        <v/>
      </c>
      <c r="D111" s="70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/>
      <c r="W111" s="14"/>
      <c r="X111" s="14"/>
      <c r="Y111" s="14"/>
      <c r="Z111" s="14"/>
    </row>
    <row r="112" spans="2:26" s="15" customFormat="1" ht="16.149999999999999" customHeight="1" thickBot="1" x14ac:dyDescent="0.3">
      <c r="B112" s="8"/>
      <c r="C112" s="11" t="str">
        <f>IF(ISTEXT(D112),MAX($C$10:C111)+1,"")</f>
        <v/>
      </c>
      <c r="D112" s="140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/>
      <c r="W112" s="14"/>
      <c r="X112" s="14"/>
      <c r="Y112" s="14"/>
      <c r="Z112" s="14"/>
    </row>
    <row r="113" spans="2:26" s="15" customFormat="1" ht="16.149999999999999" customHeight="1" thickBot="1" x14ac:dyDescent="0.3">
      <c r="B113" s="8"/>
      <c r="C113" s="11"/>
      <c r="D113" s="73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/>
      <c r="W113" s="14"/>
      <c r="X113" s="14"/>
      <c r="Y113" s="14"/>
      <c r="Z113" s="14"/>
    </row>
    <row r="114" spans="2:26" s="15" customFormat="1" ht="16.149999999999999" customHeight="1" thickBot="1" x14ac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/>
      <c r="W114" s="14"/>
      <c r="X114" s="14"/>
      <c r="Y114" s="14"/>
      <c r="Z114" s="14"/>
    </row>
    <row r="115" spans="2:26" s="15" customFormat="1" ht="16.149999999999999" customHeight="1" thickBot="1" x14ac:dyDescent="0.3">
      <c r="B115" s="8"/>
      <c r="C115" s="11" t="str">
        <f>IF(ISTEXT(D114),MAX($C$10:C114)+1,"")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/>
      <c r="W115" s="14"/>
      <c r="X115" s="14"/>
      <c r="Y115" s="14"/>
      <c r="Z115" s="14"/>
    </row>
    <row r="116" spans="2:26" ht="15" customHeight="1" x14ac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</row>
    <row r="117" spans="2:26" x14ac:dyDescent="0.25">
      <c r="B117" s="20"/>
      <c r="C117" s="21"/>
      <c r="O117" s="22"/>
      <c r="P117" s="22"/>
      <c r="Q117" s="23"/>
      <c r="R117" s="23"/>
      <c r="S117" s="22"/>
      <c r="T117" s="22"/>
    </row>
    <row r="118" spans="2:26" ht="15.75" thickBot="1" x14ac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</row>
    <row r="119" spans="2:26" ht="15" customHeight="1" x14ac:dyDescent="0.25">
      <c r="C119" s="29"/>
      <c r="I119" s="30"/>
      <c r="O119" s="65"/>
      <c r="P119" s="65"/>
      <c r="Q119" s="60"/>
      <c r="R119" s="60"/>
      <c r="S119" s="65"/>
      <c r="T119" s="65"/>
    </row>
    <row r="120" spans="2:26" ht="18" customHeight="1" thickBot="1" x14ac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/>
      <c r="W120" s="62"/>
      <c r="X120" s="62"/>
      <c r="Y120" s="62"/>
    </row>
    <row r="121" spans="2:26" ht="15" customHeight="1" x14ac:dyDescent="0.25"/>
    <row r="122" spans="2:26" ht="15" customHeight="1" thickBot="1" x14ac:dyDescent="0.3"/>
    <row r="123" spans="2:26" ht="15" customHeight="1" x14ac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2" t="s">
        <v>99</v>
      </c>
      <c r="X123" s="79"/>
      <c r="Y123" s="79"/>
      <c r="Z123" s="79"/>
    </row>
    <row r="124" spans="2:26" ht="15" customHeight="1" thickBot="1" x14ac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</row>
    <row r="125" spans="2:26" ht="10.5" customHeight="1" thickBot="1" x14ac:dyDescent="0.3"/>
    <row r="126" spans="2:26" ht="15" customHeight="1" thickBot="1" x14ac:dyDescent="0.3">
      <c r="J126" s="79" t="s">
        <v>2</v>
      </c>
      <c r="K126" s="79"/>
      <c r="L126" s="79"/>
      <c r="M126" s="80" t="str">
        <f>M4</f>
        <v>C1010</v>
      </c>
      <c r="N126" s="80"/>
      <c r="O126" s="80"/>
      <c r="P126" s="80"/>
    </row>
    <row r="127" spans="2:26" s="15" customFormat="1" ht="15" customHeight="1" thickBot="1" x14ac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/>
    </row>
    <row r="128" spans="2:26" s="15" customFormat="1" ht="17.100000000000001" customHeight="1" thickBot="1" x14ac:dyDescent="0.3"/>
    <row r="129" spans="2:26" s="15" customFormat="1" ht="15" customHeight="1" thickBot="1" x14ac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/>
      <c r="W129" s="60"/>
      <c r="X129" s="23"/>
    </row>
    <row r="130" spans="2:26" s="15" customFormat="1" ht="10.5" customHeight="1" thickBot="1" x14ac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2:26" s="15" customFormat="1" ht="21" customHeight="1" thickBot="1" x14ac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 t="s">
        <v>8</v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x14ac:dyDescent="0.3">
      <c r="B132" s="8"/>
      <c r="C132" s="11"/>
      <c r="D132" s="73" t="s">
        <v>100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5"/>
      <c r="V132" s="9"/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>
        <f>IF(ISTEXT(D133),MAX($C$10:C132)+1,"")</f>
        <v>48</v>
      </c>
      <c r="D133" s="70" t="s">
        <v>204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/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>
        <f>IF(ISTEXT(D134),MAX($C$10:C133)+1,"")</f>
        <v>49</v>
      </c>
      <c r="D134" s="70" t="s">
        <v>226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/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>
        <f>IF(ISTEXT(D135),MAX($C$10:C134)+1,"")</f>
        <v>50</v>
      </c>
      <c r="D135" s="70" t="s">
        <v>227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/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>
        <f>IF(ISTEXT(D136),MAX($C$10:C135)+1,"")</f>
        <v>51</v>
      </c>
      <c r="D136" s="70" t="s">
        <v>228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/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/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 t="str">
        <f>IF(ISTEXT(D138),MAX($C$10:C137)+1,"")</f>
        <v/>
      </c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/>
      <c r="W138" s="14"/>
      <c r="X138" s="14"/>
      <c r="Y138" s="14"/>
      <c r="Z138" s="14"/>
    </row>
    <row r="139" spans="2:26" ht="16.149999999999999" customHeight="1" thickBot="1" x14ac:dyDescent="0.3">
      <c r="B139" s="8"/>
      <c r="C139" s="11" t="str">
        <f>IF(ISTEXT(D139),MAX($C$10:C138)+1,"")</f>
        <v/>
      </c>
      <c r="D139" s="70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/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/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 t="str">
        <f>IF(ISTEXT(D141),MAX($C$10:C140)+1,"")</f>
        <v/>
      </c>
      <c r="D141" s="140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/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 t="str">
        <f>IF(ISTEXT(D142),MAX($C$10:C141)+1,"")</f>
        <v/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/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 t="str">
        <f>IF(ISTEXT(D143),MAX($C$10:C142)+1,"")</f>
        <v/>
      </c>
      <c r="D143" s="140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/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 t="str">
        <f>IF(ISTEXT(D144),MAX($C$10:C143)+1,"")</f>
        <v/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/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/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/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/>
      <c r="W147" s="14"/>
      <c r="X147" s="14"/>
      <c r="Y147" s="14"/>
      <c r="Z147" s="14"/>
    </row>
    <row r="148" spans="2:26" ht="16.5" thickBot="1" x14ac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/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52</v>
      </c>
      <c r="D149" s="70" t="s">
        <v>204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/>
      <c r="W149" s="14"/>
      <c r="X149" s="14"/>
      <c r="Y149" s="14"/>
      <c r="Z149" s="14"/>
    </row>
    <row r="150" spans="2:26" s="15" customFormat="1" ht="16.149999999999999" customHeight="1" thickBot="1" x14ac:dyDescent="0.3">
      <c r="B150" s="8"/>
      <c r="C150" s="11">
        <f>IF(ISTEXT(D150),MAX($C$10:C149)+1,"")</f>
        <v>53</v>
      </c>
      <c r="D150" s="70" t="s">
        <v>335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/>
      <c r="W150" s="14"/>
      <c r="X150" s="14"/>
      <c r="Y150" s="14"/>
      <c r="Z150" s="14"/>
    </row>
    <row r="151" spans="2:26" s="15" customFormat="1" ht="16.149999999999999" customHeight="1" thickBot="1" x14ac:dyDescent="0.25">
      <c r="B151" s="8"/>
      <c r="C151" s="11">
        <f>IF(ISTEXT(D151),MAX($C$10:C150)+1,"")</f>
        <v>54</v>
      </c>
      <c r="D151" s="95" t="s">
        <v>237</v>
      </c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"/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>
        <f>IF(ISTEXT(D152),MAX($C$10:C151)+1,"")</f>
        <v>55</v>
      </c>
      <c r="D152" s="70" t="s">
        <v>329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/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>
        <f>IF(ISTEXT(D153),MAX($C$10:C152)+1,"")</f>
        <v>56</v>
      </c>
      <c r="D153" s="70" t="s">
        <v>336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/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>
        <f>IF(ISTEXT(D154),MAX($C$10:C153)+1,"")</f>
        <v>57</v>
      </c>
      <c r="D154" s="70" t="s">
        <v>71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>
        <f>IF(ISTEXT(D155),MAX($C$10:C154)+1,"")</f>
        <v>58</v>
      </c>
      <c r="D155" s="70" t="s">
        <v>207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/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>
        <f>IF(ISTEXT(D156),MAX($C$10:C155)+1,"")</f>
        <v>59</v>
      </c>
      <c r="D156" s="70" t="s">
        <v>240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/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60</v>
      </c>
      <c r="D157" s="70" t="s">
        <v>241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/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61</v>
      </c>
      <c r="D158" s="70" t="s">
        <v>242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/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>
        <f>IF(ISTEXT(D159),MAX($C$10:C158)+1,"")</f>
        <v>62</v>
      </c>
      <c r="D159" s="70" t="s">
        <v>79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/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>
        <f>IF(ISTEXT(D160),MAX($C$10:C159)+1,"")</f>
        <v>63</v>
      </c>
      <c r="D160" s="70" t="s">
        <v>243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/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>
        <f>IF(ISTEXT(D161),MAX($C$10:C160)+1,"")</f>
        <v>64</v>
      </c>
      <c r="D161" s="70" t="s">
        <v>244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>
        <f>IF(ISTEXT(D162),MAX($C$10:C161)+1,"")</f>
        <v>65</v>
      </c>
      <c r="D162" s="70" t="s">
        <v>337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/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>
        <f>IF(ISTEXT(D163),MAX($C$10:C162)+1,"")</f>
        <v>66</v>
      </c>
      <c r="D163" s="70" t="s">
        <v>338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/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>
        <f>IF(ISTEXT(D164),MAX($C$10:C163)+1,"")</f>
        <v>67</v>
      </c>
      <c r="D164" s="70" t="s">
        <v>333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/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/>
      <c r="D167" s="73" t="s">
        <v>120</v>
      </c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5"/>
      <c r="V167" s="9"/>
      <c r="W167" s="14"/>
      <c r="X167" s="14"/>
      <c r="Y167" s="14"/>
      <c r="Z167" s="14"/>
    </row>
    <row r="168" spans="2:26" s="15" customFormat="1" ht="16.149999999999999" customHeight="1" thickBot="1" x14ac:dyDescent="0.3">
      <c r="B168" s="8"/>
      <c r="C168" s="11" t="str">
        <f>IF(ISTEXT(D168),MAX($C$10:C167)+1,"")</f>
        <v/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/>
      <c r="W168" s="14"/>
      <c r="X168" s="14"/>
      <c r="Y168" s="14"/>
      <c r="Z168" s="14"/>
    </row>
    <row r="169" spans="2:26" s="15" customFormat="1" ht="16.149999999999999" customHeight="1" thickBot="1" x14ac:dyDescent="0.3">
      <c r="B169" s="8"/>
      <c r="C169" s="11">
        <f>IF(ISTEXT(D169),MAX($C$10:C168)+1,"")</f>
        <v>68</v>
      </c>
      <c r="D169" s="70" t="s">
        <v>251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/>
      <c r="W169" s="14"/>
      <c r="X169" s="14"/>
      <c r="Y169" s="14"/>
      <c r="Z169" s="14"/>
    </row>
    <row r="170" spans="2:26" s="15" customFormat="1" ht="16.149999999999999" customHeight="1" thickBot="1" x14ac:dyDescent="0.3">
      <c r="B170" s="8"/>
      <c r="C170" s="11">
        <f>IF(ISTEXT(D170),MAX($C$10:C169)+1,"")</f>
        <v>69</v>
      </c>
      <c r="D170" s="70" t="s">
        <v>339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/>
      <c r="W170" s="14"/>
      <c r="X170" s="14"/>
      <c r="Y170" s="14"/>
      <c r="Z170" s="14"/>
    </row>
    <row r="171" spans="2:26" s="15" customFormat="1" ht="16.149999999999999" customHeight="1" thickBot="1" x14ac:dyDescent="0.3">
      <c r="B171" s="8"/>
      <c r="C171" s="11">
        <f>IF(ISTEXT(D171),MAX($C$10:C170)+1,"")</f>
        <v>70</v>
      </c>
      <c r="D171" s="70" t="s">
        <v>340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/>
      <c r="W171" s="14"/>
      <c r="X171" s="14"/>
      <c r="Y171" s="14"/>
      <c r="Z171" s="14"/>
    </row>
    <row r="172" spans="2:26" s="15" customFormat="1" ht="16.149999999999999" customHeight="1" thickBot="1" x14ac:dyDescent="0.3">
      <c r="B172" s="8"/>
      <c r="C172" s="11">
        <f>IF(ISTEXT(D172),MAX($C$10:C171)+1,"")</f>
        <v>71</v>
      </c>
      <c r="D172" s="70" t="s">
        <v>254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/>
      <c r="W172" s="14"/>
      <c r="X172" s="14"/>
      <c r="Y172" s="14"/>
      <c r="Z172" s="14"/>
    </row>
    <row r="173" spans="2:26" s="15" customFormat="1" ht="16.149999999999999" customHeight="1" thickBot="1" x14ac:dyDescent="0.3">
      <c r="B173" s="8"/>
      <c r="C173" s="11">
        <f>IF(ISTEXT(D173),MAX($C$10:C172)+1,"")</f>
        <v>72</v>
      </c>
      <c r="D173" s="70" t="s">
        <v>255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/>
      <c r="W173" s="14"/>
      <c r="X173" s="14"/>
      <c r="Y173" s="14"/>
      <c r="Z173" s="14"/>
    </row>
    <row r="174" spans="2:26" s="15" customFormat="1" ht="16.149999999999999" customHeight="1" thickBot="1" x14ac:dyDescent="0.3">
      <c r="B174" s="8"/>
      <c r="C174" s="11">
        <f>IF(ISTEXT(D174),MAX($C$10:C172)+1,"")</f>
        <v>72</v>
      </c>
      <c r="D174" s="66" t="s">
        <v>341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/>
      <c r="W174" s="14"/>
      <c r="X174" s="14"/>
      <c r="Y174" s="14"/>
      <c r="Z174" s="14"/>
    </row>
    <row r="175" spans="2:26" s="15" customFormat="1" ht="16.149999999999999" customHeight="1" thickBot="1" x14ac:dyDescent="0.3">
      <c r="B175" s="8"/>
      <c r="C175" s="11">
        <f>IF(ISTEXT(D175),MAX($C$10:C174)+1,"")</f>
        <v>73</v>
      </c>
      <c r="D175" s="70" t="s">
        <v>342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/>
      <c r="W175" s="14"/>
      <c r="X175" s="14"/>
      <c r="Y175" s="14"/>
      <c r="Z175" s="14"/>
    </row>
    <row r="176" spans="2:26" s="15" customFormat="1" ht="16.149999999999999" customHeight="1" thickBot="1" x14ac:dyDescent="0.3">
      <c r="B176" s="8"/>
      <c r="C176" s="11">
        <f>IF(ISTEXT(D176),MAX($C$10:C175)+1,"")</f>
        <v>74</v>
      </c>
      <c r="D176" s="66" t="s">
        <v>258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/>
      <c r="W176" s="14"/>
      <c r="X176" s="14"/>
      <c r="Y176" s="14"/>
      <c r="Z176" s="14"/>
    </row>
    <row r="177" spans="2:26" ht="15" customHeight="1" x14ac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</row>
    <row r="178" spans="2:26" x14ac:dyDescent="0.25">
      <c r="B178" s="20"/>
      <c r="C178" s="21"/>
      <c r="O178" s="22"/>
      <c r="P178" s="22"/>
      <c r="Q178" s="23"/>
      <c r="R178" s="23"/>
      <c r="S178" s="22"/>
      <c r="T178" s="22"/>
    </row>
    <row r="179" spans="2:26" ht="15.75" thickBot="1" x14ac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</row>
    <row r="180" spans="2:26" ht="15" customHeight="1" x14ac:dyDescent="0.25">
      <c r="C180" s="29"/>
      <c r="I180" s="30"/>
      <c r="O180" s="65"/>
      <c r="P180" s="65"/>
      <c r="Q180" s="60"/>
      <c r="R180" s="60"/>
      <c r="S180" s="65"/>
      <c r="T180" s="65"/>
    </row>
    <row r="181" spans="2:26" ht="15.75" thickBot="1" x14ac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/>
      <c r="W181" s="93"/>
      <c r="X181" s="93"/>
      <c r="Y181" s="93"/>
    </row>
    <row r="182" spans="2:26" ht="15" customHeight="1" x14ac:dyDescent="0.25"/>
    <row r="183" spans="2:26" ht="15" customHeight="1" thickBot="1" x14ac:dyDescent="0.3"/>
    <row r="184" spans="2:26" ht="15" customHeight="1" x14ac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2" t="s">
        <v>126</v>
      </c>
      <c r="X184" s="79"/>
      <c r="Y184" s="79"/>
      <c r="Z184" s="79"/>
    </row>
    <row r="185" spans="2:26" ht="15" customHeight="1" thickBot="1" x14ac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</row>
    <row r="186" spans="2:26" ht="10.5" customHeight="1" thickBot="1" x14ac:dyDescent="0.3"/>
    <row r="187" spans="2:26" ht="15" customHeight="1" thickBot="1" x14ac:dyDescent="0.3">
      <c r="J187" s="79" t="s">
        <v>2</v>
      </c>
      <c r="K187" s="79"/>
      <c r="L187" s="79"/>
      <c r="M187" s="80" t="str">
        <f>M4</f>
        <v>C1010</v>
      </c>
      <c r="N187" s="80"/>
      <c r="O187" s="80"/>
      <c r="P187" s="80"/>
    </row>
    <row r="188" spans="2:26" s="15" customFormat="1" ht="15" customHeight="1" thickBot="1" x14ac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/>
    </row>
    <row r="189" spans="2:26" s="15" customFormat="1" ht="8.25" customHeight="1" thickBot="1" x14ac:dyDescent="0.3">
      <c r="M189" s="38"/>
      <c r="N189" s="38"/>
      <c r="O189" s="38"/>
      <c r="P189" s="38"/>
    </row>
    <row r="190" spans="2:26" s="15" customFormat="1" ht="15" customHeight="1" thickBot="1" x14ac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/>
      <c r="W190" s="60"/>
      <c r="X190" s="23"/>
    </row>
    <row r="191" spans="2:26" s="15" customFormat="1" ht="10.5" customHeight="1" thickBot="1" x14ac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2:26" s="15" customFormat="1" ht="21" customHeight="1" thickBot="1" x14ac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 t="s">
        <v>8</v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x14ac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/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>
        <f>IF(ISTEXT(D194),MAX($C$10:C193),"")</f>
        <v>74</v>
      </c>
      <c r="D194" s="70" t="s">
        <v>343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/>
      <c r="W194" s="14"/>
      <c r="X194" s="14"/>
      <c r="Y194" s="14"/>
      <c r="Z194" s="14"/>
    </row>
    <row r="195" spans="2:26" s="15" customFormat="1" ht="16.149999999999999" customHeight="1" thickBot="1" x14ac:dyDescent="0.3">
      <c r="B195" s="8"/>
      <c r="C195" s="11">
        <f>IF(ISTEXT(D195),MAX($C$10:C194)+1,"")</f>
        <v>75</v>
      </c>
      <c r="D195" s="66" t="s">
        <v>259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/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IF(ISTEXT(D196),MAX($C$10:C195)+1,"")</f>
        <v>76</v>
      </c>
      <c r="D196" s="66" t="s">
        <v>344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/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>
        <f>IF(ISTEXT(D197),MAX($C$10:C196)+1,"")</f>
        <v>77</v>
      </c>
      <c r="D197" s="66" t="s">
        <v>261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/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>
        <f>IF(ISTEXT(D198),MAX($C$10:C197)+1,"")</f>
        <v>78</v>
      </c>
      <c r="D198" s="66" t="s">
        <v>262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/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>
        <f>IF(ISTEXT(D199),MAX($C$10:C198)+1,"")</f>
        <v>79</v>
      </c>
      <c r="D199" s="70" t="s">
        <v>263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/>
      <c r="W199" s="14"/>
      <c r="X199" s="14"/>
      <c r="Y199" s="14"/>
      <c r="Z199" s="14"/>
    </row>
    <row r="200" spans="2:26" ht="16.149999999999999" customHeight="1" thickBot="1" x14ac:dyDescent="0.3">
      <c r="B200" s="8"/>
      <c r="C200" s="11">
        <f>IF(ISTEXT(D200),MAX($C$10:C199)+1,"")</f>
        <v>80</v>
      </c>
      <c r="D200" s="66" t="s">
        <v>345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/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>
        <f>IF(ISTEXT(D201),MAX($C$10:C200)+1,"")</f>
        <v>81</v>
      </c>
      <c r="D201" s="66" t="s">
        <v>346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/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>
        <f>IF(ISTEXT(D202),MAX($C$10:C201)+1,"")</f>
        <v>82</v>
      </c>
      <c r="D202" s="70" t="s">
        <v>266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>
        <f>IF(ISTEXT(D203),MAX($C$10:C202)+1,"")</f>
        <v>83</v>
      </c>
      <c r="D203" s="70" t="s">
        <v>347</v>
      </c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/>
      <c r="W203" s="14"/>
      <c r="X203" s="14"/>
      <c r="Y203" s="14"/>
      <c r="Z203" s="14"/>
    </row>
    <row r="204" spans="2:26" s="15" customFormat="1" ht="15.95" customHeight="1" thickBot="1" x14ac:dyDescent="0.3">
      <c r="B204" s="8"/>
      <c r="C204" s="11">
        <f>IF(ISTEXT(D204),MAX($C$10:C203)+1,"")</f>
        <v>84</v>
      </c>
      <c r="D204" s="70" t="s">
        <v>348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>
        <f>IF(ISTEXT(D205),MAX($C$10:C204)+1,"")</f>
        <v>85</v>
      </c>
      <c r="D205" s="66" t="s">
        <v>349</v>
      </c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/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/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/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/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/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/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/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/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/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/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86</v>
      </c>
      <c r="D216" s="66" t="s">
        <v>268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/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87</v>
      </c>
      <c r="D217" s="66" t="s">
        <v>269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/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88</v>
      </c>
      <c r="D218" s="66" t="s">
        <v>350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/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89</v>
      </c>
      <c r="D219" s="66" t="s">
        <v>271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/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90</v>
      </c>
      <c r="D220" s="66" t="s">
        <v>272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/>
      <c r="W220" s="14"/>
      <c r="X220" s="14"/>
      <c r="Y220" s="14"/>
      <c r="Z220" s="14"/>
    </row>
    <row r="221" spans="2:26" s="15" customFormat="1" ht="16.149999999999999" customHeight="1" thickBot="1" x14ac:dyDescent="0.3">
      <c r="B221" s="8"/>
      <c r="C221" s="11">
        <f>IF(ISTEXT(D221),MAX($C$10:C220)+1,"")</f>
        <v>91</v>
      </c>
      <c r="D221" s="66" t="s">
        <v>273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/>
      <c r="W221" s="14"/>
      <c r="X221" s="14"/>
      <c r="Y221" s="14"/>
      <c r="Z221" s="14"/>
    </row>
    <row r="222" spans="2:26" s="15" customFormat="1" ht="16.149999999999999" customHeight="1" thickBot="1" x14ac:dyDescent="0.3">
      <c r="B222" s="8"/>
      <c r="C222" s="11">
        <f>IF(ISTEXT(D222),MAX($C$10:C221)+1,"")</f>
        <v>92</v>
      </c>
      <c r="D222" s="66" t="s">
        <v>157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/>
      <c r="W222" s="14"/>
      <c r="X222" s="14"/>
      <c r="Y222" s="14"/>
      <c r="Z222" s="14"/>
    </row>
    <row r="223" spans="2:26" s="15" customFormat="1" ht="16.149999999999999" customHeight="1" thickBot="1" x14ac:dyDescent="0.3">
      <c r="B223" s="8"/>
      <c r="C223" s="11">
        <f>IF(ISTEXT(D223),MAX($C$10:C222)+1,"")</f>
        <v>93</v>
      </c>
      <c r="D223" s="66" t="s">
        <v>274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/>
      <c r="W223" s="14"/>
      <c r="X223" s="14"/>
      <c r="Y223" s="14"/>
      <c r="Z223" s="14"/>
    </row>
    <row r="224" spans="2:26" s="15" customFormat="1" ht="16.149999999999999" customHeight="1" thickBot="1" x14ac:dyDescent="0.3">
      <c r="B224" s="8"/>
      <c r="C224" s="11">
        <f>IF(ISTEXT(D224),MAX($C$10:C223)+1,"")</f>
        <v>94</v>
      </c>
      <c r="D224" s="66" t="s">
        <v>291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/>
      <c r="W224" s="14"/>
      <c r="X224" s="14"/>
      <c r="Y224" s="14"/>
      <c r="Z224" s="14"/>
    </row>
    <row r="225" spans="2:26" s="15" customFormat="1" ht="16.149999999999999" customHeight="1" thickBot="1" x14ac:dyDescent="0.3">
      <c r="B225" s="8"/>
      <c r="C225" s="11">
        <f>IF(ISTEXT(D225),MAX($C$10:C224)+1,"")</f>
        <v>95</v>
      </c>
      <c r="D225" s="66" t="s">
        <v>276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/>
      <c r="W225" s="14"/>
      <c r="X225" s="14"/>
      <c r="Y225" s="14"/>
      <c r="Z225" s="14"/>
    </row>
    <row r="226" spans="2:26" s="15" customFormat="1" ht="16.149999999999999" customHeight="1" thickBot="1" x14ac:dyDescent="0.3">
      <c r="B226" s="8"/>
      <c r="C226" s="11">
        <f>IF(ISTEXT(D226),MAX($C$10:C225)+1,"")</f>
        <v>96</v>
      </c>
      <c r="D226" s="66" t="s">
        <v>277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/>
      <c r="W226" s="14"/>
      <c r="X226" s="14"/>
      <c r="Y226" s="14"/>
      <c r="Z226" s="14"/>
    </row>
    <row r="227" spans="2:26" s="15" customFormat="1" ht="16.149999999999999" customHeight="1" thickBot="1" x14ac:dyDescent="0.3">
      <c r="B227" s="8"/>
      <c r="C227" s="11">
        <f>IF(ISTEXT(D227),MAX($C$10:C226)+1,"")</f>
        <v>97</v>
      </c>
      <c r="D227" s="150" t="s">
        <v>351</v>
      </c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/>
      <c r="W227" s="14"/>
      <c r="X227" s="14"/>
      <c r="Y227" s="14"/>
      <c r="Z227" s="14"/>
    </row>
    <row r="228" spans="2:26" s="15" customFormat="1" ht="16.149999999999999" customHeight="1" thickBot="1" x14ac:dyDescent="0.3">
      <c r="B228" s="8"/>
      <c r="C228" s="11">
        <f>IF(ISTEXT(D228),MAX($C$10:C227)+1,"")</f>
        <v>98</v>
      </c>
      <c r="D228" s="66" t="s">
        <v>352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/>
      <c r="W228" s="14"/>
      <c r="X228" s="14"/>
      <c r="Y228" s="14"/>
      <c r="Z228" s="14"/>
    </row>
    <row r="229" spans="2:26" s="15" customFormat="1" ht="16.149999999999999" customHeight="1" thickBot="1" x14ac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/>
      <c r="W229" s="14"/>
      <c r="X229" s="14"/>
      <c r="Y229" s="14"/>
      <c r="Z229" s="14"/>
    </row>
    <row r="230" spans="2:26" ht="15" customHeight="1" x14ac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</row>
    <row r="231" spans="2:26" x14ac:dyDescent="0.25">
      <c r="B231" s="20"/>
      <c r="C231" s="21"/>
      <c r="O231" s="22"/>
      <c r="P231" s="22"/>
      <c r="Q231" s="23"/>
      <c r="R231" s="23"/>
      <c r="S231" s="22"/>
      <c r="T231" s="22"/>
    </row>
    <row r="232" spans="2:26" ht="15.75" thickBot="1" x14ac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</row>
    <row r="233" spans="2:26" ht="15" customHeight="1" x14ac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</row>
    <row r="234" spans="2:26" ht="18" customHeight="1" thickBot="1" x14ac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/>
      <c r="W234" s="63"/>
      <c r="X234" s="62"/>
      <c r="Y234" s="62"/>
    </row>
    <row r="235" spans="2:26" ht="18" customHeight="1" thickBot="1" x14ac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/>
      <c r="W235" s="1"/>
      <c r="X235" s="4"/>
      <c r="Y235" s="4"/>
    </row>
    <row r="236" spans="2:26" ht="18" customHeight="1" thickBot="1" x14ac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/>
      <c r="W236" s="1"/>
      <c r="X236" s="4"/>
      <c r="Y236" s="4"/>
    </row>
    <row r="237" spans="2:26" ht="15" customHeight="1" x14ac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2" t="s">
        <v>159</v>
      </c>
      <c r="X237" s="79"/>
      <c r="Y237" s="79"/>
      <c r="Z237" s="79"/>
    </row>
    <row r="238" spans="2:26" ht="15" customHeight="1" thickBot="1" x14ac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</row>
    <row r="239" spans="2:26" ht="10.5" customHeight="1" thickBot="1" x14ac:dyDescent="0.3"/>
    <row r="240" spans="2:26" ht="15" customHeight="1" thickBot="1" x14ac:dyDescent="0.3">
      <c r="J240" s="79" t="s">
        <v>2</v>
      </c>
      <c r="K240" s="79"/>
      <c r="L240" s="79"/>
      <c r="M240" s="80" t="str">
        <f>M4</f>
        <v>C1010</v>
      </c>
      <c r="N240" s="80"/>
      <c r="O240" s="80"/>
      <c r="P240" s="80"/>
    </row>
    <row r="241" spans="2:26" s="15" customFormat="1" ht="15" customHeight="1" thickBot="1" x14ac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/>
    </row>
    <row r="242" spans="2:26" s="15" customFormat="1" ht="8.25" customHeight="1" thickBot="1" x14ac:dyDescent="0.3">
      <c r="M242" s="38"/>
      <c r="N242" s="38"/>
      <c r="O242" s="38"/>
      <c r="P242" s="38"/>
    </row>
    <row r="243" spans="2:26" s="15" customFormat="1" ht="15" customHeight="1" thickBot="1" x14ac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/>
      <c r="W243" s="60"/>
      <c r="X243" s="23"/>
    </row>
    <row r="244" spans="2:26" s="15" customFormat="1" ht="10.5" customHeight="1" thickBot="1" x14ac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2:26" s="15" customFormat="1" ht="21" customHeight="1" thickBot="1" x14ac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 t="s">
        <v>8</v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x14ac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/>
      <c r="W246" s="14"/>
      <c r="X246" s="14"/>
      <c r="Y246" s="14"/>
      <c r="Z246" s="14"/>
    </row>
    <row r="247" spans="2:26" s="15" customFormat="1" ht="16.149999999999999" customHeight="1" thickBot="1" x14ac:dyDescent="0.3">
      <c r="B247" s="8"/>
      <c r="C247" s="11">
        <f>IF(ISTEXT(D247),MAX($C$10:C246)+1,"")</f>
        <v>99</v>
      </c>
      <c r="D247" s="66" t="s">
        <v>268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/>
      <c r="W247" s="14"/>
      <c r="X247" s="14"/>
      <c r="Y247" s="14"/>
      <c r="Z247" s="14"/>
    </row>
    <row r="248" spans="2:26" s="15" customFormat="1" ht="16.149999999999999" customHeight="1" thickBot="1" x14ac:dyDescent="0.3">
      <c r="B248" s="8"/>
      <c r="C248" s="11">
        <f>IF(ISTEXT(D248),MAX($C$10:C247)+1,"")</f>
        <v>100</v>
      </c>
      <c r="D248" s="66" t="s">
        <v>269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/>
      <c r="W248" s="14"/>
      <c r="X248" s="14"/>
      <c r="Y248" s="14"/>
      <c r="Z248" s="14"/>
    </row>
    <row r="249" spans="2:26" s="15" customFormat="1" ht="16.149999999999999" customHeight="1" thickBot="1" x14ac:dyDescent="0.3">
      <c r="B249" s="8"/>
      <c r="C249" s="11">
        <f>IF(ISTEXT(D249),MAX($C$10:C248)+1,"")</f>
        <v>101</v>
      </c>
      <c r="D249" s="66" t="s">
        <v>350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/>
      <c r="W249" s="14"/>
      <c r="X249" s="14"/>
      <c r="Y249" s="14"/>
      <c r="Z249" s="14"/>
    </row>
    <row r="250" spans="2:26" s="15" customFormat="1" ht="16.149999999999999" customHeight="1" thickBot="1" x14ac:dyDescent="0.3">
      <c r="B250" s="8"/>
      <c r="C250" s="11">
        <f>IF(ISTEXT(D250),MAX($C$10:C249)+1,"")</f>
        <v>102</v>
      </c>
      <c r="D250" s="66" t="s">
        <v>271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/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44">
        <f>IF(ISTEXT(D251),MAX($C$10:C250)+1,"")</f>
        <v>103</v>
      </c>
      <c r="D251" s="66" t="s">
        <v>353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/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>
        <f>IF(ISTEXT(D252),MAX($C$10:C251)+1,"")</f>
        <v>104</v>
      </c>
      <c r="D252" s="66" t="s">
        <v>273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/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105</v>
      </c>
      <c r="D253" s="66" t="s">
        <v>157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/>
      <c r="W253" s="14"/>
      <c r="X253" s="14"/>
      <c r="Y253" s="14"/>
      <c r="Z253" s="14"/>
    </row>
    <row r="254" spans="2:26" ht="16.149999999999999" customHeight="1" thickBot="1" x14ac:dyDescent="0.3">
      <c r="B254" s="8"/>
      <c r="C254" s="44">
        <f>IF(ISTEXT(D254),MAX($C$10:C253)+1,"")</f>
        <v>106</v>
      </c>
      <c r="D254" s="66" t="s">
        <v>354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/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>
        <f>IF(ISTEXT(D255),MAX($C$10:C254)+1,"")</f>
        <v>107</v>
      </c>
      <c r="D255" s="66" t="s">
        <v>355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/>
      <c r="W255" s="14"/>
      <c r="X255" s="14"/>
      <c r="Y255" s="14"/>
      <c r="Z255" s="14"/>
    </row>
    <row r="256" spans="2:26" s="15" customFormat="1" ht="16.149999999999999" customHeight="1" thickBot="1" x14ac:dyDescent="0.3">
      <c r="B256" s="13"/>
      <c r="C256" s="44">
        <f>IF(ISTEXT(D256),MAX($C$10:C255)+1,"")</f>
        <v>108</v>
      </c>
      <c r="D256" s="66" t="s">
        <v>356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/>
      <c r="W256" s="14"/>
      <c r="X256" s="14"/>
      <c r="Y256" s="14"/>
      <c r="Z256" s="14"/>
    </row>
    <row r="257" spans="2:26" s="15" customFormat="1" ht="16.149999999999999" customHeight="1" thickBot="1" x14ac:dyDescent="0.3">
      <c r="B257" s="13"/>
      <c r="C257" s="44">
        <f>IF(ISTEXT(D257),MAX($C$10:C256)+1,"")</f>
        <v>109</v>
      </c>
      <c r="D257" s="70" t="s">
        <v>285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/>
      <c r="W257" s="14"/>
      <c r="X257" s="14"/>
      <c r="Y257" s="14"/>
      <c r="Z257" s="14"/>
    </row>
    <row r="258" spans="2:26" s="15" customFormat="1" ht="15.95" customHeight="1" thickBot="1" x14ac:dyDescent="0.3">
      <c r="B258" s="13"/>
      <c r="C258" s="44">
        <f>IF(ISTEXT(D258),MAX($C$10:C257)+1,"")</f>
        <v>110</v>
      </c>
      <c r="D258" s="66" t="s">
        <v>286</v>
      </c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/>
      <c r="W258" s="14"/>
      <c r="X258" s="14"/>
      <c r="Y258" s="14"/>
      <c r="Z258" s="14"/>
    </row>
    <row r="259" spans="2:26" s="15" customFormat="1" ht="16.149999999999999" customHeight="1" thickBot="1" x14ac:dyDescent="0.3">
      <c r="B259" s="13"/>
      <c r="C259" s="44">
        <f>IF(ISTEXT(D259),MAX($C$10:C258)+1,"")</f>
        <v>111</v>
      </c>
      <c r="D259" s="66" t="s">
        <v>287</v>
      </c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/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44">
        <f>IF(ISTEXT(D260),MAX($C$10:C259)+1,"")</f>
        <v>112</v>
      </c>
      <c r="D260" s="66" t="s">
        <v>274</v>
      </c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/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44">
        <f>IF(ISTEXT(D261),MAX($C$10:C260)+1,"")</f>
        <v>113</v>
      </c>
      <c r="D261" s="66" t="s">
        <v>357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0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44">
        <f>IF(ISTEXT(D262),MAX($C$10:C261)+1,"")</f>
        <v>114</v>
      </c>
      <c r="D262" s="70" t="s">
        <v>358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44">
        <f>IF(ISTEXT(D263),MAX($C$10:C262)+1,"")</f>
        <v>115</v>
      </c>
      <c r="D263" s="66" t="s">
        <v>291</v>
      </c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>
        <f>IF(ISTEXT(D265),MAX($C$10:C264)+1,"")</f>
        <v>116</v>
      </c>
      <c r="D265" s="70" t="s">
        <v>359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/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>
        <f>IF(ISTEXT(D266),MAX($C$10:C265)+1,"")</f>
        <v>117</v>
      </c>
      <c r="D266" s="66" t="s">
        <v>360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/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>
        <f>IF(ISTEXT(D267),MAX($C$10:C266)+1,"")</f>
        <v>118</v>
      </c>
      <c r="D267" s="70" t="s">
        <v>361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/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>
        <f>IF(ISTEXT(D268),MAX($C$10:C267)+1,"")</f>
        <v>119</v>
      </c>
      <c r="D268" s="70" t="s">
        <v>362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/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>
        <f>IF(ISTEXT(D269),MAX($C$10:C268)+1,"")</f>
        <v>120</v>
      </c>
      <c r="D269" s="70" t="s">
        <v>295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/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>
        <f>IF(ISTEXT(D270),MAX($C$10:C269)+1,"")</f>
        <v>121</v>
      </c>
      <c r="D270" s="70" t="s">
        <v>296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/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122</v>
      </c>
      <c r="D271" s="70" t="s">
        <v>297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/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123</v>
      </c>
      <c r="D272" s="70" t="s">
        <v>298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/>
      <c r="W272" s="14"/>
      <c r="X272" s="14"/>
      <c r="Y272" s="14"/>
      <c r="Z272" s="14"/>
    </row>
    <row r="273" spans="2:26" s="15" customFormat="1" ht="16.149999999999999" customHeight="1" thickBot="1" x14ac:dyDescent="0.3">
      <c r="B273" s="8"/>
      <c r="C273" s="11">
        <f>IF(ISTEXT(D273),MAX($C$10:C272)+1,"")</f>
        <v>124</v>
      </c>
      <c r="D273" s="66" t="s">
        <v>299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/>
      <c r="W273" s="14"/>
      <c r="X273" s="14"/>
      <c r="Y273" s="14"/>
      <c r="Z273" s="14"/>
    </row>
    <row r="274" spans="2:26" s="15" customFormat="1" ht="16.149999999999999" customHeight="1" thickBot="1" x14ac:dyDescent="0.3">
      <c r="B274" s="8"/>
      <c r="C274" s="11">
        <f>IF(ISTEXT(D274),MAX($C$10:C273)+1,"")</f>
        <v>125</v>
      </c>
      <c r="D274" s="140" t="s">
        <v>363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/>
      <c r="W274" s="14"/>
      <c r="X274" s="14"/>
      <c r="Y274" s="14"/>
      <c r="Z274" s="14"/>
    </row>
    <row r="275" spans="2:26" s="15" customFormat="1" ht="16.149999999999999" customHeight="1" thickBot="1" x14ac:dyDescent="0.3">
      <c r="B275" s="8"/>
      <c r="C275" s="11">
        <f>IF(ISTEXT(D275),MAX($C$10:C274)+1,"")</f>
        <v>126</v>
      </c>
      <c r="D275" s="137" t="s">
        <v>301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/>
      <c r="W275" s="14"/>
      <c r="X275" s="14"/>
      <c r="Y275" s="14"/>
      <c r="Z275" s="14"/>
    </row>
    <row r="276" spans="2:26" s="15" customFormat="1" ht="16.149999999999999" customHeight="1" thickBot="1" x14ac:dyDescent="0.3">
      <c r="B276" s="8"/>
      <c r="C276" s="11" t="str">
        <f>IF(ISTEXT(D276),MAX($C$10:C275)+1,"")</f>
        <v/>
      </c>
      <c r="D276" s="140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/>
      <c r="W276" s="14"/>
      <c r="X276" s="14"/>
      <c r="Y276" s="14"/>
      <c r="Z276" s="14"/>
    </row>
    <row r="277" spans="2:26" s="15" customFormat="1" ht="16.149999999999999" customHeight="1" thickBot="1" x14ac:dyDescent="0.3">
      <c r="B277" s="8"/>
      <c r="C277" s="11" t="str">
        <f>IF(ISTEXT(D277),MAX($C$10:C276)+1,"")</f>
        <v/>
      </c>
      <c r="D277" s="66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/>
      <c r="W277" s="14"/>
      <c r="X277" s="14"/>
      <c r="Y277" s="14"/>
      <c r="Z277" s="14"/>
    </row>
    <row r="278" spans="2:26" s="15" customFormat="1" ht="16.149999999999999" customHeight="1" thickBot="1" x14ac:dyDescent="0.3">
      <c r="B278" s="8"/>
      <c r="C278" s="11" t="str">
        <f>IF(ISTEXT(D278),MAX($C$10:C277)+1,"")</f>
        <v/>
      </c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/>
      <c r="W278" s="14"/>
      <c r="X278" s="14"/>
      <c r="Y278" s="14"/>
      <c r="Z278" s="14"/>
    </row>
    <row r="279" spans="2:26" s="15" customFormat="1" ht="16.149999999999999" customHeight="1" thickBot="1" x14ac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/>
      <c r="W279" s="14"/>
      <c r="X279" s="14"/>
      <c r="Y279" s="14"/>
      <c r="Z279" s="14"/>
    </row>
    <row r="280" spans="2:26" s="15" customFormat="1" ht="16.149999999999999" customHeight="1" thickBot="1" x14ac:dyDescent="0.3">
      <c r="B280" s="8"/>
      <c r="C280" s="11">
        <f>IF(ISTEXT(D280),MAX($C$10:C279)+1,"")</f>
        <v>127</v>
      </c>
      <c r="D280" s="66" t="s">
        <v>305</v>
      </c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/>
      <c r="W280" s="14"/>
      <c r="X280" s="14"/>
      <c r="Y280" s="14"/>
      <c r="Z280" s="14"/>
    </row>
    <row r="281" spans="2:26" s="15" customFormat="1" ht="16.149999999999999" customHeight="1" thickBot="1" x14ac:dyDescent="0.3">
      <c r="B281" s="8"/>
      <c r="C281" s="11">
        <f>IF(ISTEXT(D281),MAX($C$10:C280)+1,"")</f>
        <v>128</v>
      </c>
      <c r="D281" s="66" t="s">
        <v>306</v>
      </c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/>
      <c r="W281" s="14"/>
      <c r="X281" s="14"/>
      <c r="Y281" s="14"/>
      <c r="Z281" s="14"/>
    </row>
    <row r="282" spans="2:26" s="15" customFormat="1" ht="16.149999999999999" customHeight="1" thickBot="1" x14ac:dyDescent="0.3">
      <c r="B282" s="8"/>
      <c r="C282" s="11">
        <f>IF(ISTEXT(D282),MAX($C$10:C281)+1,"")</f>
        <v>129</v>
      </c>
      <c r="D282" s="66" t="s">
        <v>364</v>
      </c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/>
      <c r="W282" s="14"/>
      <c r="X282" s="14"/>
      <c r="Y282" s="14"/>
      <c r="Z282" s="14"/>
    </row>
    <row r="283" spans="2:26" s="15" customFormat="1" ht="16.149999999999999" customHeight="1" thickBot="1" x14ac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/>
      <c r="W283" s="14"/>
      <c r="X283" s="14"/>
      <c r="Y283" s="14"/>
      <c r="Z283" s="14"/>
    </row>
    <row r="284" spans="2:26" s="15" customFormat="1" ht="16.149999999999999" customHeight="1" thickBot="1" x14ac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/>
      <c r="W284" s="14"/>
      <c r="X284" s="14"/>
      <c r="Y284" s="14"/>
      <c r="Z284" s="14"/>
    </row>
    <row r="285" spans="2:26" s="15" customFormat="1" ht="16.149999999999999" customHeight="1" thickBot="1" x14ac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/>
      <c r="W285" s="14"/>
      <c r="X285" s="14"/>
      <c r="Y285" s="14"/>
      <c r="Z285" s="14"/>
    </row>
    <row r="286" spans="2:26" ht="15" customHeight="1" x14ac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</row>
    <row r="287" spans="2:26" x14ac:dyDescent="0.25">
      <c r="B287" s="20"/>
      <c r="C287" s="21"/>
      <c r="O287" s="22"/>
      <c r="P287" s="22"/>
      <c r="Q287" s="23"/>
      <c r="R287" s="23"/>
      <c r="S287" s="22"/>
      <c r="T287" s="22"/>
    </row>
    <row r="288" spans="2:26" ht="15.75" thickBot="1" x14ac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</row>
    <row r="289" spans="2:256" ht="15" customHeight="1" x14ac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</row>
    <row r="290" spans="2:256" ht="18" customHeight="1" thickBot="1" x14ac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/>
      <c r="W290" s="63"/>
      <c r="X290" s="62"/>
      <c r="Y290" s="62"/>
    </row>
    <row r="291" spans="2:256" ht="20.100000000000001" customHeight="1" x14ac:dyDescent="0.25">
      <c r="B291" s="15"/>
      <c r="C291" s="15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x14ac:dyDescent="0.25">
      <c r="B292" s="15"/>
      <c r="C292" s="15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x14ac:dyDescent="0.25">
      <c r="B293" s="15"/>
      <c r="C293" s="15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x14ac:dyDescent="0.25">
      <c r="B294" s="15"/>
      <c r="C294" s="15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x14ac:dyDescent="0.25">
      <c r="B295" s="15"/>
      <c r="C295" s="1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x14ac:dyDescent="0.25">
      <c r="B296" s="15"/>
      <c r="C296" s="15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x14ac:dyDescent="0.25">
      <c r="B297" s="15"/>
      <c r="C297" s="15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x14ac:dyDescent="0.25">
      <c r="B298" s="15"/>
      <c r="C298" s="15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x14ac:dyDescent="0.25">
      <c r="B299" s="15"/>
      <c r="C299" s="15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x14ac:dyDescent="0.25"/>
    <row r="301" spans="2:256" s="15" customFormat="1" ht="15.95" customHeight="1" x14ac:dyDescent="0.25"/>
    <row r="302" spans="2:256" s="15" customFormat="1" ht="17.100000000000001" customHeight="1" x14ac:dyDescent="0.25"/>
    <row r="303" spans="2:256" s="15" customFormat="1" ht="18.95" customHeight="1" x14ac:dyDescent="0.25"/>
    <row r="304" spans="2:256" s="15" customFormat="1" ht="21" customHeight="1" x14ac:dyDescent="0.25"/>
    <row r="305" spans="2:256" s="15" customFormat="1" ht="16.149999999999999" customHeight="1" x14ac:dyDescent="0.25"/>
    <row r="306" spans="2:256" s="15" customFormat="1" ht="16.149999999999999" customHeight="1" x14ac:dyDescent="0.25"/>
    <row r="307" spans="2:256" s="15" customFormat="1" ht="16.149999999999999" customHeight="1" x14ac:dyDescent="0.25"/>
    <row r="308" spans="2:256" s="15" customFormat="1" ht="16.149999999999999" customHeight="1" x14ac:dyDescent="0.25"/>
    <row r="309" spans="2:256" s="15" customFormat="1" ht="16.149999999999999" customHeight="1" x14ac:dyDescent="0.25"/>
    <row r="310" spans="2:256" s="15" customFormat="1" ht="16.149999999999999" customHeight="1" x14ac:dyDescent="0.25"/>
    <row r="311" spans="2:256" s="15" customFormat="1" ht="16.149999999999999" customHeight="1" x14ac:dyDescent="0.25"/>
    <row r="312" spans="2:256" ht="16.149999999999999" customHeight="1" x14ac:dyDescent="0.25">
      <c r="B312" s="15"/>
      <c r="C312" s="15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x14ac:dyDescent="0.25"/>
    <row r="314" spans="2:256" s="15" customFormat="1" ht="16.149999999999999" customHeight="1" x14ac:dyDescent="0.25"/>
    <row r="315" spans="2:256" s="15" customFormat="1" ht="16.149999999999999" customHeight="1" x14ac:dyDescent="0.25"/>
    <row r="316" spans="2:256" s="15" customFormat="1" ht="16.149999999999999" customHeight="1" x14ac:dyDescent="0.25"/>
    <row r="317" spans="2:256" s="15" customFormat="1" ht="16.149999999999999" customHeight="1" x14ac:dyDescent="0.25"/>
    <row r="318" spans="2:256" s="15" customFormat="1" ht="16.149999999999999" customHeight="1" x14ac:dyDescent="0.25"/>
    <row r="319" spans="2:256" s="15" customFormat="1" ht="16.149999999999999" customHeight="1" x14ac:dyDescent="0.25"/>
    <row r="320" spans="2:256" s="15" customFormat="1" ht="16.149999999999999" customHeight="1" x14ac:dyDescent="0.25"/>
    <row r="321" s="15" customFormat="1" ht="16.149999999999999" customHeight="1" x14ac:dyDescent="0.25"/>
    <row r="322" s="15" customFormat="1" ht="16.149999999999999" customHeight="1" x14ac:dyDescent="0.25"/>
    <row r="323" s="15" customFormat="1" ht="16.149999999999999" customHeight="1" x14ac:dyDescent="0.25"/>
    <row r="324" s="15" customFormat="1" ht="16.149999999999999" customHeight="1" x14ac:dyDescent="0.25"/>
    <row r="325" s="15" customFormat="1" ht="16.149999999999999" customHeight="1" x14ac:dyDescent="0.25"/>
    <row r="326" s="15" customFormat="1" ht="16.149999999999999" customHeight="1" x14ac:dyDescent="0.25"/>
    <row r="327" s="15" customFormat="1" ht="16.149999999999999" customHeight="1" x14ac:dyDescent="0.25"/>
    <row r="328" s="15" customFormat="1" ht="16.149999999999999" customHeight="1" x14ac:dyDescent="0.25"/>
    <row r="329" s="15" customFormat="1" ht="16.149999999999999" customHeight="1" x14ac:dyDescent="0.25"/>
    <row r="330" s="15" customFormat="1" ht="16.149999999999999" customHeight="1" x14ac:dyDescent="0.25"/>
    <row r="331" s="15" customFormat="1" ht="16.149999999999999" customHeight="1" x14ac:dyDescent="0.25"/>
    <row r="332" s="15" customFormat="1" ht="16.149999999999999" customHeight="1" x14ac:dyDescent="0.25"/>
    <row r="333" s="15" customFormat="1" ht="16.149999999999999" customHeight="1" x14ac:dyDescent="0.25"/>
    <row r="334" s="15" customFormat="1" ht="16.149999999999999" customHeight="1" x14ac:dyDescent="0.25"/>
    <row r="335" s="15" customFormat="1" ht="16.149999999999999" customHeight="1" x14ac:dyDescent="0.25"/>
    <row r="336" s="15" customFormat="1" ht="16.149999999999999" customHeight="1" x14ac:dyDescent="0.25"/>
    <row r="337" spans="2:256" s="15" customFormat="1" ht="16.149999999999999" customHeight="1" x14ac:dyDescent="0.25"/>
    <row r="338" spans="2:256" s="15" customFormat="1" ht="16.149999999999999" customHeight="1" x14ac:dyDescent="0.25"/>
    <row r="339" spans="2:256" s="15" customFormat="1" ht="16.149999999999999" customHeight="1" x14ac:dyDescent="0.25"/>
    <row r="340" spans="2:256" s="15" customFormat="1" ht="16.149999999999999" customHeight="1" x14ac:dyDescent="0.25"/>
    <row r="341" spans="2:256" s="15" customFormat="1" ht="16.149999999999999" customHeight="1" x14ac:dyDescent="0.25"/>
    <row r="342" spans="2:256" s="15" customFormat="1" ht="16.149999999999999" customHeight="1" x14ac:dyDescent="0.25"/>
    <row r="343" spans="2:256" ht="15" customHeight="1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x14ac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x14ac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x14ac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x14ac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x14ac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x14ac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x14ac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x14ac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x14ac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BjBriKDRUSKb3WGs/R6Y4OUjtK81AVQhm4j8snMfQUtBO8JAVhZ5fYI9Mo6D9VbcCstwakDcvlUMtSmdApDW6w==" saltValue="Ux9kJ6UlSJ86W9oEK3S/ng==" spinCount="100000" sheet="1" formatCells="0" formatColumns="0" formatRows="0" insertColumns="0" insertRows="0" insertHyperlinks="0" deleteColumns="0" deleteRows="0" sort="0" autoFilter="0" pivotTables="0"/>
  <mergeCells count="331"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dataValidations count="1">
    <dataValidation type="list" allowBlank="1" showInputMessage="1" sqref="D102:U102" xr:uid="{ADB20F07-D743-42FC-806A-1E56FCF03F92}">
      <formula1>#REF!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956B9BEE-ED1F-42F4-8A86-5A58EE094BBC}">
          <x14:formula1>
            <xm:f>Common_Defect_List!$B$2:$B$5</xm:f>
          </x14:formula1>
          <xm:sqref>V194:V229 V132:V176 V11:V62 V79:V115 V247:V285</xm:sqref>
        </x14:dataValidation>
        <x14:dataValidation type="list" allowBlank="1" showInputMessage="1" showErrorMessage="1" xr:uid="{CE665B16-AFDF-4F8C-A512-36909031DDEC}">
          <x14:formula1>
            <xm:f>Common_Defect_List!$A:$A</xm:f>
          </x14:formula1>
          <xm:sqref>D142:U142 D111:U111 D113:U113 D97:U97</xm:sqref>
        </x14:dataValidation>
        <x14:dataValidation type="list" allowBlank="1" showInputMessage="1" xr:uid="{FFE366DC-34AF-4063-9B05-925DB77CF3ED}">
          <x14:formula1>
            <xm:f>Common_Defect_List!$A:$A</xm:f>
          </x14:formula1>
          <xm:sqref>D162:U164 E253:U263 D114:D115 D194:U211 D98:D100 D265:U273 D34:U48 D62:U62 D103:U109 D11:D32 E11:U23 E25:U32 D144:U145 D133:U140 E213:U213 D149:U156 D247:D263 E222:U229 D158:U160 D275:U275 D277:U285 E173:U176 E98:U98 D170:D176 E170:U171 D213:D229 D168:U168 D166:U166 D79:U96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F408-D825-4EFE-93DD-67FAB0EBC16C}">
  <sheetPr>
    <pageSetUpPr fitToPage="1"/>
  </sheetPr>
  <dimension ref="A1:IV400"/>
  <sheetViews>
    <sheetView view="pageBreakPreview" zoomScaleNormal="100" zoomScaleSheetLayoutView="100" workbookViewId="0">
      <selection activeCell="D18" sqref="D18:U18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365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36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x14ac:dyDescent="0.3">
      <c r="B11" s="8"/>
      <c r="C11" s="11">
        <v>1</v>
      </c>
      <c r="D11" s="101" t="s">
        <v>366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 t="s">
        <v>22</v>
      </c>
      <c r="W11" s="10"/>
      <c r="X11" s="10"/>
      <c r="Y11" s="10"/>
      <c r="Z11" s="10"/>
    </row>
    <row r="12" spans="2:29" s="4" customFormat="1" ht="16.350000000000001" customHeight="1" thickBot="1" x14ac:dyDescent="0.3">
      <c r="B12" s="8"/>
      <c r="C12" s="11">
        <f>IF(ISTEXT(D12),MAX($C$10:C11)+1,"")</f>
        <v>2</v>
      </c>
      <c r="D12" s="101" t="s">
        <v>367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 t="s">
        <v>22</v>
      </c>
      <c r="W12" s="10"/>
      <c r="X12" s="10"/>
      <c r="Y12" s="10"/>
      <c r="Z12" s="10"/>
    </row>
    <row r="13" spans="2:29" s="4" customFormat="1" ht="16.350000000000001" customHeight="1" thickBot="1" x14ac:dyDescent="0.3">
      <c r="B13" s="8"/>
      <c r="C13" s="11">
        <f>IF(ISTEXT(D13),MAX($C$10:C12)+1,"")</f>
        <v>3</v>
      </c>
      <c r="D13" s="101" t="s">
        <v>368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 t="s">
        <v>22</v>
      </c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f>IF(ISTEXT(D14),MAX($C$10:C13)+1,"")</f>
        <v>4</v>
      </c>
      <c r="D14" s="101" t="s">
        <v>369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 t="s">
        <v>28</v>
      </c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f>IF(ISTEXT(D15),MAX($C$10:C14)+1,"")</f>
        <v>5</v>
      </c>
      <c r="D15" s="101" t="s">
        <v>370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 t="s">
        <v>22</v>
      </c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f>IF(ISTEXT(D16),MAX($C$10:C15)+1,"")</f>
        <v>6</v>
      </c>
      <c r="D16" s="101" t="s">
        <v>371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 t="s">
        <v>22</v>
      </c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f>IF(ISTEXT(D17),MAX($C$10:C16)+1,"")</f>
        <v>7</v>
      </c>
      <c r="D17" s="101" t="s">
        <v>372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 t="s">
        <v>28</v>
      </c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f>IF(ISTEXT(D18),MAX($C$10:C17)+1,"")</f>
        <v>8</v>
      </c>
      <c r="D18" s="101" t="s">
        <v>373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 t="s">
        <v>28</v>
      </c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f>IF(ISTEXT(D19),MAX($C$10:C18)+1,"")</f>
        <v>9</v>
      </c>
      <c r="D19" s="101" t="s">
        <v>374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 t="s">
        <v>22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f>IF(ISTEXT(D20),MAX($C$10:C19)+1,"")</f>
        <v>10</v>
      </c>
      <c r="D20" s="101" t="s">
        <v>375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 t="s">
        <v>72</v>
      </c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f>IF(ISTEXT(D21),MAX($C$10:C20)+1,"")</f>
        <v>11</v>
      </c>
      <c r="D21" s="101" t="s">
        <v>376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 t="s">
        <v>22</v>
      </c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f>IF(ISTEXT(D22),MAX($C$10:C21)+1,"")</f>
        <v>12</v>
      </c>
      <c r="D22" s="101" t="s">
        <v>377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 t="s">
        <v>22</v>
      </c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f>IF(ISTEXT(D23),MAX($C$10:C22)+1,"")</f>
        <v>13</v>
      </c>
      <c r="D23" s="101" t="s">
        <v>378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 t="s">
        <v>52</v>
      </c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f>IF(ISTEXT(D24),MAX($C$10:C23)+1,"")</f>
        <v>14</v>
      </c>
      <c r="D24" s="101" t="s">
        <v>379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 t="s">
        <v>52</v>
      </c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f>IF(ISTEXT(D25),MAX($C$10:C24)+1,"")</f>
        <v>15</v>
      </c>
      <c r="D25" s="101" t="s">
        <v>380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 t="s">
        <v>28</v>
      </c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f>IF(ISTEXT(D26),MAX($C$10:C25)+1,"")</f>
        <v>16</v>
      </c>
      <c r="D26" s="101" t="s">
        <v>381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 t="s">
        <v>52</v>
      </c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f>IF(ISTEXT(D27),MAX($C$10:C26)+1,"")</f>
        <v>17</v>
      </c>
      <c r="D27" s="101" t="s">
        <v>382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 t="s">
        <v>52</v>
      </c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f>IF(ISTEXT(D28),MAX($C$10:C27)+1,"")</f>
        <v>18</v>
      </c>
      <c r="D28" s="101" t="s">
        <v>383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 t="s">
        <v>52</v>
      </c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f>IF(ISTEXT(D29),MAX($C$10:C28)+1,"")</f>
        <v>19</v>
      </c>
      <c r="D29" s="101" t="s">
        <v>384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 t="s">
        <v>22</v>
      </c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 t="str">
        <f>IF(ISTEXT(D30),MAX($C$10:C29)+1,"")</f>
        <v/>
      </c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/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 t="str">
        <f>IF(ISTEXT(D31),MAX($C$10:C30)+1,"")</f>
        <v/>
      </c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/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 t="str">
        <f>IF(ISTEXT(D32),MAX($C$10:C31)+1,"")</f>
        <v/>
      </c>
      <c r="D32" s="10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/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 t="str">
        <f>IF(ISTEXT(D32),MAX($C$10:C32)+1,"")</f>
        <v/>
      </c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/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 t="str">
        <f>IF(ISTEXT(D34),MAX($C$10:C33)+1,"")</f>
        <v/>
      </c>
      <c r="D34" s="10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/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 t="str">
        <f>IF(ISTEXT(D35),MAX($C$10:C34)+1,"")</f>
        <v/>
      </c>
      <c r="D35" s="10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/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 t="str">
        <f>IF(ISTEXT(D36),MAX($C$10:C35)+1,"")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/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 t="str">
        <f>IF(ISTEXT(D37),MAX($C$10:C36)+1,"")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/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 t="str">
        <f>IF(ISTEXT(D38),MAX($C$10:C37)+1,"")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/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/>
      <c r="W39" s="10"/>
      <c r="X39" s="10"/>
      <c r="Y39" s="10"/>
      <c r="Z39" s="10"/>
    </row>
    <row r="40" spans="2:26" s="4" customFormat="1" ht="15" customHeight="1" thickBot="1" x14ac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/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/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/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/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/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/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/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6.350000000000001" customHeight="1" thickBot="1" x14ac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/>
      <c r="W50" s="10"/>
      <c r="X50" s="10"/>
      <c r="Y50" s="10"/>
      <c r="Z50" s="10"/>
    </row>
    <row r="51" spans="2:26" s="4" customFormat="1" ht="16.350000000000001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/>
      <c r="W53" s="10"/>
      <c r="X53" s="10"/>
      <c r="Y53" s="10"/>
      <c r="Z53" s="10"/>
    </row>
    <row r="54" spans="2:26" s="4" customFormat="1" ht="16.350000000000001" customHeight="1" thickBot="1" x14ac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/>
      <c r="W54" s="10"/>
      <c r="X54" s="10"/>
      <c r="Y54" s="10"/>
      <c r="Z54" s="10"/>
    </row>
    <row r="55" spans="2:26" s="4" customFormat="1" ht="16.350000000000001" customHeight="1" thickBot="1" x14ac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/>
      <c r="W55" s="10"/>
      <c r="X55" s="10"/>
      <c r="Y55" s="10"/>
      <c r="Z55" s="10"/>
    </row>
    <row r="56" spans="2:26" s="4" customFormat="1" ht="16.350000000000001" customHeight="1" thickBot="1" x14ac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/>
      <c r="W56" s="18"/>
      <c r="X56" s="10"/>
      <c r="Y56" s="10"/>
      <c r="Z56" s="10"/>
    </row>
    <row r="57" spans="2:26" s="4" customFormat="1" ht="16.350000000000001" customHeight="1" thickBot="1" x14ac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/>
      <c r="W57" s="18"/>
      <c r="X57" s="10"/>
      <c r="Y57" s="10"/>
      <c r="Z57" s="10"/>
    </row>
    <row r="58" spans="2:26" s="15" customFormat="1" ht="15" customHeight="1" thickBot="1" x14ac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/>
      <c r="W58" s="14"/>
      <c r="X58" s="14"/>
      <c r="Y58" s="14"/>
      <c r="Z58" s="14"/>
    </row>
    <row r="59" spans="2:26" s="4" customFormat="1" ht="15.95" customHeight="1" thickBot="1" x14ac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/>
      <c r="W59" s="10"/>
      <c r="X59" s="10"/>
      <c r="Y59" s="10"/>
      <c r="Z59" s="10"/>
    </row>
    <row r="60" spans="2:26" s="4" customFormat="1" ht="15.95" customHeight="1" thickBot="1" x14ac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/>
      <c r="W60" s="10"/>
      <c r="X60" s="10"/>
      <c r="Y60" s="10"/>
      <c r="Z60" s="10"/>
    </row>
    <row r="61" spans="2:26" s="4" customFormat="1" ht="16.350000000000001" customHeight="1" thickBot="1" x14ac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/>
      <c r="W61" s="10"/>
      <c r="X61" s="10"/>
      <c r="Y61" s="10"/>
      <c r="Z61" s="10"/>
    </row>
    <row r="62" spans="2:26" s="4" customFormat="1" ht="16.350000000000001" customHeight="1" thickBot="1" x14ac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/>
      <c r="W62" s="10"/>
      <c r="X62" s="10"/>
      <c r="Y62" s="10"/>
      <c r="Z62" s="10"/>
    </row>
    <row r="63" spans="2:26" s="1" customFormat="1" ht="15" customHeight="1" x14ac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</row>
    <row r="64" spans="2:26" x14ac:dyDescent="0.25">
      <c r="B64" s="20"/>
      <c r="C64" s="21"/>
      <c r="O64" s="22"/>
      <c r="P64" s="22"/>
      <c r="Q64" s="23"/>
      <c r="R64" s="23"/>
      <c r="S64" s="22"/>
      <c r="T64" s="22"/>
    </row>
    <row r="65" spans="2:26" s="1" customFormat="1" ht="13.5" thickBot="1" x14ac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</row>
    <row r="66" spans="2:26" ht="15" customHeight="1" x14ac:dyDescent="0.25">
      <c r="C66" s="29"/>
      <c r="I66" s="30"/>
      <c r="O66" s="65"/>
      <c r="P66" s="65"/>
      <c r="Q66" s="60"/>
      <c r="R66" s="60"/>
      <c r="S66" s="65"/>
      <c r="T66" s="65"/>
    </row>
    <row r="67" spans="2:26" ht="18" customHeight="1" thickBot="1" x14ac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/>
      <c r="W67" s="62"/>
      <c r="X67" s="62"/>
      <c r="Y67" s="62"/>
    </row>
    <row r="68" spans="2:26" ht="15" customHeight="1" thickBot="1" x14ac:dyDescent="0.3"/>
    <row r="69" spans="2:26" ht="15" customHeight="1" x14ac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2" t="s">
        <v>65</v>
      </c>
      <c r="X69" s="79"/>
      <c r="Y69" s="79"/>
      <c r="Z69" s="79"/>
    </row>
    <row r="70" spans="2:26" ht="15" customHeight="1" thickBot="1" x14ac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2:26" ht="10.5" customHeight="1" thickBot="1" x14ac:dyDescent="0.3"/>
    <row r="72" spans="2:26" ht="15" customHeight="1" thickBot="1" x14ac:dyDescent="0.3">
      <c r="J72" s="79" t="s">
        <v>2</v>
      </c>
      <c r="K72" s="79"/>
      <c r="L72" s="79"/>
      <c r="M72" s="80" t="str">
        <f>M4</f>
        <v>C1009</v>
      </c>
      <c r="N72" s="80"/>
      <c r="O72" s="80"/>
      <c r="P72" s="80"/>
    </row>
    <row r="73" spans="2:26" s="15" customFormat="1" ht="15" customHeight="1" thickBot="1" x14ac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/>
    </row>
    <row r="74" spans="2:26" s="15" customFormat="1" ht="15.95" customHeight="1" thickBot="1" x14ac:dyDescent="0.3"/>
    <row r="75" spans="2:26" s="15" customFormat="1" ht="15" customHeight="1" thickBot="1" x14ac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/>
      <c r="W75" s="60"/>
      <c r="X75" s="23"/>
    </row>
    <row r="76" spans="2:26" s="15" customFormat="1" ht="15" customHeight="1" thickBot="1" x14ac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s="15" customFormat="1" ht="22.5" customHeight="1" thickBot="1" x14ac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 t="s">
        <v>8</v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x14ac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/>
      <c r="W78" s="14"/>
      <c r="X78" s="14"/>
      <c r="Y78" s="14"/>
      <c r="Z78" s="14"/>
    </row>
    <row r="79" spans="2:26" s="15" customFormat="1" ht="15.6" customHeight="1" thickBot="1" x14ac:dyDescent="0.25">
      <c r="B79" s="8"/>
      <c r="C79" s="11">
        <f>IF(ISTEXT(D79),MAX($C$10:C78)+1,"")</f>
        <v>20</v>
      </c>
      <c r="D79" s="95" t="s">
        <v>385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 t="s">
        <v>22</v>
      </c>
      <c r="W79" s="14"/>
      <c r="X79" s="14"/>
      <c r="Y79" s="14"/>
      <c r="Z79" s="14"/>
    </row>
    <row r="80" spans="2:26" s="15" customFormat="1" ht="15.6" customHeight="1" thickBot="1" x14ac:dyDescent="0.3">
      <c r="B80" s="8"/>
      <c r="C80" s="11">
        <f>IF(ISTEXT(D80),MAX($C$10:C79)+1,"")</f>
        <v>21</v>
      </c>
      <c r="D80" s="70" t="s">
        <v>386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 t="s">
        <v>22</v>
      </c>
      <c r="W80" s="14"/>
      <c r="X80" s="14"/>
      <c r="Y80" s="14"/>
      <c r="Z80" s="14"/>
    </row>
    <row r="81" spans="1:26" s="15" customFormat="1" ht="15.6" customHeight="1" thickBot="1" x14ac:dyDescent="0.3">
      <c r="B81" s="8"/>
      <c r="C81" s="11">
        <f>IF(ISTEXT(D81),MAX($C$10:C80)+1,"")</f>
        <v>22</v>
      </c>
      <c r="D81" s="70" t="s">
        <v>387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 t="s">
        <v>76</v>
      </c>
      <c r="W81" s="14"/>
      <c r="X81" s="14"/>
      <c r="Y81" s="14"/>
      <c r="Z81" s="14"/>
    </row>
    <row r="82" spans="1:26" s="15" customFormat="1" ht="16.149999999999999" customHeight="1" thickBot="1" x14ac:dyDescent="0.3">
      <c r="B82" s="8"/>
      <c r="C82" s="11">
        <f>IF(ISTEXT(D82),MAX($C$10:C81)+1,"")</f>
        <v>23</v>
      </c>
      <c r="D82" s="70" t="s">
        <v>388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 t="s">
        <v>72</v>
      </c>
      <c r="W82" s="14"/>
      <c r="X82" s="14"/>
      <c r="Y82" s="14"/>
      <c r="Z82" s="14"/>
    </row>
    <row r="83" spans="1:26" s="15" customFormat="1" ht="16.149999999999999" customHeight="1" thickBot="1" x14ac:dyDescent="0.3">
      <c r="B83" s="8"/>
      <c r="C83" s="11">
        <f>IF(ISTEXT(D83),MAX($C$10:C82)+1,"")</f>
        <v>24</v>
      </c>
      <c r="D83" s="70" t="s">
        <v>389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 t="s">
        <v>72</v>
      </c>
      <c r="W83" s="14"/>
      <c r="X83" s="14"/>
      <c r="Y83" s="14"/>
      <c r="Z83" s="14"/>
    </row>
    <row r="84" spans="1:26" s="15" customFormat="1" ht="16.149999999999999" customHeight="1" thickBot="1" x14ac:dyDescent="0.3">
      <c r="B84" s="8"/>
      <c r="C84" s="11">
        <f>IF(ISTEXT(D84),MAX($C$10:C83)+1,"")</f>
        <v>25</v>
      </c>
      <c r="D84" s="70" t="s">
        <v>390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 t="s">
        <v>22</v>
      </c>
      <c r="W84" s="14"/>
      <c r="X84" s="14"/>
      <c r="Y84" s="14"/>
      <c r="Z84" s="14"/>
    </row>
    <row r="85" spans="1:26" s="15" customFormat="1" ht="16.149999999999999" customHeight="1" thickBot="1" x14ac:dyDescent="0.3">
      <c r="B85" s="8"/>
      <c r="C85" s="11">
        <f>IF(ISTEXT(D85),MAX($C$10:C84)+1,"")</f>
        <v>26</v>
      </c>
      <c r="D85" s="70" t="s">
        <v>391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 t="s">
        <v>22</v>
      </c>
      <c r="W85" s="14"/>
      <c r="X85" s="14"/>
      <c r="Y85" s="14"/>
      <c r="Z85" s="14"/>
    </row>
    <row r="86" spans="1:26" s="15" customFormat="1" ht="16.149999999999999" customHeight="1" thickBot="1" x14ac:dyDescent="0.3">
      <c r="B86" s="8"/>
      <c r="C86" s="11">
        <f>IF(ISTEXT(D86),MAX($C$10:C85)+1,"")</f>
        <v>27</v>
      </c>
      <c r="D86" s="70" t="s">
        <v>392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 t="s">
        <v>72</v>
      </c>
      <c r="W86" s="14"/>
      <c r="X86" s="14"/>
      <c r="Y86" s="14"/>
      <c r="Z86" s="14"/>
    </row>
    <row r="87" spans="1:26" ht="16.149999999999999" customHeight="1" thickBot="1" x14ac:dyDescent="0.3">
      <c r="B87" s="8"/>
      <c r="C87" s="11">
        <f>IF(ISTEXT(D87),MAX($C$10:C86)+1,"")</f>
        <v>28</v>
      </c>
      <c r="D87" s="143" t="s">
        <v>393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 t="s">
        <v>76</v>
      </c>
      <c r="W87" s="14"/>
      <c r="X87" s="14"/>
      <c r="Y87" s="14"/>
      <c r="Z87" s="14"/>
    </row>
    <row r="88" spans="1:26" s="15" customFormat="1" ht="16.149999999999999" customHeight="1" thickBot="1" x14ac:dyDescent="0.3">
      <c r="A88" s="36"/>
      <c r="B88" s="37"/>
      <c r="C88" s="11">
        <f>IF(ISTEXT(D88),MAX($C$10:C87)+1,"")</f>
        <v>29</v>
      </c>
      <c r="D88" s="143" t="s">
        <v>394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 t="s">
        <v>28</v>
      </c>
      <c r="W88" s="14"/>
      <c r="X88" s="14"/>
      <c r="Y88" s="14"/>
      <c r="Z88" s="14"/>
    </row>
    <row r="89" spans="1:26" s="15" customFormat="1" ht="16.149999999999999" customHeight="1" thickBot="1" x14ac:dyDescent="0.3">
      <c r="B89" s="8"/>
      <c r="C89" s="11">
        <f>IF(ISTEXT(D89),MAX($C$10:C88)+1,"")</f>
        <v>30</v>
      </c>
      <c r="D89" s="143" t="s">
        <v>395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 t="s">
        <v>28</v>
      </c>
      <c r="W89" s="14"/>
      <c r="X89" s="14"/>
      <c r="Y89" s="14"/>
      <c r="Z89" s="14"/>
    </row>
    <row r="90" spans="1:26" s="15" customFormat="1" ht="16.149999999999999" customHeight="1" thickBot="1" x14ac:dyDescent="0.3">
      <c r="B90" s="8"/>
      <c r="C90" s="11">
        <f>IF(ISTEXT(D90),MAX($C$10:C89)+1,"")</f>
        <v>31</v>
      </c>
      <c r="D90" s="143" t="s">
        <v>396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 t="s">
        <v>22</v>
      </c>
      <c r="W90" s="14"/>
      <c r="X90" s="14"/>
      <c r="Y90" s="14"/>
      <c r="Z90" s="14"/>
    </row>
    <row r="91" spans="1:26" s="15" customFormat="1" ht="16.149999999999999" customHeight="1" thickBot="1" x14ac:dyDescent="0.3">
      <c r="B91" s="8"/>
      <c r="C91" s="11">
        <f>IF(ISTEXT(D91),MAX($C$10:C90)+1,"")</f>
        <v>32</v>
      </c>
      <c r="D91" s="70" t="s">
        <v>397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 t="s">
        <v>76</v>
      </c>
      <c r="W91" s="14"/>
      <c r="X91" s="14"/>
      <c r="Y91" s="14"/>
      <c r="Z91" s="14"/>
    </row>
    <row r="92" spans="1:26" s="15" customFormat="1" ht="16.149999999999999" customHeight="1" thickBot="1" x14ac:dyDescent="0.25">
      <c r="B92" s="8"/>
      <c r="C92" s="11">
        <f>IF(ISTEXT(D92),MAX($C$10:C91)+1,"")</f>
        <v>33</v>
      </c>
      <c r="D92" s="95" t="s">
        <v>398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 t="s">
        <v>22</v>
      </c>
      <c r="W92" s="14"/>
      <c r="X92" s="14"/>
      <c r="Y92" s="14"/>
      <c r="Z92" s="14"/>
    </row>
    <row r="93" spans="1:26" s="15" customFormat="1" ht="16.149999999999999" customHeight="1" thickBot="1" x14ac:dyDescent="0.3">
      <c r="B93" s="8"/>
      <c r="C93" s="11">
        <f>IF(ISTEXT(D93),MAX($C$10:C92)+1,"")</f>
        <v>34</v>
      </c>
      <c r="D93" s="70" t="s">
        <v>399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 t="s">
        <v>22</v>
      </c>
      <c r="W93" s="14"/>
      <c r="X93" s="14"/>
      <c r="Y93" s="14"/>
      <c r="Z93" s="14"/>
    </row>
    <row r="94" spans="1:26" s="15" customFormat="1" ht="16.149999999999999" customHeight="1" thickBot="1" x14ac:dyDescent="0.3">
      <c r="B94" s="8"/>
      <c r="C94" s="11">
        <f>IF(ISTEXT(D94),MAX($C$10:C93)+1,"")</f>
        <v>35</v>
      </c>
      <c r="D94" s="66" t="s">
        <v>97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 t="s">
        <v>76</v>
      </c>
      <c r="W94" s="14"/>
      <c r="X94" s="14"/>
      <c r="Y94" s="14"/>
      <c r="Z94" s="14"/>
    </row>
    <row r="95" spans="1:26" s="15" customFormat="1" ht="16.149999999999999" customHeight="1" thickBot="1" x14ac:dyDescent="0.3">
      <c r="B95" s="8"/>
      <c r="C95" s="11">
        <f>IF(ISTEXT(D95),MAX($C$10:C94)+1,"")</f>
        <v>36</v>
      </c>
      <c r="D95" s="70" t="s">
        <v>400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 t="s">
        <v>22</v>
      </c>
      <c r="W95" s="14"/>
      <c r="X95" s="14"/>
      <c r="Y95" s="14"/>
      <c r="Z95" s="14"/>
    </row>
    <row r="96" spans="1:26" s="15" customFormat="1" ht="16.149999999999999" customHeight="1" thickBot="1" x14ac:dyDescent="0.3">
      <c r="B96" s="8"/>
      <c r="C96" s="11">
        <f>IF(ISTEXT(D96),MAX($C$10:C95)+1,"")</f>
        <v>37</v>
      </c>
      <c r="D96" s="70" t="s">
        <v>79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 t="s">
        <v>76</v>
      </c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>
        <f>IF(ISTEXT(D97),MAX($C$10:C96)+1,"")</f>
        <v>38</v>
      </c>
      <c r="D97" s="70" t="s">
        <v>243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 t="s">
        <v>76</v>
      </c>
      <c r="W97" s="14"/>
      <c r="X97" s="14"/>
      <c r="Y97" s="14"/>
      <c r="Z97" s="14"/>
    </row>
    <row r="98" spans="2:26" s="15" customFormat="1" ht="16.149999999999999" customHeight="1" thickBot="1" x14ac:dyDescent="0.3">
      <c r="B98" s="8"/>
      <c r="C98" s="11">
        <f>IF(ISTEXT(D98),MAX($C$10:C97)+1,"")</f>
        <v>39</v>
      </c>
      <c r="D98" s="70" t="s">
        <v>401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 t="s">
        <v>76</v>
      </c>
      <c r="W98" s="14"/>
      <c r="X98" s="14"/>
      <c r="Y98" s="14"/>
      <c r="Z98" s="14"/>
    </row>
    <row r="99" spans="2:26" s="15" customFormat="1" ht="15.95" customHeight="1" thickBot="1" x14ac:dyDescent="0.3">
      <c r="B99" s="8"/>
      <c r="C99" s="11">
        <f>IF(ISTEXT(D99),MAX($C$10:C98)+1,"")</f>
        <v>40</v>
      </c>
      <c r="D99" s="70" t="s">
        <v>402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 t="s">
        <v>76</v>
      </c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41</v>
      </c>
      <c r="D100" s="70" t="s">
        <v>403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 t="s">
        <v>28</v>
      </c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42</v>
      </c>
      <c r="D101" s="70" t="s">
        <v>242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 t="s">
        <v>76</v>
      </c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43</v>
      </c>
      <c r="D102" s="70" t="s">
        <v>404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 t="s">
        <v>52</v>
      </c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>
        <f>IF(ISTEXT(D103),MAX($C$10:C102)+1,"")</f>
        <v>44</v>
      </c>
      <c r="D103" s="70" t="s">
        <v>405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 t="s">
        <v>22</v>
      </c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45</v>
      </c>
      <c r="D104" s="70" t="s">
        <v>406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 t="s">
        <v>72</v>
      </c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/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/>
      <c r="W106" s="14"/>
      <c r="X106" s="14"/>
      <c r="Y106" s="14"/>
      <c r="Z106" s="14"/>
    </row>
    <row r="107" spans="2:26" s="15" customFormat="1" ht="19.149999999999999" customHeight="1" thickBot="1" x14ac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/>
      <c r="W107" s="14"/>
      <c r="X107" s="14"/>
      <c r="Y107" s="14"/>
      <c r="Z107" s="14"/>
    </row>
    <row r="108" spans="2:26" s="15" customFormat="1" ht="16.149999999999999" customHeight="1" thickBot="1" x14ac:dyDescent="0.3">
      <c r="B108" s="8"/>
      <c r="C108" s="11" t="str">
        <f>IF(ISTEXT(D108),MAX($C$10:C107)+1,"")</f>
        <v/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/>
      <c r="W108" s="14"/>
      <c r="X108" s="14"/>
      <c r="Y108" s="14"/>
      <c r="Z108" s="14"/>
    </row>
    <row r="109" spans="2:26" s="15" customFormat="1" ht="16.149999999999999" customHeight="1" thickBot="1" x14ac:dyDescent="0.3">
      <c r="B109" s="8"/>
      <c r="C109" s="11" t="str">
        <f>IF(ISTEXT(D109),MAX($C$10:C108)+1,"")</f>
        <v/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/>
      <c r="W109" s="14"/>
      <c r="X109" s="14"/>
      <c r="Y109" s="14"/>
      <c r="Z109" s="14"/>
    </row>
    <row r="110" spans="2:26" s="15" customFormat="1" ht="16.149999999999999" customHeight="1" thickBot="1" x14ac:dyDescent="0.3">
      <c r="B110" s="8"/>
      <c r="C110" s="11" t="str">
        <f>IF(ISTEXT(D110),MAX($C$10:C109)+1,"")</f>
        <v/>
      </c>
      <c r="D110" s="140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/>
      <c r="W110" s="14"/>
      <c r="X110" s="14"/>
      <c r="Y110" s="14"/>
      <c r="Z110" s="14"/>
    </row>
    <row r="111" spans="2:26" s="15" customFormat="1" ht="16.149999999999999" customHeight="1" thickBot="1" x14ac:dyDescent="0.3">
      <c r="B111" s="8"/>
      <c r="C111" s="11" t="str">
        <f>IF(ISTEXT(D111),MAX($C$10:C110)+1,"")</f>
        <v/>
      </c>
      <c r="D111" s="70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/>
      <c r="W111" s="14"/>
      <c r="X111" s="14"/>
      <c r="Y111" s="14"/>
      <c r="Z111" s="14"/>
    </row>
    <row r="112" spans="2:26" s="15" customFormat="1" ht="16.149999999999999" customHeight="1" thickBot="1" x14ac:dyDescent="0.3">
      <c r="B112" s="8"/>
      <c r="C112" s="11" t="str">
        <f>IF(ISTEXT(D112),MAX($C$10:C111)+1,"")</f>
        <v/>
      </c>
      <c r="D112" s="140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/>
      <c r="W112" s="14"/>
      <c r="X112" s="14"/>
      <c r="Y112" s="14"/>
      <c r="Z112" s="14"/>
    </row>
    <row r="113" spans="2:26" s="15" customFormat="1" ht="16.149999999999999" customHeight="1" thickBot="1" x14ac:dyDescent="0.3">
      <c r="B113" s="8"/>
      <c r="C113" s="11"/>
      <c r="D113" s="73" t="s">
        <v>214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/>
      <c r="W113" s="14"/>
      <c r="X113" s="14"/>
      <c r="Y113" s="14"/>
      <c r="Z113" s="14"/>
    </row>
    <row r="114" spans="2:26" s="15" customFormat="1" ht="16.149999999999999" customHeight="1" thickBot="1" x14ac:dyDescent="0.3">
      <c r="B114" s="8"/>
      <c r="C114" s="11">
        <f>IF(ISTEXT(D114),MAX($C$10:C113)+1,"")</f>
        <v>46</v>
      </c>
      <c r="D114" s="70" t="s">
        <v>407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 t="s">
        <v>76</v>
      </c>
      <c r="W114" s="14"/>
      <c r="X114" s="14"/>
      <c r="Y114" s="14"/>
      <c r="Z114" s="14"/>
    </row>
    <row r="115" spans="2:26" s="15" customFormat="1" ht="16.149999999999999" customHeight="1" thickBot="1" x14ac:dyDescent="0.3">
      <c r="B115" s="8"/>
      <c r="C115" s="11">
        <f>IF(ISTEXT(D114),MAX($C$10:C114)+1,"")</f>
        <v>47</v>
      </c>
      <c r="D115" s="70" t="s">
        <v>408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 t="s">
        <v>76</v>
      </c>
      <c r="W115" s="14"/>
      <c r="X115" s="14"/>
      <c r="Y115" s="14"/>
      <c r="Z115" s="14"/>
    </row>
    <row r="116" spans="2:26" ht="15" customHeight="1" x14ac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</row>
    <row r="117" spans="2:26" x14ac:dyDescent="0.25">
      <c r="B117" s="20"/>
      <c r="C117" s="21"/>
      <c r="O117" s="22"/>
      <c r="P117" s="22"/>
      <c r="Q117" s="23"/>
      <c r="R117" s="23"/>
      <c r="S117" s="22"/>
      <c r="T117" s="22"/>
    </row>
    <row r="118" spans="2:26" ht="15.75" thickBot="1" x14ac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</row>
    <row r="119" spans="2:26" ht="15" customHeight="1" x14ac:dyDescent="0.25">
      <c r="C119" s="29"/>
      <c r="I119" s="30"/>
      <c r="O119" s="65"/>
      <c r="P119" s="65"/>
      <c r="Q119" s="60"/>
      <c r="R119" s="60"/>
      <c r="S119" s="65"/>
      <c r="T119" s="65"/>
    </row>
    <row r="120" spans="2:26" ht="18" customHeight="1" thickBot="1" x14ac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/>
      <c r="W120" s="62"/>
      <c r="X120" s="62"/>
      <c r="Y120" s="62"/>
    </row>
    <row r="121" spans="2:26" ht="15" customHeight="1" x14ac:dyDescent="0.25"/>
    <row r="122" spans="2:26" ht="15" customHeight="1" thickBot="1" x14ac:dyDescent="0.3"/>
    <row r="123" spans="2:26" ht="15" customHeight="1" x14ac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2" t="s">
        <v>99</v>
      </c>
      <c r="X123" s="79"/>
      <c r="Y123" s="79"/>
      <c r="Z123" s="79"/>
    </row>
    <row r="124" spans="2:26" ht="15" customHeight="1" thickBot="1" x14ac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</row>
    <row r="125" spans="2:26" ht="10.5" customHeight="1" thickBot="1" x14ac:dyDescent="0.3"/>
    <row r="126" spans="2:26" ht="15" customHeight="1" thickBot="1" x14ac:dyDescent="0.3">
      <c r="J126" s="79" t="s">
        <v>2</v>
      </c>
      <c r="K126" s="79"/>
      <c r="L126" s="79"/>
      <c r="M126" s="80" t="str">
        <f>M4</f>
        <v>C1009</v>
      </c>
      <c r="N126" s="80"/>
      <c r="O126" s="80"/>
      <c r="P126" s="80"/>
    </row>
    <row r="127" spans="2:26" s="15" customFormat="1" ht="15" customHeight="1" thickBot="1" x14ac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/>
    </row>
    <row r="128" spans="2:26" s="15" customFormat="1" ht="17.100000000000001" customHeight="1" thickBot="1" x14ac:dyDescent="0.3"/>
    <row r="129" spans="2:26" s="15" customFormat="1" ht="15" customHeight="1" thickBot="1" x14ac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/>
      <c r="W129" s="60"/>
      <c r="X129" s="23"/>
    </row>
    <row r="130" spans="2:26" s="15" customFormat="1" ht="10.5" customHeight="1" thickBot="1" x14ac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2:26" s="15" customFormat="1" ht="21" customHeight="1" thickBot="1" x14ac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 t="s">
        <v>8</v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x14ac:dyDescent="0.3">
      <c r="B132" s="8"/>
      <c r="C132" s="11">
        <f>IF(ISTEXT(D132),MAX($C$10:C131)+1,"")</f>
        <v>48</v>
      </c>
      <c r="D132" s="70" t="s">
        <v>409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 t="s">
        <v>22</v>
      </c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>
        <f>IF(ISTEXT(D133),MAX($C$10:C132)+1,"")</f>
        <v>49</v>
      </c>
      <c r="D133" s="70" t="s">
        <v>410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 t="s">
        <v>76</v>
      </c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>
        <f>IF(ISTEXT(D134),MAX($C$10:C133)+1,"")</f>
        <v>50</v>
      </c>
      <c r="D134" s="70" t="s">
        <v>411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 t="s">
        <v>52</v>
      </c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>
        <f>IF(ISTEXT(D135),MAX($C$10:C134)+1,"")</f>
        <v>51</v>
      </c>
      <c r="D135" s="70" t="s">
        <v>412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 t="s">
        <v>22</v>
      </c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>
        <f>IF(ISTEXT(D136),MAX($C$10:C135)+1,"")</f>
        <v>52</v>
      </c>
      <c r="D136" s="70" t="s">
        <v>79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 t="s">
        <v>76</v>
      </c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>
        <f>IF(ISTEXT(D137),MAX($C$10:C136)+1,"")</f>
        <v>53</v>
      </c>
      <c r="D137" s="70" t="s">
        <v>243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 t="s">
        <v>76</v>
      </c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>
        <f>IF(ISTEXT(D138),MAX($C$10:C137)+1,"")</f>
        <v>54</v>
      </c>
      <c r="D138" s="70" t="s">
        <v>413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 t="s">
        <v>22</v>
      </c>
      <c r="W138" s="14"/>
      <c r="X138" s="14"/>
      <c r="Y138" s="14"/>
      <c r="Z138" s="14"/>
    </row>
    <row r="139" spans="2:26" ht="16.149999999999999" customHeight="1" thickBot="1" x14ac:dyDescent="0.3">
      <c r="B139" s="8"/>
      <c r="C139" s="11">
        <f>IF(ISTEXT(D139),MAX($C$10:C138)+1,"")</f>
        <v>55</v>
      </c>
      <c r="D139" s="70" t="s">
        <v>414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 t="s">
        <v>52</v>
      </c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>
        <f>IF(ISTEXT(D140),MAX($C$10:C139)+1,"")</f>
        <v>56</v>
      </c>
      <c r="D140" s="70" t="s">
        <v>415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 t="s">
        <v>76</v>
      </c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 t="str">
        <f>IF(ISTEXT(D141),MAX($C$10:C140)+1,"")</f>
        <v/>
      </c>
      <c r="D141" s="140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/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 t="str">
        <f>IF(ISTEXT(D142),MAX($C$10:C141)+1,"")</f>
        <v/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/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 t="str">
        <f>IF(ISTEXT(D143),MAX($C$10:C142)+1,"")</f>
        <v/>
      </c>
      <c r="D143" s="140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/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 t="str">
        <f>IF(ISTEXT(D144),MAX($C$10:C143)+1,"")</f>
        <v/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/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/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/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/>
      <c r="W147" s="14"/>
      <c r="X147" s="14"/>
      <c r="Y147" s="14"/>
      <c r="Z147" s="14"/>
    </row>
    <row r="148" spans="2:26" ht="16.5" thickBot="1" x14ac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/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57</v>
      </c>
      <c r="D149" s="70" t="s">
        <v>416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 t="s">
        <v>22</v>
      </c>
      <c r="W149" s="14"/>
      <c r="X149" s="14"/>
      <c r="Y149" s="14"/>
      <c r="Z149" s="14"/>
    </row>
    <row r="150" spans="2:26" s="15" customFormat="1" ht="16.149999999999999" customHeight="1" thickBot="1" x14ac:dyDescent="0.3">
      <c r="B150" s="8"/>
      <c r="C150" s="11">
        <f>IF(ISTEXT(D150),MAX($C$10:C149)+1,"")</f>
        <v>58</v>
      </c>
      <c r="D150" s="70" t="s">
        <v>417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 t="s">
        <v>22</v>
      </c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>
        <f>IF(ISTEXT(D151),MAX($C$10:C150)+1,"")</f>
        <v>59</v>
      </c>
      <c r="D151" s="70" t="s">
        <v>79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 t="s">
        <v>76</v>
      </c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>
        <f>IF(ISTEXT(D152),MAX($C$10:C151)+1,"")</f>
        <v>60</v>
      </c>
      <c r="D152" s="70" t="s">
        <v>418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 t="s">
        <v>76</v>
      </c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>
        <f>IF(ISTEXT(D153),MAX($C$10:C152)+1,"")</f>
        <v>61</v>
      </c>
      <c r="D153" s="70" t="s">
        <v>419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 t="s">
        <v>22</v>
      </c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>
        <f>IF(ISTEXT(D154),MAX($C$10:C153)+1,"")</f>
        <v>62</v>
      </c>
      <c r="D154" s="70" t="s">
        <v>404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 t="s">
        <v>52</v>
      </c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>
        <f>IF(ISTEXT(D155),MAX($C$10:C154)+1,"")</f>
        <v>63</v>
      </c>
      <c r="D155" s="70" t="s">
        <v>420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 t="s">
        <v>22</v>
      </c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>
        <f>IF(ISTEXT(D156),MAX($C$10:C155)+1,"")</f>
        <v>64</v>
      </c>
      <c r="D156" s="70" t="s">
        <v>421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 t="s">
        <v>22</v>
      </c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 t="str">
        <f>IF(ISTEXT(D157),MAX($C$10:C156)+1,"")</f>
        <v/>
      </c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/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 t="str">
        <f>IF(ISTEXT(D158),MAX($C$10:C157)+1,"")</f>
        <v/>
      </c>
      <c r="D158" s="70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/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/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/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/>
      <c r="D161" s="73" t="s">
        <v>100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5"/>
      <c r="V161" s="9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>
        <f>IF(ISTEXT(D162),MAX($C$10:C161)+1,"")</f>
        <v>65</v>
      </c>
      <c r="D162" s="70" t="s">
        <v>422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 t="s">
        <v>22</v>
      </c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>
        <f>IF(ISTEXT(D163),MAX($C$10:C162)+1,"")</f>
        <v>66</v>
      </c>
      <c r="D163" s="70" t="s">
        <v>417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 t="s">
        <v>22</v>
      </c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>
        <f>IF(ISTEXT(D164),MAX($C$10:C163)+1,"")</f>
        <v>67</v>
      </c>
      <c r="D164" s="70" t="s">
        <v>423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 t="s">
        <v>76</v>
      </c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/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/>
      <c r="W167" s="14"/>
      <c r="X167" s="14"/>
      <c r="Y167" s="14"/>
      <c r="Z167" s="14"/>
    </row>
    <row r="168" spans="2:26" s="15" customFormat="1" ht="16.149999999999999" customHeight="1" thickBot="1" x14ac:dyDescent="0.3">
      <c r="B168" s="8"/>
      <c r="C168" s="11" t="str">
        <f>IF(ISTEXT(D168),MAX($C$10:C167)+1,"")</f>
        <v/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/>
      <c r="W168" s="14"/>
      <c r="X168" s="14"/>
      <c r="Y168" s="14"/>
      <c r="Z168" s="14"/>
    </row>
    <row r="169" spans="2:26" s="15" customFormat="1" ht="16.149999999999999" customHeight="1" thickBot="1" x14ac:dyDescent="0.3">
      <c r="B169" s="8"/>
      <c r="C169" s="11"/>
      <c r="D169" s="73" t="s">
        <v>120</v>
      </c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5"/>
      <c r="V169" s="9"/>
      <c r="W169" s="14"/>
      <c r="X169" s="14"/>
      <c r="Y169" s="14"/>
      <c r="Z169" s="14"/>
    </row>
    <row r="170" spans="2:26" s="15" customFormat="1" ht="16.149999999999999" customHeight="1" thickBot="1" x14ac:dyDescent="0.3">
      <c r="B170" s="8"/>
      <c r="C170" s="11">
        <f>IF(ISTEXT(D170),MAX($C$10:C169)+1,"")</f>
        <v>68</v>
      </c>
      <c r="D170" s="70" t="s">
        <v>424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 t="s">
        <v>76</v>
      </c>
      <c r="W170" s="14"/>
      <c r="X170" s="14"/>
      <c r="Y170" s="14"/>
      <c r="Z170" s="14"/>
    </row>
    <row r="171" spans="2:26" s="15" customFormat="1" ht="16.149999999999999" customHeight="1" thickBot="1" x14ac:dyDescent="0.3">
      <c r="B171" s="8"/>
      <c r="C171" s="11">
        <f>IF(ISTEXT(D171),MAX($C$10:C170)+1,"")</f>
        <v>69</v>
      </c>
      <c r="D171" s="70" t="s">
        <v>425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 t="s">
        <v>22</v>
      </c>
      <c r="W171" s="14"/>
      <c r="X171" s="14"/>
      <c r="Y171" s="14"/>
      <c r="Z171" s="14"/>
    </row>
    <row r="172" spans="2:26" s="15" customFormat="1" ht="16.149999999999999" customHeight="1" thickBot="1" x14ac:dyDescent="0.3">
      <c r="B172" s="8"/>
      <c r="C172" s="11">
        <f>IF(ISTEXT(D172),MAX($C$10:C171)+1,"")</f>
        <v>70</v>
      </c>
      <c r="D172" s="70" t="s">
        <v>426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 t="s">
        <v>76</v>
      </c>
      <c r="W172" s="14"/>
      <c r="X172" s="14"/>
      <c r="Y172" s="14"/>
      <c r="Z172" s="14"/>
    </row>
    <row r="173" spans="2:26" s="15" customFormat="1" ht="16.149999999999999" customHeight="1" thickBot="1" x14ac:dyDescent="0.3">
      <c r="B173" s="8"/>
      <c r="C173" s="11">
        <f>IF(ISTEXT(D173),MAX($C$10:C172)+1,"")</f>
        <v>71</v>
      </c>
      <c r="D173" s="70" t="s">
        <v>427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 t="s">
        <v>76</v>
      </c>
      <c r="W173" s="14"/>
      <c r="X173" s="14"/>
      <c r="Y173" s="14"/>
      <c r="Z173" s="14"/>
    </row>
    <row r="174" spans="2:26" s="15" customFormat="1" ht="16.149999999999999" customHeight="1" thickBot="1" x14ac:dyDescent="0.3">
      <c r="B174" s="8"/>
      <c r="C174" s="11" t="str">
        <f>IF(ISTEXT(D174),MAX($C$10:C172)+1,"")</f>
        <v/>
      </c>
      <c r="D174" s="66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/>
      <c r="W174" s="14"/>
      <c r="X174" s="14"/>
      <c r="Y174" s="14"/>
      <c r="Z174" s="14"/>
    </row>
    <row r="175" spans="2:26" s="15" customFormat="1" ht="16.149999999999999" customHeight="1" thickBot="1" x14ac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/>
      <c r="W175" s="14"/>
      <c r="X175" s="14"/>
      <c r="Y175" s="14"/>
      <c r="Z175" s="14"/>
    </row>
    <row r="176" spans="2:26" s="15" customFormat="1" ht="16.149999999999999" customHeight="1" thickBot="1" x14ac:dyDescent="0.3">
      <c r="B176" s="8"/>
      <c r="C176" s="11" t="str">
        <f>IF(ISTEXT(D176),MAX($C$10:C175)+1,"")</f>
        <v/>
      </c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/>
      <c r="W176" s="14"/>
      <c r="X176" s="14"/>
      <c r="Y176" s="14"/>
      <c r="Z176" s="14"/>
    </row>
    <row r="177" spans="2:26" ht="15" customHeight="1" x14ac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</row>
    <row r="178" spans="2:26" x14ac:dyDescent="0.25">
      <c r="B178" s="20"/>
      <c r="C178" s="21"/>
      <c r="O178" s="22"/>
      <c r="P178" s="22"/>
      <c r="Q178" s="23"/>
      <c r="R178" s="23"/>
      <c r="S178" s="22"/>
      <c r="T178" s="22"/>
    </row>
    <row r="179" spans="2:26" ht="15.75" thickBot="1" x14ac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</row>
    <row r="180" spans="2:26" ht="15" customHeight="1" x14ac:dyDescent="0.25">
      <c r="C180" s="29"/>
      <c r="I180" s="30"/>
      <c r="O180" s="65"/>
      <c r="P180" s="65"/>
      <c r="Q180" s="60"/>
      <c r="R180" s="60"/>
      <c r="S180" s="65"/>
      <c r="T180" s="65"/>
    </row>
    <row r="181" spans="2:26" ht="15.75" thickBot="1" x14ac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/>
      <c r="W181" s="93"/>
      <c r="X181" s="93"/>
      <c r="Y181" s="93"/>
    </row>
    <row r="182" spans="2:26" ht="15" customHeight="1" x14ac:dyDescent="0.25"/>
    <row r="183" spans="2:26" ht="15" customHeight="1" thickBot="1" x14ac:dyDescent="0.3"/>
    <row r="184" spans="2:26" ht="15" customHeight="1" x14ac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2" t="s">
        <v>126</v>
      </c>
      <c r="X184" s="79"/>
      <c r="Y184" s="79"/>
      <c r="Z184" s="79"/>
    </row>
    <row r="185" spans="2:26" ht="15" customHeight="1" thickBot="1" x14ac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</row>
    <row r="186" spans="2:26" ht="10.5" customHeight="1" thickBot="1" x14ac:dyDescent="0.3"/>
    <row r="187" spans="2:26" ht="15" customHeight="1" thickBot="1" x14ac:dyDescent="0.3">
      <c r="J187" s="79" t="s">
        <v>2</v>
      </c>
      <c r="K187" s="79"/>
      <c r="L187" s="79"/>
      <c r="M187" s="80" t="str">
        <f>M4</f>
        <v>C1009</v>
      </c>
      <c r="N187" s="80"/>
      <c r="O187" s="80"/>
      <c r="P187" s="80"/>
    </row>
    <row r="188" spans="2:26" s="15" customFormat="1" ht="15" customHeight="1" thickBot="1" x14ac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/>
    </row>
    <row r="189" spans="2:26" s="15" customFormat="1" ht="8.25" customHeight="1" thickBot="1" x14ac:dyDescent="0.3">
      <c r="M189" s="38"/>
      <c r="N189" s="38"/>
      <c r="O189" s="38"/>
      <c r="P189" s="38"/>
    </row>
    <row r="190" spans="2:26" s="15" customFormat="1" ht="15" customHeight="1" thickBot="1" x14ac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/>
      <c r="W190" s="60"/>
      <c r="X190" s="23"/>
    </row>
    <row r="191" spans="2:26" s="15" customFormat="1" ht="10.5" customHeight="1" thickBot="1" x14ac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2:26" s="15" customFormat="1" ht="21" customHeight="1" thickBot="1" x14ac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 t="s">
        <v>8</v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x14ac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/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>
        <f>IF(ISTEXT(D194),MAX($C$10:C193),"")</f>
        <v>71</v>
      </c>
      <c r="D194" s="70" t="s">
        <v>428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 t="s">
        <v>22</v>
      </c>
      <c r="W194" s="14"/>
      <c r="X194" s="14"/>
      <c r="Y194" s="14"/>
      <c r="Z194" s="14"/>
    </row>
    <row r="195" spans="2:26" s="15" customFormat="1" ht="16.149999999999999" customHeight="1" thickBot="1" x14ac:dyDescent="0.3">
      <c r="B195" s="8"/>
      <c r="C195" s="11">
        <f>IF(ISTEXT(D195),MAX($C$10:C194)+1,"")</f>
        <v>72</v>
      </c>
      <c r="D195" s="66" t="s">
        <v>429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 t="s">
        <v>22</v>
      </c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IF(ISTEXT(D196),MAX($C$10:C195)+1,"")</f>
        <v>73</v>
      </c>
      <c r="D196" s="66" t="s">
        <v>430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 t="s">
        <v>129</v>
      </c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>
        <f>IF(ISTEXT(D197),MAX($C$10:C196)+1,"")</f>
        <v>74</v>
      </c>
      <c r="D197" s="66" t="s">
        <v>431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 t="s">
        <v>129</v>
      </c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>
        <f>IF(ISTEXT(D198),MAX($C$10:C197)+1,"")</f>
        <v>75</v>
      </c>
      <c r="D198" s="66" t="s">
        <v>432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 t="s">
        <v>129</v>
      </c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>
        <f>IF(ISTEXT(D199),MAX($C$10:C198)+1,"")</f>
        <v>76</v>
      </c>
      <c r="D199" s="70" t="s">
        <v>433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 t="s">
        <v>52</v>
      </c>
      <c r="W199" s="14"/>
      <c r="X199" s="14"/>
      <c r="Y199" s="14"/>
      <c r="Z199" s="14"/>
    </row>
    <row r="200" spans="2:26" ht="16.149999999999999" customHeight="1" thickBot="1" x14ac:dyDescent="0.3">
      <c r="B200" s="8"/>
      <c r="C200" s="11" t="str">
        <f>IF(ISTEXT(D200),MAX($C$10:C199)+1,"")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/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 t="str">
        <f>IF(ISTEXT(D201),MAX($C$10:C200)+1,"")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/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 t="str">
        <f>IF(ISTEXT(D202),MAX($C$10:C201)+1,"")</f>
        <v/>
      </c>
      <c r="D202" s="70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 t="str">
        <f>IF(ISTEXT(D203),MAX($C$10:C202)+1,"")</f>
        <v/>
      </c>
      <c r="D203" s="70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/>
      <c r="W203" s="14"/>
      <c r="X203" s="14"/>
      <c r="Y203" s="14"/>
      <c r="Z203" s="14"/>
    </row>
    <row r="204" spans="2:26" s="15" customFormat="1" ht="15.95" customHeight="1" thickBot="1" x14ac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 t="str">
        <f>IF(ISTEXT(D205),MAX($C$10:C204)+1,"")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/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/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/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/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/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/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/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/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/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/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77</v>
      </c>
      <c r="D216" s="66" t="s">
        <v>434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 t="s">
        <v>72</v>
      </c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78</v>
      </c>
      <c r="D217" s="66" t="s">
        <v>435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 t="s">
        <v>52</v>
      </c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79</v>
      </c>
      <c r="D218" s="66" t="s">
        <v>436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 t="s">
        <v>52</v>
      </c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80</v>
      </c>
      <c r="D219" s="66" t="s">
        <v>437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 t="s">
        <v>52</v>
      </c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81</v>
      </c>
      <c r="D220" s="66" t="s">
        <v>438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 t="s">
        <v>22</v>
      </c>
      <c r="W220" s="14"/>
      <c r="X220" s="14"/>
      <c r="Y220" s="14"/>
      <c r="Z220" s="14"/>
    </row>
    <row r="221" spans="2:26" s="15" customFormat="1" ht="16.149999999999999" customHeight="1" thickBot="1" x14ac:dyDescent="0.3">
      <c r="B221" s="8"/>
      <c r="C221" s="11">
        <f>IF(ISTEXT(D221),MAX($C$10:C220)+1,"")</f>
        <v>82</v>
      </c>
      <c r="D221" s="66" t="s">
        <v>439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 t="s">
        <v>76</v>
      </c>
      <c r="W221" s="14"/>
      <c r="X221" s="14"/>
      <c r="Y221" s="14"/>
      <c r="Z221" s="14"/>
    </row>
    <row r="222" spans="2:26" s="15" customFormat="1" ht="16.149999999999999" customHeight="1" thickBot="1" x14ac:dyDescent="0.3">
      <c r="B222" s="8"/>
      <c r="C222" s="11" t="str">
        <f>IF(ISTEXT(D222),MAX($C$10:C221)+1,"")</f>
        <v/>
      </c>
      <c r="D222" s="66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/>
      <c r="W222" s="14"/>
      <c r="X222" s="14"/>
      <c r="Y222" s="14"/>
      <c r="Z222" s="14"/>
    </row>
    <row r="223" spans="2:26" s="15" customFormat="1" ht="16.149999999999999" customHeight="1" thickBot="1" x14ac:dyDescent="0.3">
      <c r="B223" s="8"/>
      <c r="C223" s="11" t="str">
        <f>IF(ISTEXT(D223),MAX($C$10:C222)+1,"")</f>
        <v/>
      </c>
      <c r="D223" s="66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/>
      <c r="W223" s="14"/>
      <c r="X223" s="14"/>
      <c r="Y223" s="14"/>
      <c r="Z223" s="14"/>
    </row>
    <row r="224" spans="2:26" s="15" customFormat="1" ht="16.149999999999999" customHeight="1" thickBot="1" x14ac:dyDescent="0.3">
      <c r="B224" s="8"/>
      <c r="C224" s="11" t="str">
        <f>IF(ISTEXT(D224),MAX($C$10:C223)+1,"")</f>
        <v/>
      </c>
      <c r="D224" s="66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/>
      <c r="W224" s="14"/>
      <c r="X224" s="14"/>
      <c r="Y224" s="14"/>
      <c r="Z224" s="14"/>
    </row>
    <row r="225" spans="2:26" s="15" customFormat="1" ht="16.149999999999999" customHeight="1" thickBot="1" x14ac:dyDescent="0.3">
      <c r="B225" s="8"/>
      <c r="C225" s="11" t="str">
        <f>IF(ISTEXT(D225),MAX($C$10:C224)+1,"")</f>
        <v/>
      </c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/>
      <c r="W225" s="14"/>
      <c r="X225" s="14"/>
      <c r="Y225" s="14"/>
      <c r="Z225" s="14"/>
    </row>
    <row r="226" spans="2:26" s="15" customFormat="1" ht="16.149999999999999" customHeight="1" thickBot="1" x14ac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/>
      <c r="W226" s="14"/>
      <c r="X226" s="14"/>
      <c r="Y226" s="14"/>
      <c r="Z226" s="14"/>
    </row>
    <row r="227" spans="2:26" s="15" customFormat="1" ht="16.149999999999999" customHeight="1" thickBot="1" x14ac:dyDescent="0.3">
      <c r="B227" s="8"/>
      <c r="C227" s="11"/>
      <c r="D227" s="150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/>
      <c r="W227" s="14"/>
      <c r="X227" s="14"/>
      <c r="Y227" s="14"/>
      <c r="Z227" s="14"/>
    </row>
    <row r="228" spans="2:26" s="15" customFormat="1" ht="16.149999999999999" customHeight="1" thickBot="1" x14ac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/>
      <c r="W228" s="14"/>
      <c r="X228" s="14"/>
      <c r="Y228" s="14"/>
      <c r="Z228" s="14"/>
    </row>
    <row r="229" spans="2:26" s="15" customFormat="1" ht="16.149999999999999" customHeight="1" thickBot="1" x14ac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/>
      <c r="W229" s="14"/>
      <c r="X229" s="14"/>
      <c r="Y229" s="14"/>
      <c r="Z229" s="14"/>
    </row>
    <row r="230" spans="2:26" ht="15" customHeight="1" x14ac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</row>
    <row r="231" spans="2:26" x14ac:dyDescent="0.25">
      <c r="B231" s="20"/>
      <c r="C231" s="21"/>
      <c r="O231" s="22"/>
      <c r="P231" s="22"/>
      <c r="Q231" s="23"/>
      <c r="R231" s="23"/>
      <c r="S231" s="22"/>
      <c r="T231" s="22"/>
    </row>
    <row r="232" spans="2:26" ht="15.75" thickBot="1" x14ac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</row>
    <row r="233" spans="2:26" ht="15" customHeight="1" x14ac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</row>
    <row r="234" spans="2:26" ht="18" customHeight="1" thickBot="1" x14ac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/>
      <c r="W234" s="63"/>
      <c r="X234" s="62"/>
      <c r="Y234" s="62"/>
    </row>
    <row r="235" spans="2:26" ht="18" customHeight="1" thickBot="1" x14ac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/>
      <c r="W235" s="1"/>
      <c r="X235" s="4"/>
      <c r="Y235" s="4"/>
    </row>
    <row r="236" spans="2:26" ht="18" customHeight="1" thickBot="1" x14ac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/>
      <c r="W236" s="1"/>
      <c r="X236" s="4"/>
      <c r="Y236" s="4"/>
    </row>
    <row r="237" spans="2:26" ht="15" customHeight="1" x14ac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2" t="s">
        <v>159</v>
      </c>
      <c r="X237" s="79"/>
      <c r="Y237" s="79"/>
      <c r="Z237" s="79"/>
    </row>
    <row r="238" spans="2:26" ht="15" customHeight="1" thickBot="1" x14ac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</row>
    <row r="239" spans="2:26" ht="10.5" customHeight="1" thickBot="1" x14ac:dyDescent="0.3"/>
    <row r="240" spans="2:26" ht="15" customHeight="1" thickBot="1" x14ac:dyDescent="0.3">
      <c r="J240" s="79" t="s">
        <v>2</v>
      </c>
      <c r="K240" s="79"/>
      <c r="L240" s="79"/>
      <c r="M240" s="80" t="str">
        <f>M4</f>
        <v>C1009</v>
      </c>
      <c r="N240" s="80"/>
      <c r="O240" s="80"/>
      <c r="P240" s="80"/>
    </row>
    <row r="241" spans="2:26" s="15" customFormat="1" ht="15" customHeight="1" thickBot="1" x14ac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/>
    </row>
    <row r="242" spans="2:26" s="15" customFormat="1" ht="8.25" customHeight="1" thickBot="1" x14ac:dyDescent="0.3">
      <c r="M242" s="38"/>
      <c r="N242" s="38"/>
      <c r="O242" s="38"/>
      <c r="P242" s="38"/>
    </row>
    <row r="243" spans="2:26" s="15" customFormat="1" ht="15" customHeight="1" thickBot="1" x14ac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/>
      <c r="W243" s="60"/>
      <c r="X243" s="23"/>
    </row>
    <row r="244" spans="2:26" s="15" customFormat="1" ht="10.5" customHeight="1" thickBot="1" x14ac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2:26" s="15" customFormat="1" ht="21" customHeight="1" thickBot="1" x14ac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 t="s">
        <v>8</v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x14ac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/>
      <c r="W246" s="14"/>
      <c r="X246" s="14"/>
      <c r="Y246" s="14"/>
      <c r="Z246" s="14"/>
    </row>
    <row r="247" spans="2:26" s="15" customFormat="1" ht="16.149999999999999" customHeight="1" thickBot="1" x14ac:dyDescent="0.3">
      <c r="B247" s="8"/>
      <c r="C247" s="11">
        <f>IF(ISTEXT(D247),MAX($C$10:C246)+1,"")</f>
        <v>83</v>
      </c>
      <c r="D247" s="66" t="s">
        <v>440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 t="s">
        <v>72</v>
      </c>
      <c r="W247" s="14"/>
      <c r="X247" s="14"/>
      <c r="Y247" s="14"/>
      <c r="Z247" s="14"/>
    </row>
    <row r="248" spans="2:26" s="15" customFormat="1" ht="16.149999999999999" customHeight="1" thickBot="1" x14ac:dyDescent="0.3">
      <c r="B248" s="8"/>
      <c r="C248" s="11">
        <f>IF(ISTEXT(D248),MAX($C$10:C247)+1,"")</f>
        <v>84</v>
      </c>
      <c r="D248" s="66" t="s">
        <v>441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 t="s">
        <v>22</v>
      </c>
      <c r="W248" s="14"/>
      <c r="X248" s="14"/>
      <c r="Y248" s="14"/>
      <c r="Z248" s="14"/>
    </row>
    <row r="249" spans="2:26" s="15" customFormat="1" ht="16.149999999999999" customHeight="1" thickBot="1" x14ac:dyDescent="0.3">
      <c r="B249" s="8"/>
      <c r="C249" s="11">
        <f>IF(ISTEXT(D249),MAX($C$10:C248)+1,"")</f>
        <v>85</v>
      </c>
      <c r="D249" s="66" t="s">
        <v>442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 t="s">
        <v>52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8"/>
      <c r="C250" s="11">
        <f>IF(ISTEXT(D250),MAX($C$10:C249)+1,"")</f>
        <v>86</v>
      </c>
      <c r="D250" s="66" t="s">
        <v>434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">
        <v>72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44">
        <f>IF(ISTEXT(D251),MAX($C$10:C250)+1,"")</f>
        <v>87</v>
      </c>
      <c r="D251" s="66" t="s">
        <v>435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 t="s">
        <v>52</v>
      </c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>
        <f>IF(ISTEXT(D252),MAX($C$10:C251)+1,"")</f>
        <v>88</v>
      </c>
      <c r="D252" s="66" t="s">
        <v>436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 t="s">
        <v>52</v>
      </c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89</v>
      </c>
      <c r="D253" s="66" t="s">
        <v>437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 t="s">
        <v>52</v>
      </c>
      <c r="W253" s="14"/>
      <c r="X253" s="14"/>
      <c r="Y253" s="14"/>
      <c r="Z253" s="14"/>
    </row>
    <row r="254" spans="2:26" ht="16.149999999999999" customHeight="1" thickBot="1" x14ac:dyDescent="0.3">
      <c r="B254" s="8"/>
      <c r="C254" s="44">
        <f>IF(ISTEXT(D254),MAX($C$10:C253)+1,"")</f>
        <v>90</v>
      </c>
      <c r="D254" s="66" t="s">
        <v>438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 t="s">
        <v>22</v>
      </c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>
        <f>IF(ISTEXT(D255),MAX($C$10:C254)+1,"")</f>
        <v>91</v>
      </c>
      <c r="D255" s="66" t="s">
        <v>443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 t="s">
        <v>52</v>
      </c>
      <c r="W255" s="14"/>
      <c r="X255" s="14"/>
      <c r="Y255" s="14"/>
      <c r="Z255" s="14"/>
    </row>
    <row r="256" spans="2:26" s="15" customFormat="1" ht="16.149999999999999" customHeight="1" thickBot="1" x14ac:dyDescent="0.3">
      <c r="B256" s="13"/>
      <c r="C256" s="44">
        <f>IF(ISTEXT(D256),MAX($C$10:C255)+1,"")</f>
        <v>92</v>
      </c>
      <c r="D256" s="66" t="s">
        <v>444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 t="s">
        <v>52</v>
      </c>
      <c r="W256" s="14"/>
      <c r="X256" s="14"/>
      <c r="Y256" s="14"/>
      <c r="Z256" s="14"/>
    </row>
    <row r="257" spans="2:26" s="15" customFormat="1" ht="16.149999999999999" customHeight="1" thickBot="1" x14ac:dyDescent="0.3">
      <c r="B257" s="13"/>
      <c r="C257" s="44">
        <f>IF(ISTEXT(D257),MAX($C$10:C256)+1,"")</f>
        <v>93</v>
      </c>
      <c r="D257" s="70" t="s">
        <v>291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 t="s">
        <v>72</v>
      </c>
      <c r="W257" s="14"/>
      <c r="X257" s="14"/>
      <c r="Y257" s="14"/>
      <c r="Z257" s="14"/>
    </row>
    <row r="258" spans="2:26" s="15" customFormat="1" ht="15.95" customHeight="1" thickBot="1" x14ac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/>
      <c r="W258" s="14"/>
      <c r="X258" s="14"/>
      <c r="Y258" s="14"/>
      <c r="Z258" s="14"/>
    </row>
    <row r="259" spans="2:26" s="15" customFormat="1" ht="16.149999999999999" customHeight="1" thickBot="1" x14ac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/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/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11"/>
      <c r="D261" s="73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5"/>
      <c r="V261" s="10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11"/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>
        <f>IF(ISTEXT(D265),MAX($C$10:C264)+1,"")</f>
        <v>94</v>
      </c>
      <c r="D265" s="70" t="s">
        <v>445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 t="s">
        <v>22</v>
      </c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>
        <f>IF(ISTEXT(D266),MAX($C$10:C265)+1,"")</f>
        <v>95</v>
      </c>
      <c r="D266" s="66" t="s">
        <v>446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 t="s">
        <v>129</v>
      </c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>
        <f>IF(ISTEXT(D267),MAX($C$10:C266)+1,"")</f>
        <v>96</v>
      </c>
      <c r="D267" s="70" t="s">
        <v>447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 t="s">
        <v>76</v>
      </c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>
        <f>IF(ISTEXT(D268),MAX($C$10:C267)+1,"")</f>
        <v>97</v>
      </c>
      <c r="D268" s="70" t="s">
        <v>448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 t="s">
        <v>129</v>
      </c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>
        <f>IF(ISTEXT(D269),MAX($C$10:C268)+1,"")</f>
        <v>98</v>
      </c>
      <c r="D269" s="70" t="s">
        <v>449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 t="s">
        <v>129</v>
      </c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>
        <f>IF(ISTEXT(D270),MAX($C$10:C269)+1,"")</f>
        <v>99</v>
      </c>
      <c r="D270" s="70" t="s">
        <v>450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 t="s">
        <v>22</v>
      </c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100</v>
      </c>
      <c r="D271" s="70" t="s">
        <v>451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 t="s">
        <v>129</v>
      </c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 t="str">
        <f>IF(ISTEXT(D272),MAX($C$10:C271)+1,"")</f>
        <v/>
      </c>
      <c r="D272" s="70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/>
      <c r="W272" s="14"/>
      <c r="X272" s="14"/>
      <c r="Y272" s="14"/>
      <c r="Z272" s="14"/>
    </row>
    <row r="273" spans="2:26" s="15" customFormat="1" ht="16.149999999999999" customHeight="1" thickBot="1" x14ac:dyDescent="0.3">
      <c r="B273" s="8"/>
      <c r="C273" s="11" t="str">
        <f>IF(ISTEXT(D273),MAX($C$10:C272)+1,"")</f>
        <v/>
      </c>
      <c r="D273" s="66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/>
      <c r="W273" s="14"/>
      <c r="X273" s="14"/>
      <c r="Y273" s="14"/>
      <c r="Z273" s="14"/>
    </row>
    <row r="274" spans="2:26" s="15" customFormat="1" ht="16.149999999999999" customHeight="1" thickBot="1" x14ac:dyDescent="0.3">
      <c r="B274" s="8"/>
      <c r="C274" s="11" t="str">
        <f>IF(ISTEXT(D274),MAX($C$10:C273)+1,"")</f>
        <v/>
      </c>
      <c r="D274" s="140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/>
      <c r="W274" s="14"/>
      <c r="X274" s="14"/>
      <c r="Y274" s="14"/>
      <c r="Z274" s="14"/>
    </row>
    <row r="275" spans="2:26" s="15" customFormat="1" ht="16.149999999999999" customHeight="1" thickBot="1" x14ac:dyDescent="0.3">
      <c r="B275" s="8"/>
      <c r="C275" s="11" t="str">
        <f>IF(ISTEXT(D275),MAX($C$10:C274)+1,"")</f>
        <v/>
      </c>
      <c r="D275" s="137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/>
      <c r="W275" s="14"/>
      <c r="X275" s="14"/>
      <c r="Y275" s="14"/>
      <c r="Z275" s="14"/>
    </row>
    <row r="276" spans="2:26" s="15" customFormat="1" ht="16.149999999999999" customHeight="1" thickBot="1" x14ac:dyDescent="0.3">
      <c r="B276" s="8"/>
      <c r="C276" s="11" t="str">
        <f>IF(ISTEXT(D276),MAX($C$10:C275)+1,"")</f>
        <v/>
      </c>
      <c r="D276" s="140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/>
      <c r="W276" s="14"/>
      <c r="X276" s="14"/>
      <c r="Y276" s="14"/>
      <c r="Z276" s="14"/>
    </row>
    <row r="277" spans="2:26" s="15" customFormat="1" ht="16.149999999999999" customHeight="1" thickBot="1" x14ac:dyDescent="0.3">
      <c r="B277" s="8"/>
      <c r="C277" s="11" t="str">
        <f>IF(ISTEXT(D277),MAX($C$10:C276)+1,"")</f>
        <v/>
      </c>
      <c r="D277" s="66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/>
      <c r="W277" s="14"/>
      <c r="X277" s="14"/>
      <c r="Y277" s="14"/>
      <c r="Z277" s="14"/>
    </row>
    <row r="278" spans="2:26" s="15" customFormat="1" ht="16.149999999999999" customHeight="1" thickBot="1" x14ac:dyDescent="0.3">
      <c r="B278" s="8"/>
      <c r="C278" s="11" t="str">
        <f>IF(ISTEXT(D278),MAX($C$10:C277)+1,"")</f>
        <v/>
      </c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/>
      <c r="W278" s="14"/>
      <c r="X278" s="14"/>
      <c r="Y278" s="14"/>
      <c r="Z278" s="14"/>
    </row>
    <row r="279" spans="2:26" s="15" customFormat="1" ht="16.149999999999999" customHeight="1" thickBot="1" x14ac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/>
      <c r="W279" s="14"/>
      <c r="X279" s="14"/>
      <c r="Y279" s="14"/>
      <c r="Z279" s="14"/>
    </row>
    <row r="280" spans="2:26" s="15" customFormat="1" ht="16.149999999999999" customHeight="1" thickBot="1" x14ac:dyDescent="0.3">
      <c r="B280" s="8"/>
      <c r="C280" s="11">
        <f>IF(ISTEXT(D280),MAX($C$10:C279)+1,"")</f>
        <v>101</v>
      </c>
      <c r="D280" s="66" t="s">
        <v>452</v>
      </c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 t="s">
        <v>52</v>
      </c>
      <c r="W280" s="14"/>
      <c r="X280" s="14"/>
      <c r="Y280" s="14"/>
      <c r="Z280" s="14"/>
    </row>
    <row r="281" spans="2:26" s="15" customFormat="1" ht="16.149999999999999" customHeight="1" thickBot="1" x14ac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/>
      <c r="W281" s="14"/>
      <c r="X281" s="14"/>
      <c r="Y281" s="14"/>
      <c r="Z281" s="14"/>
    </row>
    <row r="282" spans="2:26" s="15" customFormat="1" ht="16.149999999999999" customHeight="1" thickBot="1" x14ac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/>
      <c r="W282" s="14"/>
      <c r="X282" s="14"/>
      <c r="Y282" s="14"/>
      <c r="Z282" s="14"/>
    </row>
    <row r="283" spans="2:26" s="15" customFormat="1" ht="16.149999999999999" customHeight="1" thickBot="1" x14ac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/>
      <c r="W283" s="14"/>
      <c r="X283" s="14"/>
      <c r="Y283" s="14"/>
      <c r="Z283" s="14"/>
    </row>
    <row r="284" spans="2:26" s="15" customFormat="1" ht="16.149999999999999" customHeight="1" thickBot="1" x14ac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/>
      <c r="W284" s="14"/>
      <c r="X284" s="14"/>
      <c r="Y284" s="14"/>
      <c r="Z284" s="14"/>
    </row>
    <row r="285" spans="2:26" s="15" customFormat="1" ht="16.149999999999999" customHeight="1" thickBot="1" x14ac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/>
      <c r="W285" s="14"/>
      <c r="X285" s="14"/>
      <c r="Y285" s="14"/>
      <c r="Z285" s="14"/>
    </row>
    <row r="286" spans="2:26" ht="15" customHeight="1" x14ac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</row>
    <row r="287" spans="2:26" x14ac:dyDescent="0.25">
      <c r="B287" s="20"/>
      <c r="C287" s="21"/>
      <c r="O287" s="22"/>
      <c r="P287" s="22"/>
      <c r="Q287" s="23"/>
      <c r="R287" s="23"/>
      <c r="S287" s="22"/>
      <c r="T287" s="22"/>
    </row>
    <row r="288" spans="2:26" ht="15.75" thickBot="1" x14ac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</row>
    <row r="289" spans="2:256" ht="15" customHeight="1" x14ac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</row>
    <row r="290" spans="2:256" ht="18" customHeight="1" thickBot="1" x14ac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/>
      <c r="W290" s="63"/>
      <c r="X290" s="62"/>
      <c r="Y290" s="62"/>
    </row>
    <row r="291" spans="2:256" ht="20.100000000000001" customHeight="1" x14ac:dyDescent="0.25">
      <c r="B291" s="15"/>
      <c r="C291" s="15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x14ac:dyDescent="0.25">
      <c r="B292" s="15"/>
      <c r="C292" s="15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x14ac:dyDescent="0.25">
      <c r="B293" s="15"/>
      <c r="C293" s="15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x14ac:dyDescent="0.25">
      <c r="B294" s="15"/>
      <c r="C294" s="15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x14ac:dyDescent="0.25">
      <c r="B295" s="15"/>
      <c r="C295" s="1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x14ac:dyDescent="0.25">
      <c r="B296" s="15"/>
      <c r="C296" s="15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x14ac:dyDescent="0.25">
      <c r="B297" s="15"/>
      <c r="C297" s="15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x14ac:dyDescent="0.25">
      <c r="B298" s="15"/>
      <c r="C298" s="15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x14ac:dyDescent="0.25">
      <c r="B299" s="15"/>
      <c r="C299" s="15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x14ac:dyDescent="0.25"/>
    <row r="301" spans="2:256" s="15" customFormat="1" ht="15.95" customHeight="1" x14ac:dyDescent="0.25"/>
    <row r="302" spans="2:256" s="15" customFormat="1" ht="17.100000000000001" customHeight="1" x14ac:dyDescent="0.25"/>
    <row r="303" spans="2:256" s="15" customFormat="1" ht="18.95" customHeight="1" x14ac:dyDescent="0.25"/>
    <row r="304" spans="2:256" s="15" customFormat="1" ht="21" customHeight="1" x14ac:dyDescent="0.25"/>
    <row r="305" spans="2:256" s="15" customFormat="1" ht="16.149999999999999" customHeight="1" x14ac:dyDescent="0.25"/>
    <row r="306" spans="2:256" s="15" customFormat="1" ht="16.149999999999999" customHeight="1" x14ac:dyDescent="0.25"/>
    <row r="307" spans="2:256" s="15" customFormat="1" ht="16.149999999999999" customHeight="1" x14ac:dyDescent="0.25"/>
    <row r="308" spans="2:256" s="15" customFormat="1" ht="16.149999999999999" customHeight="1" x14ac:dyDescent="0.25"/>
    <row r="309" spans="2:256" s="15" customFormat="1" ht="16.149999999999999" customHeight="1" x14ac:dyDescent="0.25"/>
    <row r="310" spans="2:256" s="15" customFormat="1" ht="16.149999999999999" customHeight="1" x14ac:dyDescent="0.25"/>
    <row r="311" spans="2:256" s="15" customFormat="1" ht="16.149999999999999" customHeight="1" x14ac:dyDescent="0.25"/>
    <row r="312" spans="2:256" ht="16.149999999999999" customHeight="1" x14ac:dyDescent="0.25">
      <c r="B312" s="15"/>
      <c r="C312" s="15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x14ac:dyDescent="0.25"/>
    <row r="314" spans="2:256" s="15" customFormat="1" ht="16.149999999999999" customHeight="1" x14ac:dyDescent="0.25"/>
    <row r="315" spans="2:256" s="15" customFormat="1" ht="16.149999999999999" customHeight="1" x14ac:dyDescent="0.25"/>
    <row r="316" spans="2:256" s="15" customFormat="1" ht="16.149999999999999" customHeight="1" x14ac:dyDescent="0.25"/>
    <row r="317" spans="2:256" s="15" customFormat="1" ht="16.149999999999999" customHeight="1" x14ac:dyDescent="0.25"/>
    <row r="318" spans="2:256" s="15" customFormat="1" ht="16.149999999999999" customHeight="1" x14ac:dyDescent="0.25"/>
    <row r="319" spans="2:256" s="15" customFormat="1" ht="16.149999999999999" customHeight="1" x14ac:dyDescent="0.25"/>
    <row r="320" spans="2:256" s="15" customFormat="1" ht="16.149999999999999" customHeight="1" x14ac:dyDescent="0.25"/>
    <row r="321" s="15" customFormat="1" ht="16.149999999999999" customHeight="1" x14ac:dyDescent="0.25"/>
    <row r="322" s="15" customFormat="1" ht="16.149999999999999" customHeight="1" x14ac:dyDescent="0.25"/>
    <row r="323" s="15" customFormat="1" ht="16.149999999999999" customHeight="1" x14ac:dyDescent="0.25"/>
    <row r="324" s="15" customFormat="1" ht="16.149999999999999" customHeight="1" x14ac:dyDescent="0.25"/>
    <row r="325" s="15" customFormat="1" ht="16.149999999999999" customHeight="1" x14ac:dyDescent="0.25"/>
    <row r="326" s="15" customFormat="1" ht="16.149999999999999" customHeight="1" x14ac:dyDescent="0.25"/>
    <row r="327" s="15" customFormat="1" ht="16.149999999999999" customHeight="1" x14ac:dyDescent="0.25"/>
    <row r="328" s="15" customFormat="1" ht="16.149999999999999" customHeight="1" x14ac:dyDescent="0.25"/>
    <row r="329" s="15" customFormat="1" ht="16.149999999999999" customHeight="1" x14ac:dyDescent="0.25"/>
    <row r="330" s="15" customFormat="1" ht="16.149999999999999" customHeight="1" x14ac:dyDescent="0.25"/>
    <row r="331" s="15" customFormat="1" ht="16.149999999999999" customHeight="1" x14ac:dyDescent="0.25"/>
    <row r="332" s="15" customFormat="1" ht="16.149999999999999" customHeight="1" x14ac:dyDescent="0.25"/>
    <row r="333" s="15" customFormat="1" ht="16.149999999999999" customHeight="1" x14ac:dyDescent="0.25"/>
    <row r="334" s="15" customFormat="1" ht="16.149999999999999" customHeight="1" x14ac:dyDescent="0.25"/>
    <row r="335" s="15" customFormat="1" ht="16.149999999999999" customHeight="1" x14ac:dyDescent="0.25"/>
    <row r="336" s="15" customFormat="1" ht="16.149999999999999" customHeight="1" x14ac:dyDescent="0.25"/>
    <row r="337" spans="2:256" s="15" customFormat="1" ht="16.149999999999999" customHeight="1" x14ac:dyDescent="0.25"/>
    <row r="338" spans="2:256" s="15" customFormat="1" ht="16.149999999999999" customHeight="1" x14ac:dyDescent="0.25"/>
    <row r="339" spans="2:256" s="15" customFormat="1" ht="16.149999999999999" customHeight="1" x14ac:dyDescent="0.25"/>
    <row r="340" spans="2:256" s="15" customFormat="1" ht="16.149999999999999" customHeight="1" x14ac:dyDescent="0.25"/>
    <row r="341" spans="2:256" s="15" customFormat="1" ht="16.149999999999999" customHeight="1" x14ac:dyDescent="0.25"/>
    <row r="342" spans="2:256" s="15" customFormat="1" ht="16.149999999999999" customHeight="1" x14ac:dyDescent="0.25"/>
    <row r="343" spans="2:256" ht="15" customHeight="1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x14ac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x14ac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x14ac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x14ac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x14ac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x14ac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x14ac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x14ac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x14ac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lt/nwkrq19cmeusPtbX77Rb9S01BdwQkeRLOMArQdF1XMl/IEGC6g8tHLCeNgk5I+br5PeNL+MdAsTz3m4T2EQ==" saltValue="iqP8DNigJHdnI8PyRiYR2w==" spinCount="100000" sheet="1" formatCells="0" formatColumns="0" formatRows="0" insertColumns="0" insertRows="0" insertHyperlinks="0" deleteColumns="0" deleteRows="0" sort="0" autoFilter="0" pivotTables="0"/>
  <mergeCells count="331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</mergeCells>
  <dataValidations count="1">
    <dataValidation type="list" allowBlank="1" showInputMessage="1" sqref="D102:U102 D133:U133" xr:uid="{6143EA88-A2DC-475D-9F02-65EAD7F5A82A}">
      <formula1>#REF!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C03B591C-A739-4F3F-B6FF-8AE0D252001A}">
          <x14:formula1>
            <xm:f>Common_Defect_List!$B$2:$B$5</xm:f>
          </x14:formula1>
          <xm:sqref>V194:V229 V132:V176 V11:V62 V79:V115 V247:V285</xm:sqref>
        </x14:dataValidation>
        <x14:dataValidation type="list" allowBlank="1" showInputMessage="1" xr:uid="{1593EBA1-50E0-4D0E-BBF0-614B4F3D5ED3}">
          <x14:formula1>
            <xm:f>Common_Defect_List!$A:$A</xm:f>
          </x14:formula1>
          <xm:sqref>D162:U164 E253:U263 D114:D115 D194:U211 E223:U229 E79:U98 D265:U273 D34:U48 D62:U62 D103:U109 D11:D32 E11:U23 E25:U32 D144:U145 D134:U140 E213:U213 D79:D100 D247:D263 D149:U156 D158:U160 D275:U275 D277:U285 E173:U176 D166:U168 D170:D176 E170:U171 D213:D229 E219:U220</xm:sqref>
        </x14:dataValidation>
        <x14:dataValidation type="list" allowBlank="1" showInputMessage="1" showErrorMessage="1" xr:uid="{B54A22DC-2F29-45F1-A0AD-8FB86C40AE95}">
          <x14:formula1>
            <xm:f>Common_Defect_List!$A:$A</xm:f>
          </x14:formula1>
          <xm:sqref>D142:U142 D111:U111 D113:U113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5DE8-A030-4BEB-B246-9BFC05007C0A}">
  <sheetPr>
    <pageSetUpPr fitToPage="1"/>
  </sheetPr>
  <dimension ref="A1:IV400"/>
  <sheetViews>
    <sheetView view="pageBreakPreview" topLeftCell="A274" zoomScaleNormal="100" zoomScaleSheetLayoutView="100" workbookViewId="0">
      <selection activeCell="AC10" sqref="AC10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453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29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x14ac:dyDescent="0.3">
      <c r="B11" s="8"/>
      <c r="C11" s="11">
        <v>1</v>
      </c>
      <c r="D11" s="101" t="s">
        <v>454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 t="s">
        <v>22</v>
      </c>
      <c r="W11" s="10"/>
      <c r="X11" s="10"/>
      <c r="Y11" s="10"/>
      <c r="Z11" s="10"/>
    </row>
    <row r="12" spans="2:29" s="4" customFormat="1" ht="16.350000000000001" customHeight="1" thickBot="1" x14ac:dyDescent="0.3">
      <c r="B12" s="8"/>
      <c r="C12" s="11">
        <f>IF(ISTEXT(D12),MAX($C$10:C11)+1,"")</f>
        <v>2</v>
      </c>
      <c r="D12" s="101" t="s">
        <v>455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 t="s">
        <v>22</v>
      </c>
      <c r="W12" s="10"/>
      <c r="X12" s="10"/>
      <c r="Y12" s="10"/>
      <c r="Z12" s="10"/>
    </row>
    <row r="13" spans="2:29" s="4" customFormat="1" ht="16.350000000000001" customHeight="1" thickBot="1" x14ac:dyDescent="0.3">
      <c r="B13" s="8"/>
      <c r="C13" s="11">
        <f>IF(ISTEXT(D13),MAX($C$10:C12)+1,"")</f>
        <v>3</v>
      </c>
      <c r="D13" s="101" t="s">
        <v>456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 t="s">
        <v>22</v>
      </c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f>IF(ISTEXT(D14),MAX($C$10:C13)+1,"")</f>
        <v>4</v>
      </c>
      <c r="D14" s="101" t="s">
        <v>457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 t="s">
        <v>22</v>
      </c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f>IF(ISTEXT(D15),MAX($C$10:C14)+1,"")</f>
        <v>5</v>
      </c>
      <c r="D15" s="101" t="s">
        <v>29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 t="s">
        <v>22</v>
      </c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f>IF(ISTEXT(D16),MAX($C$10:C15)+1,"")</f>
        <v>6</v>
      </c>
      <c r="D16" s="101" t="s">
        <v>458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 t="s">
        <v>22</v>
      </c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f>IF(ISTEXT(D17),MAX($C$10:C16)+1,"")</f>
        <v>7</v>
      </c>
      <c r="D17" s="101" t="s">
        <v>459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 t="s">
        <v>22</v>
      </c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f>IF(ISTEXT(D18),MAX($C$10:C17)+1,"")</f>
        <v>8</v>
      </c>
      <c r="D18" s="101" t="s">
        <v>460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 t="s">
        <v>22</v>
      </c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f>IF(ISTEXT(D19),MAX($C$10:C18)+1,"")</f>
        <v>9</v>
      </c>
      <c r="D19" s="101" t="s">
        <v>461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 t="s">
        <v>76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f>IF(ISTEXT(D20),MAX($C$10:C19)+1,"")</f>
        <v>10</v>
      </c>
      <c r="D20" s="101" t="s">
        <v>462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 t="s">
        <v>22</v>
      </c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f>IF(ISTEXT(D21),MAX($C$10:C20)+1,"")</f>
        <v>11</v>
      </c>
      <c r="D21" s="101" t="s">
        <v>463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 t="s">
        <v>52</v>
      </c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f>IF(ISTEXT(D22),MAX($C$10:C21)+1,"")</f>
        <v>12</v>
      </c>
      <c r="D22" s="101" t="s">
        <v>464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 t="s">
        <v>22</v>
      </c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f>IF(ISTEXT(D23),MAX($C$10:C22)+1,"")</f>
        <v>13</v>
      </c>
      <c r="D23" s="101" t="s">
        <v>465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 t="s">
        <v>28</v>
      </c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 t="str">
        <f>IF(ISTEXT(D24),MAX($C$10:C23)+1,"")</f>
        <v/>
      </c>
      <c r="D24" s="101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/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 t="str">
        <f>IF(ISTEXT(D25),MAX($C$10:C24)+1,"")</f>
        <v/>
      </c>
      <c r="D25" s="101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/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 t="str">
        <f>IF(ISTEXT(D26),MAX($C$10:C25)+1,"")</f>
        <v/>
      </c>
      <c r="D26" s="101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/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 t="str">
        <f>IF(ISTEXT(D27),MAX($C$10:C26)+1,"")</f>
        <v/>
      </c>
      <c r="D27" s="101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/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 t="str">
        <f>IF(ISTEXT(D28),MAX($C$10:C27)+1,"")</f>
        <v/>
      </c>
      <c r="D28" s="101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/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 t="str">
        <f>IF(ISTEXT(D29),MAX($C$10:C28)+1,"")</f>
        <v/>
      </c>
      <c r="D29" s="101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/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 t="str">
        <f>IF(ISTEXT(D30),MAX($C$10:C29)+1,"")</f>
        <v/>
      </c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/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 t="str">
        <f>IF(ISTEXT(D31),MAX($C$10:C30)+1,"")</f>
        <v/>
      </c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/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 t="str">
        <f>IF(ISTEXT(D32),MAX($C$10:C31)+1,"")</f>
        <v/>
      </c>
      <c r="D32" s="10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/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 t="str">
        <f>IF(ISTEXT(D32),MAX($C$10:C32)+1,"")</f>
        <v/>
      </c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/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 t="str">
        <f>IF(ISTEXT(D34),MAX($C$10:C33)+1,"")</f>
        <v/>
      </c>
      <c r="D34" s="10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/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 t="str">
        <f>IF(ISTEXT(D35),MAX($C$10:C34)+1,"")</f>
        <v/>
      </c>
      <c r="D35" s="10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/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 t="str">
        <f>IF(ISTEXT(D36),MAX($C$10:C35)+1,"")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/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 t="str">
        <f>IF(ISTEXT(D37),MAX($C$10:C36)+1,"")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/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 t="str">
        <f>IF(ISTEXT(D38),MAX($C$10:C37)+1,"")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/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/>
      <c r="W39" s="10"/>
      <c r="X39" s="10"/>
      <c r="Y39" s="10"/>
      <c r="Z39" s="10"/>
    </row>
    <row r="40" spans="2:26" s="4" customFormat="1" ht="15" customHeight="1" thickBot="1" x14ac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/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/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/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/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/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/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/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6.350000000000001" customHeight="1" thickBot="1" x14ac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/>
      <c r="W50" s="10"/>
      <c r="X50" s="10"/>
      <c r="Y50" s="10"/>
      <c r="Z50" s="10"/>
    </row>
    <row r="51" spans="2:26" s="4" customFormat="1" ht="16.350000000000001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/>
      <c r="W53" s="10"/>
      <c r="X53" s="10"/>
      <c r="Y53" s="10"/>
      <c r="Z53" s="10"/>
    </row>
    <row r="54" spans="2:26" s="4" customFormat="1" ht="16.350000000000001" customHeight="1" thickBot="1" x14ac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/>
      <c r="W54" s="10"/>
      <c r="X54" s="10"/>
      <c r="Y54" s="10"/>
      <c r="Z54" s="10"/>
    </row>
    <row r="55" spans="2:26" s="4" customFormat="1" ht="16.350000000000001" customHeight="1" thickBot="1" x14ac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/>
      <c r="W55" s="10"/>
      <c r="X55" s="10"/>
      <c r="Y55" s="10"/>
      <c r="Z55" s="10"/>
    </row>
    <row r="56" spans="2:26" s="4" customFormat="1" ht="16.350000000000001" customHeight="1" thickBot="1" x14ac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/>
      <c r="W56" s="18"/>
      <c r="X56" s="10"/>
      <c r="Y56" s="10"/>
      <c r="Z56" s="10"/>
    </row>
    <row r="57" spans="2:26" s="4" customFormat="1" ht="16.350000000000001" customHeight="1" thickBot="1" x14ac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/>
      <c r="W57" s="18"/>
      <c r="X57" s="10"/>
      <c r="Y57" s="10"/>
      <c r="Z57" s="10"/>
    </row>
    <row r="58" spans="2:26" s="15" customFormat="1" ht="15" customHeight="1" thickBot="1" x14ac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/>
      <c r="W58" s="14"/>
      <c r="X58" s="14"/>
      <c r="Y58" s="14"/>
      <c r="Z58" s="14"/>
    </row>
    <row r="59" spans="2:26" s="4" customFormat="1" ht="15.95" customHeight="1" thickBot="1" x14ac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/>
      <c r="W59" s="10"/>
      <c r="X59" s="10"/>
      <c r="Y59" s="10"/>
      <c r="Z59" s="10"/>
    </row>
    <row r="60" spans="2:26" s="4" customFormat="1" ht="15.95" customHeight="1" thickBot="1" x14ac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/>
      <c r="W60" s="10"/>
      <c r="X60" s="10"/>
      <c r="Y60" s="10"/>
      <c r="Z60" s="10"/>
    </row>
    <row r="61" spans="2:26" s="4" customFormat="1" ht="16.350000000000001" customHeight="1" thickBot="1" x14ac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/>
      <c r="W61" s="10"/>
      <c r="X61" s="10"/>
      <c r="Y61" s="10"/>
      <c r="Z61" s="10"/>
    </row>
    <row r="62" spans="2:26" s="4" customFormat="1" ht="16.350000000000001" customHeight="1" thickBot="1" x14ac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/>
      <c r="W62" s="10"/>
      <c r="X62" s="10"/>
      <c r="Y62" s="10"/>
      <c r="Z62" s="10"/>
    </row>
    <row r="63" spans="2:26" s="1" customFormat="1" ht="15" customHeight="1" x14ac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</row>
    <row r="64" spans="2:26" x14ac:dyDescent="0.25">
      <c r="B64" s="20"/>
      <c r="C64" s="21"/>
      <c r="O64" s="22"/>
      <c r="P64" s="22"/>
      <c r="Q64" s="23"/>
      <c r="R64" s="23"/>
      <c r="S64" s="22"/>
      <c r="T64" s="22"/>
    </row>
    <row r="65" spans="2:26" s="1" customFormat="1" ht="13.5" thickBot="1" x14ac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</row>
    <row r="66" spans="2:26" ht="15" customHeight="1" x14ac:dyDescent="0.25">
      <c r="C66" s="29"/>
      <c r="I66" s="30"/>
      <c r="O66" s="65"/>
      <c r="P66" s="65"/>
      <c r="Q66" s="60"/>
      <c r="R66" s="60"/>
      <c r="S66" s="65"/>
      <c r="T66" s="65"/>
    </row>
    <row r="67" spans="2:26" ht="18" customHeight="1" thickBot="1" x14ac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/>
      <c r="W67" s="62"/>
      <c r="X67" s="62"/>
      <c r="Y67" s="62"/>
    </row>
    <row r="68" spans="2:26" ht="15" customHeight="1" thickBot="1" x14ac:dyDescent="0.3"/>
    <row r="69" spans="2:26" ht="15" customHeight="1" x14ac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2" t="s">
        <v>65</v>
      </c>
      <c r="X69" s="79"/>
      <c r="Y69" s="79"/>
      <c r="Z69" s="79"/>
    </row>
    <row r="70" spans="2:26" ht="15" customHeight="1" thickBot="1" x14ac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2:26" ht="10.5" customHeight="1" thickBot="1" x14ac:dyDescent="0.3"/>
    <row r="72" spans="2:26" ht="15" customHeight="1" thickBot="1" x14ac:dyDescent="0.3">
      <c r="J72" s="79" t="s">
        <v>2</v>
      </c>
      <c r="K72" s="79"/>
      <c r="L72" s="79"/>
      <c r="M72" s="80" t="str">
        <f>M4</f>
        <v>C1008</v>
      </c>
      <c r="N72" s="80"/>
      <c r="O72" s="80"/>
      <c r="P72" s="80"/>
    </row>
    <row r="73" spans="2:26" s="15" customFormat="1" ht="15" customHeight="1" thickBot="1" x14ac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/>
    </row>
    <row r="74" spans="2:26" s="15" customFormat="1" ht="15.95" customHeight="1" thickBot="1" x14ac:dyDescent="0.3"/>
    <row r="75" spans="2:26" s="15" customFormat="1" ht="15" customHeight="1" thickBot="1" x14ac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/>
      <c r="W75" s="60"/>
      <c r="X75" s="23"/>
    </row>
    <row r="76" spans="2:26" s="15" customFormat="1" ht="15" customHeight="1" thickBot="1" x14ac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s="15" customFormat="1" ht="22.5" customHeight="1" thickBot="1" x14ac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 t="s">
        <v>8</v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x14ac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/>
      <c r="W78" s="14"/>
      <c r="X78" s="14"/>
      <c r="Y78" s="14"/>
      <c r="Z78" s="14"/>
    </row>
    <row r="79" spans="2:26" s="15" customFormat="1" ht="15.6" customHeight="1" thickBot="1" x14ac:dyDescent="0.25">
      <c r="B79" s="8"/>
      <c r="C79" s="11">
        <f>IF(ISTEXT(D79),MAX($C$10:C78)+1,"")</f>
        <v>14</v>
      </c>
      <c r="D79" s="95" t="s">
        <v>466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 t="s">
        <v>22</v>
      </c>
      <c r="W79" s="14"/>
      <c r="X79" s="14"/>
      <c r="Y79" s="14"/>
      <c r="Z79" s="14"/>
    </row>
    <row r="80" spans="2:26" s="15" customFormat="1" ht="15.6" customHeight="1" thickBot="1" x14ac:dyDescent="0.3">
      <c r="B80" s="8"/>
      <c r="C80" s="11">
        <f>IF(ISTEXT(D80),MAX($C$10:C79)+1,"")</f>
        <v>15</v>
      </c>
      <c r="D80" s="70" t="s">
        <v>467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 t="s">
        <v>22</v>
      </c>
      <c r="W80" s="14"/>
      <c r="X80" s="14"/>
      <c r="Y80" s="14"/>
      <c r="Z80" s="14"/>
    </row>
    <row r="81" spans="1:26" s="15" customFormat="1" ht="15.6" customHeight="1" thickBot="1" x14ac:dyDescent="0.3">
      <c r="B81" s="8"/>
      <c r="C81" s="11">
        <f>IF(ISTEXT(D81),MAX($C$10:C80)+1,"")</f>
        <v>16</v>
      </c>
      <c r="D81" s="70" t="s">
        <v>468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 t="s">
        <v>76</v>
      </c>
      <c r="W81" s="14"/>
      <c r="X81" s="14"/>
      <c r="Y81" s="14"/>
      <c r="Z81" s="14"/>
    </row>
    <row r="82" spans="1:26" s="15" customFormat="1" ht="16.149999999999999" customHeight="1" thickBot="1" x14ac:dyDescent="0.3">
      <c r="B82" s="8"/>
      <c r="C82" s="11">
        <f>IF(ISTEXT(D82),MAX($C$10:C81)+1,"")</f>
        <v>17</v>
      </c>
      <c r="D82" s="70" t="s">
        <v>469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 t="s">
        <v>76</v>
      </c>
      <c r="W82" s="14"/>
      <c r="X82" s="14"/>
      <c r="Y82" s="14"/>
      <c r="Z82" s="14"/>
    </row>
    <row r="83" spans="1:26" s="15" customFormat="1" ht="16.149999999999999" customHeight="1" thickBot="1" x14ac:dyDescent="0.3">
      <c r="B83" s="8"/>
      <c r="C83" s="11">
        <f>IF(ISTEXT(D83),MAX($C$10:C82)+1,"")</f>
        <v>18</v>
      </c>
      <c r="D83" s="70" t="s">
        <v>470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 t="s">
        <v>76</v>
      </c>
      <c r="W83" s="14"/>
      <c r="X83" s="14"/>
      <c r="Y83" s="14"/>
      <c r="Z83" s="14"/>
    </row>
    <row r="84" spans="1:26" s="15" customFormat="1" ht="16.149999999999999" customHeight="1" thickBot="1" x14ac:dyDescent="0.3">
      <c r="B84" s="8"/>
      <c r="C84" s="11">
        <f>IF(ISTEXT(D84),MAX($C$10:C83)+1,"")</f>
        <v>19</v>
      </c>
      <c r="D84" s="70" t="s">
        <v>79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 t="s">
        <v>76</v>
      </c>
      <c r="W84" s="14"/>
      <c r="X84" s="14"/>
      <c r="Y84" s="14"/>
      <c r="Z84" s="14"/>
    </row>
    <row r="85" spans="1:26" s="15" customFormat="1" ht="16.149999999999999" customHeight="1" thickBot="1" x14ac:dyDescent="0.3">
      <c r="B85" s="8"/>
      <c r="C85" s="11">
        <f>IF(ISTEXT(D85),MAX($C$10:C84)+1,"")</f>
        <v>20</v>
      </c>
      <c r="D85" s="70" t="s">
        <v>471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 t="s">
        <v>76</v>
      </c>
      <c r="W85" s="14"/>
      <c r="X85" s="14"/>
      <c r="Y85" s="14"/>
      <c r="Z85" s="14"/>
    </row>
    <row r="86" spans="1:26" s="15" customFormat="1" ht="16.149999999999999" customHeight="1" thickBot="1" x14ac:dyDescent="0.3">
      <c r="B86" s="8"/>
      <c r="C86" s="11">
        <f>IF(ISTEXT(D86),MAX($C$10:C85)+1,"")</f>
        <v>21</v>
      </c>
      <c r="D86" s="70" t="s">
        <v>423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146"/>
      <c r="V86" s="10" t="s">
        <v>76</v>
      </c>
      <c r="W86" s="14"/>
      <c r="X86" s="14"/>
      <c r="Y86" s="14"/>
      <c r="Z86" s="14"/>
    </row>
    <row r="87" spans="1:26" ht="16.149999999999999" customHeight="1" thickBot="1" x14ac:dyDescent="0.3">
      <c r="B87" s="8"/>
      <c r="C87" s="11">
        <f>IF(ISTEXT(D87),MAX($C$10:C86)+1,"")</f>
        <v>22</v>
      </c>
      <c r="D87" s="143" t="s">
        <v>472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 t="s">
        <v>76</v>
      </c>
      <c r="W87" s="14"/>
      <c r="X87" s="14"/>
      <c r="Y87" s="14"/>
      <c r="Z87" s="14"/>
    </row>
    <row r="88" spans="1:26" s="15" customFormat="1" ht="16.149999999999999" customHeight="1" thickBot="1" x14ac:dyDescent="0.3">
      <c r="A88" s="36"/>
      <c r="B88" s="37"/>
      <c r="C88" s="11">
        <f>IF(ISTEXT(D88),MAX($C$10:C87)+1,"")</f>
        <v>23</v>
      </c>
      <c r="D88" s="143" t="s">
        <v>473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 t="s">
        <v>76</v>
      </c>
      <c r="W88" s="14"/>
      <c r="X88" s="14"/>
      <c r="Y88" s="14"/>
      <c r="Z88" s="14"/>
    </row>
    <row r="89" spans="1:26" s="15" customFormat="1" ht="16.149999999999999" customHeight="1" thickBot="1" x14ac:dyDescent="0.3">
      <c r="B89" s="8"/>
      <c r="C89" s="11">
        <f>IF(ISTEXT(D89),MAX($C$10:C88)+1,"")</f>
        <v>24</v>
      </c>
      <c r="D89" s="143" t="s">
        <v>474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 t="s">
        <v>76</v>
      </c>
      <c r="W89" s="14"/>
      <c r="X89" s="14"/>
      <c r="Y89" s="14"/>
      <c r="Z89" s="14"/>
    </row>
    <row r="90" spans="1:26" s="15" customFormat="1" ht="16.149999999999999" customHeight="1" thickBot="1" x14ac:dyDescent="0.3">
      <c r="B90" s="8"/>
      <c r="C90" s="11">
        <f>IF(ISTEXT(D90),MAX($C$10:C89)+1,"")</f>
        <v>25</v>
      </c>
      <c r="D90" s="143" t="s">
        <v>475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 t="s">
        <v>76</v>
      </c>
      <c r="W90" s="14"/>
      <c r="X90" s="14"/>
      <c r="Y90" s="14"/>
      <c r="Z90" s="14"/>
    </row>
    <row r="91" spans="1:26" s="15" customFormat="1" ht="16.149999999999999" customHeight="1" thickBot="1" x14ac:dyDescent="0.3">
      <c r="B91" s="8"/>
      <c r="C91" s="11" t="str">
        <f>IF(ISTEXT(D91),MAX($C$10:C90)+1,"")</f>
        <v/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/>
      <c r="W91" s="14"/>
      <c r="X91" s="14"/>
      <c r="Y91" s="14"/>
      <c r="Z91" s="14"/>
    </row>
    <row r="92" spans="1:26" s="15" customFormat="1" ht="16.149999999999999" customHeight="1" thickBot="1" x14ac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/>
      <c r="W92" s="14"/>
      <c r="X92" s="14"/>
      <c r="Y92" s="14"/>
      <c r="Z92" s="14"/>
    </row>
    <row r="93" spans="1:26" s="15" customFormat="1" ht="16.149999999999999" customHeight="1" thickBot="1" x14ac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/>
      <c r="W93" s="14"/>
      <c r="X93" s="14"/>
      <c r="Y93" s="14"/>
      <c r="Z93" s="14"/>
    </row>
    <row r="94" spans="1:26" s="15" customFormat="1" ht="16.149999999999999" customHeight="1" thickBot="1" x14ac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/>
      <c r="W94" s="14"/>
      <c r="X94" s="14"/>
      <c r="Y94" s="14"/>
      <c r="Z94" s="14"/>
    </row>
    <row r="95" spans="1:26" s="15" customFormat="1" ht="16.149999999999999" customHeight="1" thickBot="1" x14ac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/>
      <c r="W95" s="14"/>
      <c r="X95" s="14"/>
      <c r="Y95" s="14"/>
      <c r="Z95" s="14"/>
    </row>
    <row r="96" spans="1:26" s="15" customFormat="1" ht="16.149999999999999" customHeight="1" thickBot="1" x14ac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/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/>
      <c r="W97" s="14"/>
      <c r="X97" s="14"/>
      <c r="Y97" s="14"/>
      <c r="Z97" s="14"/>
    </row>
    <row r="98" spans="2:26" s="15" customFormat="1" ht="16.149999999999999" customHeight="1" thickBot="1" x14ac:dyDescent="0.3">
      <c r="B98" s="8"/>
      <c r="C98" s="11"/>
      <c r="D98" s="153" t="s">
        <v>476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5"/>
      <c r="V98" s="10"/>
      <c r="W98" s="14"/>
      <c r="X98" s="14"/>
      <c r="Y98" s="14"/>
      <c r="Z98" s="14"/>
    </row>
    <row r="99" spans="2:26" s="15" customFormat="1" ht="15.95" customHeight="1" thickBot="1" x14ac:dyDescent="0.3">
      <c r="B99" s="8"/>
      <c r="C99" s="11" t="str">
        <f>IF(ISTEXT(D99),MAX($C$10:C98)+1,"")</f>
        <v/>
      </c>
      <c r="D99" s="70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/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 t="str">
        <f>IF(ISTEXT(D100),MAX($C$10:C99)+1,"")</f>
        <v/>
      </c>
      <c r="D100" s="70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/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 t="str">
        <f>IF(ISTEXT(D101),MAX($C$10:C100)+1,"")</f>
        <v/>
      </c>
      <c r="D101" s="70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/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 t="str">
        <f>IF(ISTEXT(D102),MAX($C$10:C101)+1,"")</f>
        <v/>
      </c>
      <c r="D102" s="70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/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 t="str">
        <f>IF(ISTEXT(D103),MAX($C$10:C102)+1,"")</f>
        <v/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/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 t="str">
        <f>IF(ISTEXT(D104),MAX($C$10:C103)+1,"")</f>
        <v/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/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/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/>
      <c r="W106" s="14"/>
      <c r="X106" s="14"/>
      <c r="Y106" s="14"/>
      <c r="Z106" s="14"/>
    </row>
    <row r="107" spans="2:26" s="15" customFormat="1" ht="19.149999999999999" customHeight="1" thickBot="1" x14ac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/>
      <c r="W107" s="14"/>
      <c r="X107" s="14"/>
      <c r="Y107" s="14"/>
      <c r="Z107" s="14"/>
    </row>
    <row r="108" spans="2:26" s="15" customFormat="1" ht="16.149999999999999" customHeight="1" thickBot="1" x14ac:dyDescent="0.3">
      <c r="B108" s="8"/>
      <c r="C108" s="11" t="str">
        <f>IF(ISTEXT(D108),MAX($C$10:C107)+1,"")</f>
        <v/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/>
      <c r="W108" s="14"/>
      <c r="X108" s="14"/>
      <c r="Y108" s="14"/>
      <c r="Z108" s="14"/>
    </row>
    <row r="109" spans="2:26" s="15" customFormat="1" ht="16.149999999999999" customHeight="1" thickBot="1" x14ac:dyDescent="0.3">
      <c r="B109" s="8"/>
      <c r="C109" s="11" t="str">
        <f>IF(ISTEXT(D109),MAX($C$10:C108)+1,"")</f>
        <v/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/>
      <c r="W109" s="14"/>
      <c r="X109" s="14"/>
      <c r="Y109" s="14"/>
      <c r="Z109" s="14"/>
    </row>
    <row r="110" spans="2:26" s="15" customFormat="1" ht="16.149999999999999" customHeight="1" thickBot="1" x14ac:dyDescent="0.3">
      <c r="B110" s="8"/>
      <c r="C110" s="11" t="str">
        <f>IF(ISTEXT(D110),MAX($C$10:C109)+1,"")</f>
        <v/>
      </c>
      <c r="D110" s="140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/>
      <c r="W110" s="14"/>
      <c r="X110" s="14"/>
      <c r="Y110" s="14"/>
      <c r="Z110" s="14"/>
    </row>
    <row r="111" spans="2:26" s="15" customFormat="1" ht="16.149999999999999" customHeight="1" thickBot="1" x14ac:dyDescent="0.3">
      <c r="B111" s="8"/>
      <c r="C111" s="11" t="str">
        <f>IF(ISTEXT(D111),MAX($C$10:C110)+1,"")</f>
        <v/>
      </c>
      <c r="D111" s="70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/>
      <c r="W111" s="14"/>
      <c r="X111" s="14"/>
      <c r="Y111" s="14"/>
      <c r="Z111" s="14"/>
    </row>
    <row r="112" spans="2:26" s="15" customFormat="1" ht="16.149999999999999" customHeight="1" thickBot="1" x14ac:dyDescent="0.3">
      <c r="B112" s="8"/>
      <c r="C112" s="11" t="str">
        <f>IF(ISTEXT(D112),MAX($C$10:C111)+1,"")</f>
        <v/>
      </c>
      <c r="D112" s="140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/>
      <c r="W112" s="14"/>
      <c r="X112" s="14"/>
      <c r="Y112" s="14"/>
      <c r="Z112" s="14"/>
    </row>
    <row r="113" spans="2:26" s="15" customFormat="1" ht="16.149999999999999" customHeight="1" thickBot="1" x14ac:dyDescent="0.3">
      <c r="B113" s="8"/>
      <c r="C113" s="11"/>
      <c r="D113" s="73" t="s">
        <v>214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/>
      <c r="W113" s="14"/>
      <c r="X113" s="14"/>
      <c r="Y113" s="14"/>
      <c r="Z113" s="14"/>
    </row>
    <row r="114" spans="2:26" s="15" customFormat="1" ht="16.149999999999999" customHeight="1" thickBot="1" x14ac:dyDescent="0.3">
      <c r="B114" s="8"/>
      <c r="C114" s="11">
        <f>IF(ISTEXT(D114),MAX($C$10:C113)+1,"")</f>
        <v>26</v>
      </c>
      <c r="D114" s="70" t="s">
        <v>477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 t="s">
        <v>22</v>
      </c>
      <c r="W114" s="14"/>
      <c r="X114" s="14"/>
      <c r="Y114" s="14"/>
      <c r="Z114" s="14"/>
    </row>
    <row r="115" spans="2:26" s="15" customFormat="1" ht="16.149999999999999" customHeight="1" thickBot="1" x14ac:dyDescent="0.3">
      <c r="B115" s="8"/>
      <c r="C115" s="11">
        <f>IF(ISTEXT(D114),MAX($C$10:C114)+1,"")</f>
        <v>27</v>
      </c>
      <c r="D115" s="70" t="s">
        <v>478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 t="s">
        <v>76</v>
      </c>
      <c r="W115" s="14"/>
      <c r="X115" s="14"/>
      <c r="Y115" s="14"/>
      <c r="Z115" s="14"/>
    </row>
    <row r="116" spans="2:26" ht="15" customHeight="1" x14ac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</row>
    <row r="117" spans="2:26" x14ac:dyDescent="0.25">
      <c r="B117" s="20"/>
      <c r="C117" s="21"/>
      <c r="O117" s="22"/>
      <c r="P117" s="22"/>
      <c r="Q117" s="23"/>
      <c r="R117" s="23"/>
      <c r="S117" s="22"/>
      <c r="T117" s="22"/>
    </row>
    <row r="118" spans="2:26" ht="15.75" thickBot="1" x14ac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</row>
    <row r="119" spans="2:26" ht="15" customHeight="1" x14ac:dyDescent="0.25">
      <c r="C119" s="29"/>
      <c r="I119" s="30"/>
      <c r="O119" s="65"/>
      <c r="P119" s="65"/>
      <c r="Q119" s="60"/>
      <c r="R119" s="60"/>
      <c r="S119" s="65"/>
      <c r="T119" s="65"/>
    </row>
    <row r="120" spans="2:26" ht="18" customHeight="1" thickBot="1" x14ac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/>
      <c r="W120" s="62"/>
      <c r="X120" s="62"/>
      <c r="Y120" s="62"/>
    </row>
    <row r="121" spans="2:26" ht="15" customHeight="1" x14ac:dyDescent="0.25"/>
    <row r="122" spans="2:26" ht="15" customHeight="1" thickBot="1" x14ac:dyDescent="0.3"/>
    <row r="123" spans="2:26" ht="15" customHeight="1" x14ac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2" t="s">
        <v>99</v>
      </c>
      <c r="X123" s="79"/>
      <c r="Y123" s="79"/>
      <c r="Z123" s="79"/>
    </row>
    <row r="124" spans="2:26" ht="15" customHeight="1" thickBot="1" x14ac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</row>
    <row r="125" spans="2:26" ht="10.5" customHeight="1" thickBot="1" x14ac:dyDescent="0.3"/>
    <row r="126" spans="2:26" ht="15" customHeight="1" thickBot="1" x14ac:dyDescent="0.3">
      <c r="J126" s="79" t="s">
        <v>2</v>
      </c>
      <c r="K126" s="79"/>
      <c r="L126" s="79"/>
      <c r="M126" s="80" t="str">
        <f>M4</f>
        <v>C1008</v>
      </c>
      <c r="N126" s="80"/>
      <c r="O126" s="80"/>
      <c r="P126" s="80"/>
    </row>
    <row r="127" spans="2:26" s="15" customFormat="1" ht="15" customHeight="1" thickBot="1" x14ac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/>
    </row>
    <row r="128" spans="2:26" s="15" customFormat="1" ht="17.100000000000001" customHeight="1" thickBot="1" x14ac:dyDescent="0.3"/>
    <row r="129" spans="2:26" s="15" customFormat="1" ht="15" customHeight="1" thickBot="1" x14ac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/>
      <c r="W129" s="60"/>
      <c r="X129" s="23"/>
    </row>
    <row r="130" spans="2:26" s="15" customFormat="1" ht="10.5" customHeight="1" thickBot="1" x14ac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2:26" s="15" customFormat="1" ht="21" customHeight="1" thickBot="1" x14ac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 t="s">
        <v>8</v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x14ac:dyDescent="0.3">
      <c r="B132" s="8"/>
      <c r="C132" s="11">
        <f>IF(ISTEXT(D132),MAX($C$10:C131)+1,"")</f>
        <v>28</v>
      </c>
      <c r="D132" s="70" t="s">
        <v>479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 t="s">
        <v>76</v>
      </c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>
        <f>IF(ISTEXT(D133),MAX($C$10:C132)+1,"")</f>
        <v>29</v>
      </c>
      <c r="D133" s="70" t="s">
        <v>480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 t="s">
        <v>76</v>
      </c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>
        <f>IF(ISTEXT(D134),MAX($C$10:C133)+1,"")</f>
        <v>30</v>
      </c>
      <c r="D134" s="70" t="s">
        <v>79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 t="s">
        <v>76</v>
      </c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>
        <f>IF(ISTEXT(D135),MAX($C$10:C134)+1,"")</f>
        <v>31</v>
      </c>
      <c r="D135" s="70" t="s">
        <v>243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 t="s">
        <v>76</v>
      </c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>
        <f>IF(ISTEXT(D136),MAX($C$10:C135)+1,"")</f>
        <v>32</v>
      </c>
      <c r="D136" s="70" t="s">
        <v>481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 t="s">
        <v>76</v>
      </c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>
        <f>IF(ISTEXT(D137),MAX($C$10:C136)+1,"")</f>
        <v>33</v>
      </c>
      <c r="D137" s="70" t="s">
        <v>482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 t="s">
        <v>76</v>
      </c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>
        <f>IF(ISTEXT(D138),MAX($C$10:C137)+1,"")</f>
        <v>34</v>
      </c>
      <c r="D138" s="70" t="s">
        <v>483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 t="s">
        <v>76</v>
      </c>
      <c r="W138" s="14"/>
      <c r="X138" s="14"/>
      <c r="Y138" s="14"/>
      <c r="Z138" s="14"/>
    </row>
    <row r="139" spans="2:26" ht="16.149999999999999" customHeight="1" thickBot="1" x14ac:dyDescent="0.3">
      <c r="B139" s="8"/>
      <c r="C139" s="11">
        <f>IF(ISTEXT(D139),MAX($C$10:C138)+1,"")</f>
        <v>35</v>
      </c>
      <c r="D139" s="70" t="s">
        <v>484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 t="s">
        <v>76</v>
      </c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/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 t="str">
        <f>IF(ISTEXT(D141),MAX($C$10:C140)+1,"")</f>
        <v/>
      </c>
      <c r="D141" s="140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/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 t="str">
        <f>IF(ISTEXT(D142),MAX($C$10:C141)+1,"")</f>
        <v/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/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 t="str">
        <f>IF(ISTEXT(D143),MAX($C$10:C142)+1,"")</f>
        <v/>
      </c>
      <c r="D143" s="140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/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 t="str">
        <f>IF(ISTEXT(D144),MAX($C$10:C143)+1,"")</f>
        <v/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/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/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/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/>
      <c r="W147" s="14"/>
      <c r="X147" s="14"/>
      <c r="Y147" s="14"/>
      <c r="Z147" s="14"/>
    </row>
    <row r="148" spans="2:26" ht="16.5" thickBot="1" x14ac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/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36</v>
      </c>
      <c r="D149" s="70" t="s">
        <v>485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/>
      <c r="W149" s="14"/>
      <c r="X149" s="14"/>
      <c r="Y149" s="14"/>
      <c r="Z149" s="14"/>
    </row>
    <row r="150" spans="2:26" s="15" customFormat="1" ht="16.149999999999999" customHeight="1" thickBot="1" x14ac:dyDescent="0.3">
      <c r="B150" s="8"/>
      <c r="C150" s="11">
        <f>IF(ISTEXT(D150),MAX($C$10:C149)+1,"")</f>
        <v>37</v>
      </c>
      <c r="D150" s="70" t="s">
        <v>486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/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>
        <f>IF(ISTEXT(D151),MAX($C$10:C150)+1,"")</f>
        <v>38</v>
      </c>
      <c r="D151" s="70" t="s">
        <v>487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/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>
        <f>IF(ISTEXT(D152),MAX($C$10:C151)+1,"")</f>
        <v>39</v>
      </c>
      <c r="D152" s="70" t="s">
        <v>488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/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/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/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 t="str">
        <f>IF(ISTEXT(D156),MAX($C$10:C155)+1,"")</f>
        <v/>
      </c>
      <c r="D156" s="70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/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 t="str">
        <f>IF(ISTEXT(D157),MAX($C$10:C156)+1,"")</f>
        <v/>
      </c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/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 t="str">
        <f>IF(ISTEXT(D158),MAX($C$10:C157)+1,"")</f>
        <v/>
      </c>
      <c r="D158" s="70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/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/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/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/>
      <c r="D161" s="73" t="s">
        <v>100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5"/>
      <c r="V161" s="9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>
        <f>IF(ISTEXT(D162),MAX($C$10:C161)+1,"")</f>
        <v>40</v>
      </c>
      <c r="D162" s="70" t="s">
        <v>79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 t="s">
        <v>76</v>
      </c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>
        <f>IF(ISTEXT(D163),MAX($C$10:C162)+1,"")</f>
        <v>41</v>
      </c>
      <c r="D163" s="70" t="s">
        <v>243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 t="s">
        <v>76</v>
      </c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>
        <f>IF(ISTEXT(D164),MAX($C$10:C163)+1,"")</f>
        <v>42</v>
      </c>
      <c r="D164" s="70" t="s">
        <v>489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 t="s">
        <v>76</v>
      </c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>
        <f>IF(ISTEXT(D165),MAX($C$10:C164)+1,"")</f>
        <v>43</v>
      </c>
      <c r="D165" s="70" t="s">
        <v>490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 t="s">
        <v>76</v>
      </c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>
        <f>IF(ISTEXT(D166),MAX($C$10:C165)+1,"")</f>
        <v>44</v>
      </c>
      <c r="D166" s="70" t="s">
        <v>491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 t="s">
        <v>72</v>
      </c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>
        <f>IF(ISTEXT(D167),MAX($C$10:C166)+1,"")</f>
        <v>45</v>
      </c>
      <c r="D167" s="70" t="s">
        <v>492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 t="s">
        <v>72</v>
      </c>
      <c r="W167" s="14"/>
      <c r="X167" s="14"/>
      <c r="Y167" s="14"/>
      <c r="Z167" s="14"/>
    </row>
    <row r="168" spans="2:26" s="15" customFormat="1" ht="16.149999999999999" customHeight="1" thickBot="1" x14ac:dyDescent="0.3">
      <c r="B168" s="8"/>
      <c r="C168" s="11" t="str">
        <f>IF(ISTEXT(D168),MAX($C$10:C167)+1,"")</f>
        <v/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/>
      <c r="W168" s="14"/>
      <c r="X168" s="14"/>
      <c r="Y168" s="14"/>
      <c r="Z168" s="14"/>
    </row>
    <row r="169" spans="2:26" s="15" customFormat="1" ht="16.149999999999999" customHeight="1" thickBot="1" x14ac:dyDescent="0.3">
      <c r="B169" s="8"/>
      <c r="C169" s="11"/>
      <c r="D169" s="73" t="s">
        <v>120</v>
      </c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5"/>
      <c r="V169" s="9"/>
      <c r="W169" s="14"/>
      <c r="X169" s="14"/>
      <c r="Y169" s="14"/>
      <c r="Z169" s="14"/>
    </row>
    <row r="170" spans="2:26" s="15" customFormat="1" ht="16.149999999999999" customHeight="1" thickBot="1" x14ac:dyDescent="0.3">
      <c r="B170" s="8"/>
      <c r="C170" s="11">
        <f>IF(ISTEXT(D170),MAX($C$10:C169)+1,"")</f>
        <v>46</v>
      </c>
      <c r="D170" s="70" t="s">
        <v>493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 t="s">
        <v>76</v>
      </c>
      <c r="W170" s="14"/>
      <c r="X170" s="14"/>
      <c r="Y170" s="14"/>
      <c r="Z170" s="14"/>
    </row>
    <row r="171" spans="2:26" s="15" customFormat="1" ht="16.149999999999999" customHeight="1" thickBot="1" x14ac:dyDescent="0.3">
      <c r="B171" s="8"/>
      <c r="C171" s="11">
        <f>IF(ISTEXT(D171),MAX($C$10:C170)+1,"")</f>
        <v>47</v>
      </c>
      <c r="D171" s="70" t="s">
        <v>494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 t="s">
        <v>76</v>
      </c>
      <c r="W171" s="14"/>
      <c r="X171" s="14"/>
      <c r="Y171" s="14"/>
      <c r="Z171" s="14"/>
    </row>
    <row r="172" spans="2:26" s="15" customFormat="1" ht="16.149999999999999" customHeight="1" thickBot="1" x14ac:dyDescent="0.3">
      <c r="B172" s="8"/>
      <c r="C172" s="11">
        <f>IF(ISTEXT(D172),MAX($C$10:C171)+1,"")</f>
        <v>48</v>
      </c>
      <c r="D172" s="70" t="s">
        <v>250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 t="s">
        <v>22</v>
      </c>
      <c r="W172" s="14"/>
      <c r="X172" s="14"/>
      <c r="Y172" s="14"/>
      <c r="Z172" s="14"/>
    </row>
    <row r="173" spans="2:26" s="15" customFormat="1" ht="16.149999999999999" customHeight="1" thickBot="1" x14ac:dyDescent="0.3">
      <c r="B173" s="8"/>
      <c r="C173" s="11">
        <f>IF(ISTEXT(D173),MAX($C$10:C172)+1,"")</f>
        <v>49</v>
      </c>
      <c r="D173" s="70" t="s">
        <v>495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 t="s">
        <v>22</v>
      </c>
      <c r="W173" s="14"/>
      <c r="X173" s="14"/>
      <c r="Y173" s="14"/>
      <c r="Z173" s="14"/>
    </row>
    <row r="174" spans="2:26" s="15" customFormat="1" ht="16.149999999999999" customHeight="1" thickBot="1" x14ac:dyDescent="0.3">
      <c r="B174" s="8"/>
      <c r="C174" s="11">
        <f>IF(ISTEXT(D174),MAX($C$10:C172)+1,"")</f>
        <v>49</v>
      </c>
      <c r="D174" s="66" t="s">
        <v>496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 t="s">
        <v>22</v>
      </c>
      <c r="W174" s="14"/>
      <c r="X174" s="14"/>
      <c r="Y174" s="14"/>
      <c r="Z174" s="14"/>
    </row>
    <row r="175" spans="2:26" s="15" customFormat="1" ht="16.149999999999999" customHeight="1" thickBot="1" x14ac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/>
      <c r="W175" s="14"/>
      <c r="X175" s="14"/>
      <c r="Y175" s="14"/>
      <c r="Z175" s="14"/>
    </row>
    <row r="176" spans="2:26" s="15" customFormat="1" ht="16.149999999999999" customHeight="1" thickBot="1" x14ac:dyDescent="0.3">
      <c r="B176" s="8"/>
      <c r="C176" s="11" t="str">
        <f>IF(ISTEXT(D176),MAX($C$10:C175)+1,"")</f>
        <v/>
      </c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/>
      <c r="W176" s="14"/>
      <c r="X176" s="14"/>
      <c r="Y176" s="14"/>
      <c r="Z176" s="14"/>
    </row>
    <row r="177" spans="2:26" ht="15" customHeight="1" x14ac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</row>
    <row r="178" spans="2:26" x14ac:dyDescent="0.25">
      <c r="B178" s="20"/>
      <c r="C178" s="21"/>
      <c r="O178" s="22"/>
      <c r="P178" s="22"/>
      <c r="Q178" s="23"/>
      <c r="R178" s="23"/>
      <c r="S178" s="22"/>
      <c r="T178" s="22"/>
    </row>
    <row r="179" spans="2:26" ht="15.75" thickBot="1" x14ac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</row>
    <row r="180" spans="2:26" ht="15" customHeight="1" x14ac:dyDescent="0.25">
      <c r="C180" s="29"/>
      <c r="I180" s="30"/>
      <c r="O180" s="65"/>
      <c r="P180" s="65"/>
      <c r="Q180" s="60"/>
      <c r="R180" s="60"/>
      <c r="S180" s="65"/>
      <c r="T180" s="65"/>
    </row>
    <row r="181" spans="2:26" ht="15.75" thickBot="1" x14ac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/>
      <c r="W181" s="93"/>
      <c r="X181" s="93"/>
      <c r="Y181" s="93"/>
    </row>
    <row r="182" spans="2:26" ht="15" customHeight="1" x14ac:dyDescent="0.25"/>
    <row r="183" spans="2:26" ht="15" customHeight="1" thickBot="1" x14ac:dyDescent="0.3"/>
    <row r="184" spans="2:26" ht="15" customHeight="1" x14ac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2" t="s">
        <v>126</v>
      </c>
      <c r="X184" s="79"/>
      <c r="Y184" s="79"/>
      <c r="Z184" s="79"/>
    </row>
    <row r="185" spans="2:26" ht="15" customHeight="1" thickBot="1" x14ac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</row>
    <row r="186" spans="2:26" ht="10.5" customHeight="1" thickBot="1" x14ac:dyDescent="0.3"/>
    <row r="187" spans="2:26" ht="15" customHeight="1" thickBot="1" x14ac:dyDescent="0.3">
      <c r="J187" s="79" t="s">
        <v>2</v>
      </c>
      <c r="K187" s="79"/>
      <c r="L187" s="79"/>
      <c r="M187" s="80" t="str">
        <f>M4</f>
        <v>C1008</v>
      </c>
      <c r="N187" s="80"/>
      <c r="O187" s="80"/>
      <c r="P187" s="80"/>
    </row>
    <row r="188" spans="2:26" s="15" customFormat="1" ht="15" customHeight="1" thickBot="1" x14ac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/>
    </row>
    <row r="189" spans="2:26" s="15" customFormat="1" ht="8.25" customHeight="1" thickBot="1" x14ac:dyDescent="0.3">
      <c r="M189" s="38"/>
      <c r="N189" s="38"/>
      <c r="O189" s="38"/>
      <c r="P189" s="38"/>
    </row>
    <row r="190" spans="2:26" s="15" customFormat="1" ht="15" customHeight="1" thickBot="1" x14ac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/>
      <c r="W190" s="60"/>
      <c r="X190" s="23"/>
    </row>
    <row r="191" spans="2:26" s="15" customFormat="1" ht="10.5" customHeight="1" thickBot="1" x14ac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2:26" s="15" customFormat="1" ht="21" customHeight="1" thickBot="1" x14ac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 t="s">
        <v>8</v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x14ac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/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>
        <f>IF(ISTEXT(D194),MAX($C$10:C193),"")</f>
        <v>49</v>
      </c>
      <c r="D194" s="70" t="s">
        <v>497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 t="s">
        <v>52</v>
      </c>
      <c r="W194" s="14"/>
      <c r="X194" s="14"/>
      <c r="Y194" s="14"/>
      <c r="Z194" s="14"/>
    </row>
    <row r="195" spans="2:26" s="15" customFormat="1" ht="16.149999999999999" customHeight="1" thickBot="1" x14ac:dyDescent="0.3">
      <c r="B195" s="8"/>
      <c r="C195" s="11">
        <f>IF(ISTEXT(D195),MAX($C$10:C194)+1,"")</f>
        <v>50</v>
      </c>
      <c r="D195" s="66" t="s">
        <v>498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 t="s">
        <v>129</v>
      </c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IF(ISTEXT(D196),MAX($C$10:C195)+1,"")</f>
        <v>51</v>
      </c>
      <c r="D196" s="66" t="s">
        <v>499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 t="s">
        <v>129</v>
      </c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>
        <f>IF(ISTEXT(D197),MAX($C$10:C196)+1,"")</f>
        <v>52</v>
      </c>
      <c r="D197" s="66" t="s">
        <v>432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 t="s">
        <v>129</v>
      </c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>
        <f>IF(ISTEXT(D198),MAX($C$10:C197)+1,"")</f>
        <v>53</v>
      </c>
      <c r="D198" s="66" t="s">
        <v>500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 t="s">
        <v>22</v>
      </c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>
        <f>IF(ISTEXT(D199),MAX($C$10:C198)+1,"")</f>
        <v>54</v>
      </c>
      <c r="D199" s="70" t="s">
        <v>501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 t="s">
        <v>22</v>
      </c>
      <c r="W199" s="14"/>
      <c r="X199" s="14"/>
      <c r="Y199" s="14"/>
      <c r="Z199" s="14"/>
    </row>
    <row r="200" spans="2:26" ht="16.149999999999999" customHeight="1" thickBot="1" x14ac:dyDescent="0.3">
      <c r="B200" s="8"/>
      <c r="C200" s="11">
        <f>IF(ISTEXT(D200),MAX($C$10:C199)+1,"")</f>
        <v>55</v>
      </c>
      <c r="D200" s="66" t="s">
        <v>502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 t="s">
        <v>22</v>
      </c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>
        <f>IF(ISTEXT(D201),MAX($C$10:C200)+1,"")</f>
        <v>56</v>
      </c>
      <c r="D201" s="66" t="s">
        <v>503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 t="s">
        <v>52</v>
      </c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 t="str">
        <f>IF(ISTEXT(D202),MAX($C$10:C201)+1,"")</f>
        <v/>
      </c>
      <c r="D202" s="70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 t="str">
        <f>IF(ISTEXT(D203),MAX($C$10:C202)+1,"")</f>
        <v/>
      </c>
      <c r="D203" s="70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/>
      <c r="W203" s="14"/>
      <c r="X203" s="14"/>
      <c r="Y203" s="14"/>
      <c r="Z203" s="14"/>
    </row>
    <row r="204" spans="2:26" s="15" customFormat="1" ht="15.95" customHeight="1" thickBot="1" x14ac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 t="str">
        <f>IF(ISTEXT(D205),MAX($C$10:C204)+1,"")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/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/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/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/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/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/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/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/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/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/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57</v>
      </c>
      <c r="D216" s="66" t="s">
        <v>504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 t="s">
        <v>76</v>
      </c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58</v>
      </c>
      <c r="D217" s="66" t="s">
        <v>505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 t="s">
        <v>22</v>
      </c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59</v>
      </c>
      <c r="D218" s="66" t="s">
        <v>506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 t="s">
        <v>72</v>
      </c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60</v>
      </c>
      <c r="D219" s="66" t="s">
        <v>507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 t="s">
        <v>52</v>
      </c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61</v>
      </c>
      <c r="D220" s="66" t="s">
        <v>508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 t="s">
        <v>52</v>
      </c>
      <c r="W220" s="14"/>
      <c r="X220" s="14"/>
      <c r="Y220" s="14"/>
      <c r="Z220" s="14"/>
    </row>
    <row r="221" spans="2:26" s="15" customFormat="1" ht="16.149999999999999" customHeight="1" x14ac:dyDescent="0.25">
      <c r="B221" s="8"/>
      <c r="C221" s="11">
        <f>IF(ISTEXT(D221),MAX($C$10:C220)+1,"")</f>
        <v>62</v>
      </c>
      <c r="D221" s="66" t="s">
        <v>509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 t="s">
        <v>52</v>
      </c>
      <c r="W221" s="14"/>
      <c r="X221" s="14"/>
      <c r="Y221" s="14"/>
      <c r="Z221" s="14"/>
    </row>
    <row r="222" spans="2:26" s="15" customFormat="1" ht="16.149999999999999" customHeight="1" x14ac:dyDescent="0.25">
      <c r="B222" s="8"/>
      <c r="C222" s="11">
        <f>IF(ISTEXT(D222),MAX($C$10:C221)+1,"")</f>
        <v>63</v>
      </c>
      <c r="D222" s="66" t="s">
        <v>510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 t="s">
        <v>72</v>
      </c>
      <c r="W222" s="14"/>
      <c r="X222" s="14"/>
      <c r="Y222" s="14"/>
      <c r="Z222" s="14"/>
    </row>
    <row r="223" spans="2:26" s="15" customFormat="1" ht="16.149999999999999" customHeight="1" x14ac:dyDescent="0.25">
      <c r="B223" s="8"/>
      <c r="C223" s="11" t="str">
        <f>IF(ISTEXT(D223),MAX($C$10:C222)+1,"")</f>
        <v/>
      </c>
      <c r="D223" s="66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/>
      <c r="W223" s="14"/>
      <c r="X223" s="14"/>
      <c r="Y223" s="14"/>
      <c r="Z223" s="14"/>
    </row>
    <row r="224" spans="2:26" s="15" customFormat="1" ht="16.149999999999999" customHeight="1" thickBot="1" x14ac:dyDescent="0.3">
      <c r="B224" s="8"/>
      <c r="C224" s="11" t="str">
        <f>IF(ISTEXT(D224),MAX($C$10:C223)+1,"")</f>
        <v/>
      </c>
      <c r="D224" s="66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/>
      <c r="W224" s="14"/>
      <c r="X224" s="14"/>
      <c r="Y224" s="14"/>
      <c r="Z224" s="14"/>
    </row>
    <row r="225" spans="2:26" s="15" customFormat="1" ht="16.149999999999999" customHeight="1" thickBot="1" x14ac:dyDescent="0.3">
      <c r="B225" s="8"/>
      <c r="C225" s="11" t="str">
        <f>IF(ISTEXT(D225),MAX($C$10:C224)+1,"")</f>
        <v/>
      </c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/>
      <c r="W225" s="14"/>
      <c r="X225" s="14"/>
      <c r="Y225" s="14"/>
      <c r="Z225" s="14"/>
    </row>
    <row r="226" spans="2:26" s="15" customFormat="1" ht="16.149999999999999" customHeight="1" thickBot="1" x14ac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/>
      <c r="W226" s="14"/>
      <c r="X226" s="14"/>
      <c r="Y226" s="14"/>
      <c r="Z226" s="14"/>
    </row>
    <row r="227" spans="2:26" s="15" customFormat="1" ht="16.149999999999999" customHeight="1" thickBot="1" x14ac:dyDescent="0.3">
      <c r="B227" s="8"/>
      <c r="C227" s="11"/>
      <c r="D227" s="150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/>
      <c r="W227" s="14"/>
      <c r="X227" s="14"/>
      <c r="Y227" s="14"/>
      <c r="Z227" s="14"/>
    </row>
    <row r="228" spans="2:26" s="15" customFormat="1" ht="16.149999999999999" customHeight="1" thickBot="1" x14ac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/>
      <c r="W228" s="14"/>
      <c r="X228" s="14"/>
      <c r="Y228" s="14"/>
      <c r="Z228" s="14"/>
    </row>
    <row r="229" spans="2:26" s="15" customFormat="1" ht="16.149999999999999" customHeight="1" thickBot="1" x14ac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/>
      <c r="W229" s="14"/>
      <c r="X229" s="14"/>
      <c r="Y229" s="14"/>
      <c r="Z229" s="14"/>
    </row>
    <row r="230" spans="2:26" ht="15" customHeight="1" x14ac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</row>
    <row r="231" spans="2:26" x14ac:dyDescent="0.25">
      <c r="B231" s="20"/>
      <c r="C231" s="21"/>
      <c r="O231" s="22"/>
      <c r="P231" s="22"/>
      <c r="Q231" s="23"/>
      <c r="R231" s="23"/>
      <c r="S231" s="22"/>
      <c r="T231" s="22"/>
    </row>
    <row r="232" spans="2:26" ht="15.75" thickBot="1" x14ac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</row>
    <row r="233" spans="2:26" ht="15" customHeight="1" x14ac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</row>
    <row r="234" spans="2:26" ht="18" customHeight="1" thickBot="1" x14ac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/>
      <c r="W234" s="63"/>
      <c r="X234" s="62"/>
      <c r="Y234" s="62"/>
    </row>
    <row r="235" spans="2:26" ht="18" customHeight="1" thickBot="1" x14ac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/>
      <c r="W235" s="1"/>
      <c r="X235" s="4"/>
      <c r="Y235" s="4"/>
    </row>
    <row r="236" spans="2:26" ht="18" customHeight="1" thickBot="1" x14ac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/>
      <c r="W236" s="1"/>
      <c r="X236" s="4"/>
      <c r="Y236" s="4"/>
    </row>
    <row r="237" spans="2:26" ht="15" customHeight="1" x14ac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2" t="s">
        <v>159</v>
      </c>
      <c r="X237" s="79"/>
      <c r="Y237" s="79"/>
      <c r="Z237" s="79"/>
    </row>
    <row r="238" spans="2:26" ht="15" customHeight="1" thickBot="1" x14ac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</row>
    <row r="239" spans="2:26" ht="10.5" customHeight="1" thickBot="1" x14ac:dyDescent="0.3"/>
    <row r="240" spans="2:26" ht="15" customHeight="1" thickBot="1" x14ac:dyDescent="0.3">
      <c r="J240" s="79" t="s">
        <v>2</v>
      </c>
      <c r="K240" s="79"/>
      <c r="L240" s="79"/>
      <c r="M240" s="80" t="str">
        <f>M4</f>
        <v>C1008</v>
      </c>
      <c r="N240" s="80"/>
      <c r="O240" s="80"/>
      <c r="P240" s="80"/>
    </row>
    <row r="241" spans="2:26" s="15" customFormat="1" ht="15" customHeight="1" thickBot="1" x14ac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/>
    </row>
    <row r="242" spans="2:26" s="15" customFormat="1" ht="8.25" customHeight="1" thickBot="1" x14ac:dyDescent="0.3">
      <c r="M242" s="38"/>
      <c r="N242" s="38"/>
      <c r="O242" s="38"/>
      <c r="P242" s="38"/>
    </row>
    <row r="243" spans="2:26" s="15" customFormat="1" ht="15" customHeight="1" thickBot="1" x14ac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/>
      <c r="W243" s="60"/>
      <c r="X243" s="23"/>
    </row>
    <row r="244" spans="2:26" s="15" customFormat="1" ht="10.5" customHeight="1" thickBot="1" x14ac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2:26" s="15" customFormat="1" ht="21" customHeight="1" thickBot="1" x14ac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 t="s">
        <v>8</v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x14ac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/>
      <c r="W246" s="14"/>
      <c r="X246" s="14"/>
      <c r="Y246" s="14"/>
      <c r="Z246" s="14"/>
    </row>
    <row r="247" spans="2:26" s="15" customFormat="1" ht="16.149999999999999" customHeight="1" thickBot="1" x14ac:dyDescent="0.3">
      <c r="B247" s="8"/>
      <c r="C247" s="11">
        <f>IF(ISTEXT(D247),MAX($C$10:C246)+1,"")</f>
        <v>64</v>
      </c>
      <c r="D247" s="66" t="s">
        <v>511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 t="s">
        <v>22</v>
      </c>
      <c r="W247" s="14"/>
      <c r="X247" s="14"/>
      <c r="Y247" s="14"/>
      <c r="Z247" s="14"/>
    </row>
    <row r="248" spans="2:26" s="15" customFormat="1" ht="16.149999999999999" customHeight="1" thickBot="1" x14ac:dyDescent="0.3">
      <c r="B248" s="8"/>
      <c r="C248" s="11">
        <f>IF(ISTEXT(D248),MAX($C$10:C247)+1,"")</f>
        <v>65</v>
      </c>
      <c r="D248" s="66" t="s">
        <v>512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 t="s">
        <v>52</v>
      </c>
      <c r="W248" s="14"/>
      <c r="X248" s="14"/>
      <c r="Y248" s="14"/>
      <c r="Z248" s="14"/>
    </row>
    <row r="249" spans="2:26" s="15" customFormat="1" ht="16.149999999999999" customHeight="1" thickBot="1" x14ac:dyDescent="0.3">
      <c r="B249" s="8"/>
      <c r="C249" s="11">
        <f>IF(ISTEXT(D249),MAX($C$10:C248)+1,"")</f>
        <v>66</v>
      </c>
      <c r="D249" s="66" t="s">
        <v>513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 t="s">
        <v>52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8"/>
      <c r="C250" s="11">
        <f>IF(ISTEXT(D250),MAX($C$10:C249)+1,"")</f>
        <v>67</v>
      </c>
      <c r="D250" s="66" t="s">
        <v>514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">
        <v>22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44">
        <f>IF(ISTEXT(D251),MAX($C$10:C250)+1,"")</f>
        <v>68</v>
      </c>
      <c r="D251" s="66" t="s">
        <v>510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 t="s">
        <v>72</v>
      </c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>
        <f>IF(ISTEXT(D252),MAX($C$10:C251)+1,"")</f>
        <v>69</v>
      </c>
      <c r="D252" s="66" t="s">
        <v>515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 t="s">
        <v>72</v>
      </c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70</v>
      </c>
      <c r="D253" s="66" t="s">
        <v>516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 t="s">
        <v>22</v>
      </c>
      <c r="W253" s="14"/>
      <c r="X253" s="14"/>
      <c r="Y253" s="14"/>
      <c r="Z253" s="14"/>
    </row>
    <row r="254" spans="2:26" ht="16.149999999999999" customHeight="1" thickBot="1" x14ac:dyDescent="0.3">
      <c r="B254" s="8"/>
      <c r="C254" s="44">
        <f>IF(ISTEXT(D254),MAX($C$10:C253)+1,"")</f>
        <v>71</v>
      </c>
      <c r="D254" s="66" t="s">
        <v>517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 t="s">
        <v>22</v>
      </c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>
        <f>IF(ISTEXT(D255),MAX($C$10:C254)+1,"")</f>
        <v>72</v>
      </c>
      <c r="D255" s="66" t="s">
        <v>291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 t="s">
        <v>72</v>
      </c>
      <c r="W255" s="14"/>
      <c r="X255" s="14"/>
      <c r="Y255" s="14"/>
      <c r="Z255" s="14"/>
    </row>
    <row r="256" spans="2:26" s="15" customFormat="1" ht="16.149999999999999" customHeight="1" thickBot="1" x14ac:dyDescent="0.3">
      <c r="B256" s="13"/>
      <c r="C256" s="44">
        <f>IF(ISTEXT(D256),MAX($C$10:C255)+1,"")</f>
        <v>73</v>
      </c>
      <c r="D256" s="66" t="s">
        <v>518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 t="s">
        <v>72</v>
      </c>
      <c r="W256" s="14"/>
      <c r="X256" s="14"/>
      <c r="Y256" s="14"/>
      <c r="Z256" s="14"/>
    </row>
    <row r="257" spans="2:26" s="15" customFormat="1" ht="16.149999999999999" customHeight="1" thickBot="1" x14ac:dyDescent="0.3">
      <c r="B257" s="13"/>
      <c r="C257" s="44">
        <f>IF(ISTEXT(D257),MAX($C$10:C256)+1,"")</f>
        <v>74</v>
      </c>
      <c r="D257" s="70" t="s">
        <v>519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 t="s">
        <v>72</v>
      </c>
      <c r="W257" s="14"/>
      <c r="X257" s="14"/>
      <c r="Y257" s="14"/>
      <c r="Z257" s="14"/>
    </row>
    <row r="258" spans="2:26" s="15" customFormat="1" ht="15.95" customHeight="1" thickBot="1" x14ac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/>
      <c r="W258" s="14"/>
      <c r="X258" s="14"/>
      <c r="Y258" s="14"/>
      <c r="Z258" s="14"/>
    </row>
    <row r="259" spans="2:26" s="15" customFormat="1" ht="16.149999999999999" customHeight="1" thickBot="1" x14ac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/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/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11"/>
      <c r="D261" s="73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5"/>
      <c r="V261" s="10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11"/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>
        <f>IF(ISTEXT(D265),MAX($C$10:C264)+1,"")</f>
        <v>75</v>
      </c>
      <c r="D265" s="70" t="s">
        <v>520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 t="s">
        <v>129</v>
      </c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>
        <f>IF(ISTEXT(D266),MAX($C$10:C265)+1,"")</f>
        <v>76</v>
      </c>
      <c r="D266" s="66" t="s">
        <v>521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 t="s">
        <v>22</v>
      </c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>
        <f>IF(ISTEXT(D267),MAX($C$10:C266)+1,"")</f>
        <v>77</v>
      </c>
      <c r="D267" s="70" t="s">
        <v>522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 t="s">
        <v>22</v>
      </c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>
        <f>IF(ISTEXT(D268),MAX($C$10:C267)+1,"")</f>
        <v>78</v>
      </c>
      <c r="D268" s="70" t="s">
        <v>303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 t="s">
        <v>22</v>
      </c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>
        <f>IF(ISTEXT(D269),MAX($C$10:C268)+1,"")</f>
        <v>79</v>
      </c>
      <c r="D269" s="70" t="s">
        <v>523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 t="s">
        <v>72</v>
      </c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>
        <f>IF(ISTEXT(D270),MAX($C$10:C269)+1,"")</f>
        <v>80</v>
      </c>
      <c r="D270" s="70" t="s">
        <v>524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 t="s">
        <v>22</v>
      </c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81</v>
      </c>
      <c r="D271" s="70" t="s">
        <v>525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 t="s">
        <v>22</v>
      </c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82</v>
      </c>
      <c r="D272" s="70" t="s">
        <v>448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 t="s">
        <v>129</v>
      </c>
      <c r="W272" s="14"/>
      <c r="X272" s="14"/>
      <c r="Y272" s="14"/>
      <c r="Z272" s="14"/>
    </row>
    <row r="273" spans="2:26" s="15" customFormat="1" ht="16.149999999999999" customHeight="1" thickBot="1" x14ac:dyDescent="0.3">
      <c r="B273" s="8"/>
      <c r="C273" s="11">
        <f>IF(ISTEXT(D273),MAX($C$10:C272)+1,"")</f>
        <v>83</v>
      </c>
      <c r="D273" s="66" t="s">
        <v>526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 t="s">
        <v>52</v>
      </c>
      <c r="W273" s="14"/>
      <c r="X273" s="14"/>
      <c r="Y273" s="14"/>
      <c r="Z273" s="14"/>
    </row>
    <row r="274" spans="2:26" s="15" customFormat="1" ht="16.149999999999999" customHeight="1" thickBot="1" x14ac:dyDescent="0.3">
      <c r="B274" s="8"/>
      <c r="C274" s="11">
        <f>IF(ISTEXT(D274),MAX($C$10:C273)+1,"")</f>
        <v>84</v>
      </c>
      <c r="D274" s="140" t="s">
        <v>527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 t="s">
        <v>129</v>
      </c>
      <c r="W274" s="14"/>
      <c r="X274" s="14"/>
      <c r="Y274" s="14"/>
      <c r="Z274" s="14"/>
    </row>
    <row r="275" spans="2:26" s="15" customFormat="1" ht="16.149999999999999" customHeight="1" thickBot="1" x14ac:dyDescent="0.3">
      <c r="B275" s="8"/>
      <c r="C275" s="11">
        <f>IF(ISTEXT(D275),MAX($C$10:C274)+1,"")</f>
        <v>85</v>
      </c>
      <c r="D275" s="137" t="s">
        <v>528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 t="s">
        <v>129</v>
      </c>
      <c r="W275" s="14"/>
      <c r="X275" s="14"/>
      <c r="Y275" s="14"/>
      <c r="Z275" s="14"/>
    </row>
    <row r="276" spans="2:26" s="15" customFormat="1" ht="16.149999999999999" customHeight="1" thickBot="1" x14ac:dyDescent="0.3">
      <c r="B276" s="8"/>
      <c r="C276" s="11">
        <f>IF(ISTEXT(D276),MAX($C$10:C275)+1,"")</f>
        <v>86</v>
      </c>
      <c r="D276" s="140" t="s">
        <v>529</v>
      </c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 t="s">
        <v>129</v>
      </c>
      <c r="W276" s="14"/>
      <c r="X276" s="14"/>
      <c r="Y276" s="14"/>
      <c r="Z276" s="14"/>
    </row>
    <row r="277" spans="2:26" s="15" customFormat="1" ht="16.149999999999999" customHeight="1" thickBot="1" x14ac:dyDescent="0.3">
      <c r="B277" s="8"/>
      <c r="C277" s="11">
        <f>IF(ISTEXT(D277),MAX($C$10:C276)+1,"")</f>
        <v>87</v>
      </c>
      <c r="D277" s="66" t="s">
        <v>530</v>
      </c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 t="s">
        <v>52</v>
      </c>
      <c r="W277" s="14"/>
      <c r="X277" s="14"/>
      <c r="Y277" s="14"/>
      <c r="Z277" s="14"/>
    </row>
    <row r="278" spans="2:26" s="15" customFormat="1" ht="16.149999999999999" customHeight="1" thickBot="1" x14ac:dyDescent="0.3">
      <c r="B278" s="8"/>
      <c r="C278" s="11" t="str">
        <f>IF(ISTEXT(D278),MAX($C$10:C277)+1,"")</f>
        <v/>
      </c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/>
      <c r="W278" s="14"/>
      <c r="X278" s="14"/>
      <c r="Y278" s="14"/>
      <c r="Z278" s="14"/>
    </row>
    <row r="279" spans="2:26" s="15" customFormat="1" ht="16.149999999999999" customHeight="1" thickBot="1" x14ac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/>
      <c r="W279" s="14"/>
      <c r="X279" s="14"/>
      <c r="Y279" s="14"/>
      <c r="Z279" s="14"/>
    </row>
    <row r="280" spans="2:26" s="15" customFormat="1" ht="16.149999999999999" customHeight="1" thickBot="1" x14ac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/>
      <c r="W280" s="14"/>
      <c r="X280" s="14"/>
      <c r="Y280" s="14"/>
      <c r="Z280" s="14"/>
    </row>
    <row r="281" spans="2:26" s="15" customFormat="1" ht="16.149999999999999" customHeight="1" thickBot="1" x14ac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/>
      <c r="W281" s="14"/>
      <c r="X281" s="14"/>
      <c r="Y281" s="14"/>
      <c r="Z281" s="14"/>
    </row>
    <row r="282" spans="2:26" s="15" customFormat="1" ht="16.149999999999999" customHeight="1" thickBot="1" x14ac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/>
      <c r="W282" s="14"/>
      <c r="X282" s="14"/>
      <c r="Y282" s="14"/>
      <c r="Z282" s="14"/>
    </row>
    <row r="283" spans="2:26" s="15" customFormat="1" ht="16.149999999999999" customHeight="1" thickBot="1" x14ac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/>
      <c r="W283" s="14"/>
      <c r="X283" s="14"/>
      <c r="Y283" s="14"/>
      <c r="Z283" s="14"/>
    </row>
    <row r="284" spans="2:26" s="15" customFormat="1" ht="16.149999999999999" customHeight="1" thickBot="1" x14ac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/>
      <c r="W284" s="14"/>
      <c r="X284" s="14"/>
      <c r="Y284" s="14"/>
      <c r="Z284" s="14"/>
    </row>
    <row r="285" spans="2:26" s="15" customFormat="1" ht="16.149999999999999" customHeight="1" thickBot="1" x14ac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/>
      <c r="W285" s="14"/>
      <c r="X285" s="14"/>
      <c r="Y285" s="14"/>
      <c r="Z285" s="14"/>
    </row>
    <row r="286" spans="2:26" ht="15" customHeight="1" x14ac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</row>
    <row r="287" spans="2:26" x14ac:dyDescent="0.25">
      <c r="B287" s="20"/>
      <c r="C287" s="21"/>
      <c r="O287" s="22"/>
      <c r="P287" s="22"/>
      <c r="Q287" s="23"/>
      <c r="R287" s="23"/>
      <c r="S287" s="22"/>
      <c r="T287" s="22"/>
    </row>
    <row r="288" spans="2:26" ht="15.75" thickBot="1" x14ac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</row>
    <row r="289" spans="2:256" ht="15" customHeight="1" x14ac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</row>
    <row r="290" spans="2:256" ht="18" customHeight="1" thickBot="1" x14ac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/>
      <c r="W290" s="63"/>
      <c r="X290" s="62"/>
      <c r="Y290" s="62"/>
    </row>
    <row r="291" spans="2:256" ht="20.100000000000001" customHeight="1" x14ac:dyDescent="0.25">
      <c r="B291" s="15"/>
      <c r="C291" s="15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x14ac:dyDescent="0.25">
      <c r="B292" s="15"/>
      <c r="C292" s="15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x14ac:dyDescent="0.25">
      <c r="B293" s="15"/>
      <c r="C293" s="15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x14ac:dyDescent="0.25">
      <c r="B294" s="15"/>
      <c r="C294" s="15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x14ac:dyDescent="0.25">
      <c r="B295" s="15"/>
      <c r="C295" s="1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x14ac:dyDescent="0.25">
      <c r="B296" s="15"/>
      <c r="C296" s="15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x14ac:dyDescent="0.25">
      <c r="B297" s="15"/>
      <c r="C297" s="15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x14ac:dyDescent="0.25">
      <c r="B298" s="15"/>
      <c r="C298" s="15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x14ac:dyDescent="0.25">
      <c r="B299" s="15"/>
      <c r="C299" s="15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x14ac:dyDescent="0.25"/>
    <row r="301" spans="2:256" s="15" customFormat="1" ht="15.95" customHeight="1" x14ac:dyDescent="0.25"/>
    <row r="302" spans="2:256" s="15" customFormat="1" ht="17.100000000000001" customHeight="1" x14ac:dyDescent="0.25"/>
    <row r="303" spans="2:256" s="15" customFormat="1" ht="18.95" customHeight="1" x14ac:dyDescent="0.25"/>
    <row r="304" spans="2:256" s="15" customFormat="1" ht="21" customHeight="1" x14ac:dyDescent="0.25"/>
    <row r="305" spans="2:256" s="15" customFormat="1" ht="16.149999999999999" customHeight="1" x14ac:dyDescent="0.25"/>
    <row r="306" spans="2:256" s="15" customFormat="1" ht="16.149999999999999" customHeight="1" x14ac:dyDescent="0.25"/>
    <row r="307" spans="2:256" s="15" customFormat="1" ht="16.149999999999999" customHeight="1" x14ac:dyDescent="0.25"/>
    <row r="308" spans="2:256" s="15" customFormat="1" ht="16.149999999999999" customHeight="1" x14ac:dyDescent="0.25"/>
    <row r="309" spans="2:256" s="15" customFormat="1" ht="16.149999999999999" customHeight="1" x14ac:dyDescent="0.25"/>
    <row r="310" spans="2:256" s="15" customFormat="1" ht="16.149999999999999" customHeight="1" x14ac:dyDescent="0.25"/>
    <row r="311" spans="2:256" s="15" customFormat="1" ht="16.149999999999999" customHeight="1" x14ac:dyDescent="0.25"/>
    <row r="312" spans="2:256" ht="16.149999999999999" customHeight="1" x14ac:dyDescent="0.25">
      <c r="B312" s="15"/>
      <c r="C312" s="15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x14ac:dyDescent="0.25"/>
    <row r="314" spans="2:256" s="15" customFormat="1" ht="16.149999999999999" customHeight="1" x14ac:dyDescent="0.25"/>
    <row r="315" spans="2:256" s="15" customFormat="1" ht="16.149999999999999" customHeight="1" x14ac:dyDescent="0.25"/>
    <row r="316" spans="2:256" s="15" customFormat="1" ht="16.149999999999999" customHeight="1" x14ac:dyDescent="0.25"/>
    <row r="317" spans="2:256" s="15" customFormat="1" ht="16.149999999999999" customHeight="1" x14ac:dyDescent="0.25"/>
    <row r="318" spans="2:256" s="15" customFormat="1" ht="16.149999999999999" customHeight="1" x14ac:dyDescent="0.25"/>
    <row r="319" spans="2:256" s="15" customFormat="1" ht="16.149999999999999" customHeight="1" x14ac:dyDescent="0.25"/>
    <row r="320" spans="2:256" s="15" customFormat="1" ht="16.149999999999999" customHeight="1" x14ac:dyDescent="0.25"/>
    <row r="321" s="15" customFormat="1" ht="16.149999999999999" customHeight="1" x14ac:dyDescent="0.25"/>
    <row r="322" s="15" customFormat="1" ht="16.149999999999999" customHeight="1" x14ac:dyDescent="0.25"/>
    <row r="323" s="15" customFormat="1" ht="16.149999999999999" customHeight="1" x14ac:dyDescent="0.25"/>
    <row r="324" s="15" customFormat="1" ht="16.149999999999999" customHeight="1" x14ac:dyDescent="0.25"/>
    <row r="325" s="15" customFormat="1" ht="16.149999999999999" customHeight="1" x14ac:dyDescent="0.25"/>
    <row r="326" s="15" customFormat="1" ht="16.149999999999999" customHeight="1" x14ac:dyDescent="0.25"/>
    <row r="327" s="15" customFormat="1" ht="16.149999999999999" customHeight="1" x14ac:dyDescent="0.25"/>
    <row r="328" s="15" customFormat="1" ht="16.149999999999999" customHeight="1" x14ac:dyDescent="0.25"/>
    <row r="329" s="15" customFormat="1" ht="16.149999999999999" customHeight="1" x14ac:dyDescent="0.25"/>
    <row r="330" s="15" customFormat="1" ht="16.149999999999999" customHeight="1" x14ac:dyDescent="0.25"/>
    <row r="331" s="15" customFormat="1" ht="16.149999999999999" customHeight="1" x14ac:dyDescent="0.25"/>
    <row r="332" s="15" customFormat="1" ht="16.149999999999999" customHeight="1" x14ac:dyDescent="0.25"/>
    <row r="333" s="15" customFormat="1" ht="16.149999999999999" customHeight="1" x14ac:dyDescent="0.25"/>
    <row r="334" s="15" customFormat="1" ht="16.149999999999999" customHeight="1" x14ac:dyDescent="0.25"/>
    <row r="335" s="15" customFormat="1" ht="16.149999999999999" customHeight="1" x14ac:dyDescent="0.25"/>
    <row r="336" s="15" customFormat="1" ht="16.149999999999999" customHeight="1" x14ac:dyDescent="0.25"/>
    <row r="337" spans="2:256" s="15" customFormat="1" ht="16.149999999999999" customHeight="1" x14ac:dyDescent="0.25"/>
    <row r="338" spans="2:256" s="15" customFormat="1" ht="16.149999999999999" customHeight="1" x14ac:dyDescent="0.25"/>
    <row r="339" spans="2:256" s="15" customFormat="1" ht="16.149999999999999" customHeight="1" x14ac:dyDescent="0.25"/>
    <row r="340" spans="2:256" s="15" customFormat="1" ht="16.149999999999999" customHeight="1" x14ac:dyDescent="0.25"/>
    <row r="341" spans="2:256" s="15" customFormat="1" ht="16.149999999999999" customHeight="1" x14ac:dyDescent="0.25"/>
    <row r="342" spans="2:256" s="15" customFormat="1" ht="16.149999999999999" customHeight="1" x14ac:dyDescent="0.25"/>
    <row r="343" spans="2:256" ht="15" customHeight="1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x14ac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x14ac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x14ac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x14ac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x14ac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x14ac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x14ac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x14ac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x14ac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lfjygCPJUzydwWWcXJHjzZ6Q7+url6p/y4gT2bQqrpbawp1btgsoKw2N8LPVBcFRDd5ZXW9XKJpmGxBpYWGb0A==" saltValue="QmLJa71Iyv+ZYcYcYrPhOQ==" spinCount="100000" sheet="1" formatCells="0" formatColumns="0" formatRows="0" insertColumns="0" insertRows="0" insertHyperlinks="0" deleteColumns="0" deleteRows="0" sort="0" autoFilter="0" pivotTables="0"/>
  <mergeCells count="331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</mergeCells>
  <dataValidations count="1">
    <dataValidation type="list" allowBlank="1" showInputMessage="1" sqref="D102:U102 D133:U133" xr:uid="{7E9995A7-0F8E-4C72-8940-83B248DDD2D4}">
      <formula1>#REF!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FBDB6BE2-F95F-410B-B6A2-A73D4504CA92}">
          <x14:formula1>
            <xm:f>Common_Defect_List!$B$2:$B$5</xm:f>
          </x14:formula1>
          <xm:sqref>V194:V229 V132:V176 V11:V62 V79:V97 V99:V115 V247:V285</xm:sqref>
        </x14:dataValidation>
        <x14:dataValidation type="list" allowBlank="1" showInputMessage="1" showErrorMessage="1" xr:uid="{AADCC8E0-A17D-43EC-9D72-BCF2D92EA8EC}">
          <x14:formula1>
            <xm:f>Common_Defect_List!$A:$A</xm:f>
          </x14:formula1>
          <xm:sqref>D142:U142 D111:U111 D113:U113</xm:sqref>
        </x14:dataValidation>
        <x14:dataValidation type="list" allowBlank="1" showInputMessage="1" xr:uid="{DB721E73-C704-46A0-B539-36CCEA2436B0}">
          <x14:formula1>
            <xm:f>Common_Defect_List!$A:$A</xm:f>
          </x14:formula1>
          <xm:sqref>D162:U164 E253:U263 D114:D115 D194:U211 E223:U229 E79:U98 D265:U273 D34:U48 D62:U62 D103:U109 D11:D32 E11:U23 E25:U32 D144:U145 D134:U140 E213:U213 D79:D100 D247:D263 D149:U156 D158:U160 D275:U275 D277:U285 E173:U176 D166:U168 D170:D176 E170:U171 D213:D229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4AA6-2D4F-464F-90C1-E1F9276F22D2}">
  <sheetPr>
    <pageSetUpPr fitToPage="1"/>
  </sheetPr>
  <dimension ref="A1:IV400"/>
  <sheetViews>
    <sheetView view="pageBreakPreview" topLeftCell="A243" zoomScaleNormal="100" zoomScaleSheetLayoutView="100" workbookViewId="0">
      <selection activeCell="D11" sqref="D11:U11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x14ac:dyDescent="0.25"/>
    <row r="4" spans="2:29" s="1" customFormat="1" ht="15" customHeight="1" thickBot="1" x14ac:dyDescent="0.25">
      <c r="J4" s="79" t="s">
        <v>2</v>
      </c>
      <c r="K4" s="79"/>
      <c r="L4" s="79"/>
      <c r="M4" s="80" t="s">
        <v>531</v>
      </c>
      <c r="N4" s="80"/>
      <c r="O4" s="80"/>
      <c r="P4" s="80"/>
    </row>
    <row r="5" spans="2:29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x14ac:dyDescent="0.25"/>
    <row r="7" spans="2:29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x14ac:dyDescent="0.2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53">
        <f>COUNTIF(V:V,"DECK")</f>
        <v>5</v>
      </c>
    </row>
    <row r="10" spans="2:29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x14ac:dyDescent="0.3">
      <c r="B11" s="8"/>
      <c r="C11" s="11">
        <v>1</v>
      </c>
      <c r="D11" s="101" t="s">
        <v>533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 t="s">
        <v>22</v>
      </c>
      <c r="W11" s="10"/>
      <c r="X11" s="10"/>
      <c r="Y11" s="10"/>
      <c r="Z11" s="10"/>
    </row>
    <row r="12" spans="2:29" s="4" customFormat="1" ht="16.350000000000001" customHeight="1" thickBot="1" x14ac:dyDescent="0.3">
      <c r="B12" s="8"/>
      <c r="C12" s="11">
        <f>IF(ISTEXT(D12),MAX($C$10:C11)+1,"")</f>
        <v>2</v>
      </c>
      <c r="D12" s="101" t="s">
        <v>534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 t="s">
        <v>22</v>
      </c>
      <c r="W12" s="10"/>
      <c r="X12" s="10"/>
      <c r="Y12" s="10"/>
      <c r="Z12" s="10"/>
    </row>
    <row r="13" spans="2:29" s="4" customFormat="1" ht="16.350000000000001" customHeight="1" thickBot="1" x14ac:dyDescent="0.3">
      <c r="B13" s="8"/>
      <c r="C13" s="11">
        <f>IF(ISTEXT(D13),MAX($C$10:C12)+1,"")</f>
        <v>3</v>
      </c>
      <c r="D13" s="101" t="s">
        <v>535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 t="s">
        <v>22</v>
      </c>
      <c r="W13" s="10"/>
      <c r="X13" s="10"/>
      <c r="Y13" s="10"/>
      <c r="Z13" s="10"/>
    </row>
    <row r="14" spans="2:29" s="4" customFormat="1" ht="15.75" customHeight="1" thickBot="1" x14ac:dyDescent="0.3">
      <c r="B14" s="8"/>
      <c r="C14" s="11">
        <f>IF(ISTEXT(D14),MAX($C$10:C13)+1,"")</f>
        <v>4</v>
      </c>
      <c r="D14" s="101" t="s">
        <v>536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 t="s">
        <v>22</v>
      </c>
      <c r="W14" s="10"/>
      <c r="X14" s="10"/>
      <c r="Y14" s="10"/>
      <c r="Z14" s="10"/>
    </row>
    <row r="15" spans="2:29" s="4" customFormat="1" ht="16.350000000000001" customHeight="1" thickBot="1" x14ac:dyDescent="0.3">
      <c r="B15" s="8"/>
      <c r="C15" s="11">
        <f>IF(ISTEXT(D15),MAX($C$10:C14)+1,"")</f>
        <v>5</v>
      </c>
      <c r="D15" s="101" t="s">
        <v>537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 t="s">
        <v>22</v>
      </c>
      <c r="W15" s="10"/>
      <c r="X15" s="10"/>
      <c r="Y15" s="10"/>
      <c r="Z15" s="10"/>
    </row>
    <row r="16" spans="2:29" s="4" customFormat="1" ht="16.350000000000001" customHeight="1" thickBot="1" x14ac:dyDescent="0.3">
      <c r="B16" s="8"/>
      <c r="C16" s="11">
        <f>IF(ISTEXT(D16),MAX($C$10:C15)+1,"")</f>
        <v>6</v>
      </c>
      <c r="D16" s="101" t="s">
        <v>538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 t="s">
        <v>22</v>
      </c>
      <c r="W16" s="10"/>
      <c r="X16" s="10"/>
      <c r="Y16" s="10"/>
      <c r="Z16" s="10"/>
    </row>
    <row r="17" spans="2:26" s="4" customFormat="1" ht="16.350000000000001" customHeight="1" thickBot="1" x14ac:dyDescent="0.3">
      <c r="B17" s="8"/>
      <c r="C17" s="11">
        <f>IF(ISTEXT(D17),MAX($C$10:C16)+1,"")</f>
        <v>7</v>
      </c>
      <c r="D17" s="101" t="s">
        <v>539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 t="s">
        <v>22</v>
      </c>
      <c r="W17" s="10"/>
      <c r="X17" s="10"/>
      <c r="Y17" s="10"/>
      <c r="Z17" s="10"/>
    </row>
    <row r="18" spans="2:26" s="4" customFormat="1" ht="16.350000000000001" customHeight="1" thickBot="1" x14ac:dyDescent="0.3">
      <c r="B18" s="8"/>
      <c r="C18" s="11">
        <f>IF(ISTEXT(D18),MAX($C$10:C17)+1,"")</f>
        <v>8</v>
      </c>
      <c r="D18" s="101" t="s">
        <v>540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 t="s">
        <v>22</v>
      </c>
      <c r="W18" s="10"/>
      <c r="X18" s="10"/>
      <c r="Y18" s="10"/>
      <c r="Z18" s="10"/>
    </row>
    <row r="19" spans="2:26" s="4" customFormat="1" ht="16.350000000000001" customHeight="1" thickBot="1" x14ac:dyDescent="0.3">
      <c r="B19" s="8"/>
      <c r="C19" s="11">
        <f>IF(ISTEXT(D19),MAX($C$10:C18)+1,"")</f>
        <v>9</v>
      </c>
      <c r="D19" s="101" t="s">
        <v>541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 t="s">
        <v>22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f>IF(ISTEXT(D20),MAX($C$10:C19)+1,"")</f>
        <v>10</v>
      </c>
      <c r="D20" s="101" t="s">
        <v>542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 t="s">
        <v>22</v>
      </c>
      <c r="W20" s="10"/>
      <c r="X20" s="10"/>
      <c r="Y20" s="10"/>
      <c r="Z20" s="10"/>
    </row>
    <row r="21" spans="2:26" s="4" customFormat="1" ht="16.350000000000001" customHeight="1" thickBot="1" x14ac:dyDescent="0.3">
      <c r="B21" s="8"/>
      <c r="C21" s="11">
        <f>IF(ISTEXT(D21),MAX($C$10:C20)+1,"")</f>
        <v>11</v>
      </c>
      <c r="D21" s="101" t="s">
        <v>543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 t="s">
        <v>22</v>
      </c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11">
        <f>IF(ISTEXT(D22),MAX($C$10:C21)+1,"")</f>
        <v>12</v>
      </c>
      <c r="D22" s="101" t="s">
        <v>375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 t="s">
        <v>72</v>
      </c>
      <c r="W22" s="10"/>
      <c r="X22" s="10"/>
      <c r="Y22" s="10"/>
      <c r="Z22" s="10"/>
    </row>
    <row r="23" spans="2:26" s="4" customFormat="1" ht="16.350000000000001" customHeight="1" thickBot="1" x14ac:dyDescent="0.3">
      <c r="B23" s="8"/>
      <c r="C23" s="11">
        <f>IF(ISTEXT(D23),MAX($C$10:C22)+1,"")</f>
        <v>13</v>
      </c>
      <c r="D23" s="101" t="s">
        <v>544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 t="s">
        <v>22</v>
      </c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11">
        <f>IF(ISTEXT(D24),MAX($C$10:C23)+1,"")</f>
        <v>14</v>
      </c>
      <c r="D24" s="101" t="s">
        <v>545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 t="s">
        <v>22</v>
      </c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11">
        <f>IF(ISTEXT(D25),MAX($C$10:C24)+1,"")</f>
        <v>15</v>
      </c>
      <c r="D25" s="101" t="s">
        <v>546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 t="s">
        <v>22</v>
      </c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f>IF(ISTEXT(D26),MAX($C$10:C25)+1,"")</f>
        <v>16</v>
      </c>
      <c r="D26" s="101" t="s">
        <v>547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 t="s">
        <v>22</v>
      </c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f>IF(ISTEXT(D27),MAX($C$10:C26)+1,"")</f>
        <v>17</v>
      </c>
      <c r="D27" s="101" t="s">
        <v>548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 t="s">
        <v>22</v>
      </c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f>IF(ISTEXT(D28),MAX($C$10:C27)+1,"")</f>
        <v>18</v>
      </c>
      <c r="D28" s="101" t="s">
        <v>549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 t="s">
        <v>22</v>
      </c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f>IF(ISTEXT(D29),MAX($C$10:C28)+1,"")</f>
        <v>19</v>
      </c>
      <c r="D29" s="101" t="s">
        <v>550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 t="s">
        <v>22</v>
      </c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f>IF(ISTEXT(D30),MAX($C$10:C29)+1,"")</f>
        <v>20</v>
      </c>
      <c r="D30" s="137" t="s">
        <v>551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 t="s">
        <v>22</v>
      </c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f>IF(ISTEXT(D31),MAX($C$10:C30)+1,"")</f>
        <v>21</v>
      </c>
      <c r="D31" s="137" t="s">
        <v>552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 t="s">
        <v>22</v>
      </c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f>IF(ISTEXT(D32),MAX($C$10:C31)+1,"")</f>
        <v>22</v>
      </c>
      <c r="D32" s="101" t="s">
        <v>553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 t="s">
        <v>22</v>
      </c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f>IF(ISTEXT(D32),MAX($C$10:C32)+1,"")</f>
        <v>23</v>
      </c>
      <c r="D33" s="147" t="s">
        <v>554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 t="s">
        <v>22</v>
      </c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>
        <f>IF(ISTEXT(D34),MAX($C$10:C33)+1,"")</f>
        <v>24</v>
      </c>
      <c r="D34" s="101" t="s">
        <v>555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 t="s">
        <v>22</v>
      </c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>
        <f>IF(ISTEXT(D35),MAX($C$10:C34)+1,"")</f>
        <v>25</v>
      </c>
      <c r="D35" s="101" t="s">
        <v>556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 t="s">
        <v>22</v>
      </c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>
        <f>IF(ISTEXT(D36),MAX($C$10:C35)+1,"")</f>
        <v>26</v>
      </c>
      <c r="D36" s="101" t="s">
        <v>557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 t="s">
        <v>22</v>
      </c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>
        <f>IF(ISTEXT(D37),MAX($C$10:C36)+1,"")</f>
        <v>27</v>
      </c>
      <c r="D37" s="101" t="s">
        <v>558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 t="s">
        <v>22</v>
      </c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>
        <f>IF(ISTEXT(D38),MAX($C$10:C37)+1,"")</f>
        <v>28</v>
      </c>
      <c r="D38" s="101" t="s">
        <v>559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 t="s">
        <v>22</v>
      </c>
      <c r="W38" s="10"/>
      <c r="X38" s="10"/>
      <c r="Y38" s="10"/>
      <c r="Z38" s="10"/>
    </row>
    <row r="39" spans="2:26" s="4" customFormat="1" ht="16.350000000000001" customHeight="1" thickBot="1" x14ac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/>
      <c r="W39" s="10"/>
      <c r="X39" s="10"/>
      <c r="Y39" s="10"/>
      <c r="Z39" s="10"/>
    </row>
    <row r="40" spans="2:26" s="4" customFormat="1" ht="15" customHeight="1" thickBot="1" x14ac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/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/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/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/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/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/>
      <c r="W45" s="10"/>
      <c r="X45" s="10"/>
      <c r="Y45" s="10"/>
      <c r="Z45" s="10"/>
    </row>
    <row r="46" spans="2:26" s="15" customFormat="1" ht="16.350000000000001" customHeight="1" thickBot="1" x14ac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/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/>
      <c r="W49" s="10"/>
      <c r="X49" s="10"/>
      <c r="Y49" s="10"/>
      <c r="Z49" s="10"/>
    </row>
    <row r="50" spans="2:26" s="4" customFormat="1" ht="16.350000000000001" customHeight="1" thickBot="1" x14ac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/>
      <c r="W50" s="10"/>
      <c r="X50" s="10"/>
      <c r="Y50" s="10"/>
      <c r="Z50" s="10"/>
    </row>
    <row r="51" spans="2:26" s="4" customFormat="1" ht="16.350000000000001" customHeight="1" thickBot="1" x14ac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/>
      <c r="W53" s="10"/>
      <c r="X53" s="10"/>
      <c r="Y53" s="10"/>
      <c r="Z53" s="10"/>
    </row>
    <row r="54" spans="2:26" s="4" customFormat="1" ht="16.350000000000001" customHeight="1" thickBot="1" x14ac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/>
      <c r="W54" s="10"/>
      <c r="X54" s="10"/>
      <c r="Y54" s="10"/>
      <c r="Z54" s="10"/>
    </row>
    <row r="55" spans="2:26" s="4" customFormat="1" ht="16.350000000000001" customHeight="1" thickBot="1" x14ac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/>
      <c r="W55" s="10"/>
      <c r="X55" s="10"/>
      <c r="Y55" s="10"/>
      <c r="Z55" s="10"/>
    </row>
    <row r="56" spans="2:26" s="4" customFormat="1" ht="16.350000000000001" customHeight="1" thickBot="1" x14ac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/>
      <c r="W56" s="18"/>
      <c r="X56" s="10"/>
      <c r="Y56" s="10"/>
      <c r="Z56" s="10"/>
    </row>
    <row r="57" spans="2:26" s="4" customFormat="1" ht="16.350000000000001" customHeight="1" thickBot="1" x14ac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/>
      <c r="W57" s="18"/>
      <c r="X57" s="10"/>
      <c r="Y57" s="10"/>
      <c r="Z57" s="10"/>
    </row>
    <row r="58" spans="2:26" s="15" customFormat="1" ht="15" customHeight="1" thickBot="1" x14ac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/>
      <c r="W58" s="14"/>
      <c r="X58" s="14"/>
      <c r="Y58" s="14"/>
      <c r="Z58" s="14"/>
    </row>
    <row r="59" spans="2:26" s="4" customFormat="1" ht="15.95" customHeight="1" thickBot="1" x14ac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/>
      <c r="W59" s="10"/>
      <c r="X59" s="10"/>
      <c r="Y59" s="10"/>
      <c r="Z59" s="10"/>
    </row>
    <row r="60" spans="2:26" s="4" customFormat="1" ht="15.95" customHeight="1" thickBot="1" x14ac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/>
      <c r="W60" s="10"/>
      <c r="X60" s="10"/>
      <c r="Y60" s="10"/>
      <c r="Z60" s="10"/>
    </row>
    <row r="61" spans="2:26" s="4" customFormat="1" ht="16.350000000000001" customHeight="1" thickBot="1" x14ac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/>
      <c r="W61" s="10"/>
      <c r="X61" s="10"/>
      <c r="Y61" s="10"/>
      <c r="Z61" s="10"/>
    </row>
    <row r="62" spans="2:26" s="4" customFormat="1" ht="16.350000000000001" customHeight="1" thickBot="1" x14ac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/>
      <c r="W62" s="10"/>
      <c r="X62" s="10"/>
      <c r="Y62" s="10"/>
      <c r="Z62" s="10"/>
    </row>
    <row r="63" spans="2:26" s="1" customFormat="1" ht="15" customHeight="1" x14ac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</row>
    <row r="64" spans="2:26" x14ac:dyDescent="0.25">
      <c r="B64" s="20"/>
      <c r="C64" s="21"/>
      <c r="O64" s="22"/>
      <c r="P64" s="22"/>
      <c r="Q64" s="23"/>
      <c r="R64" s="23"/>
      <c r="S64" s="22"/>
      <c r="T64" s="22"/>
    </row>
    <row r="65" spans="2:26" s="1" customFormat="1" ht="13.5" thickBot="1" x14ac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</row>
    <row r="66" spans="2:26" ht="15" customHeight="1" x14ac:dyDescent="0.25">
      <c r="C66" s="29"/>
      <c r="I66" s="30"/>
      <c r="O66" s="65"/>
      <c r="P66" s="65"/>
      <c r="Q66" s="60"/>
      <c r="R66" s="60"/>
      <c r="S66" s="65"/>
      <c r="T66" s="65"/>
    </row>
    <row r="67" spans="2:26" ht="18" customHeight="1" thickBot="1" x14ac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">
        <v>532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/>
      <c r="W67" s="62"/>
      <c r="X67" s="62"/>
      <c r="Y67" s="62"/>
    </row>
    <row r="68" spans="2:26" ht="15" customHeight="1" thickBot="1" x14ac:dyDescent="0.3"/>
    <row r="69" spans="2:26" ht="15" customHeight="1" x14ac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2" t="s">
        <v>65</v>
      </c>
      <c r="X69" s="79"/>
      <c r="Y69" s="79"/>
      <c r="Z69" s="79"/>
    </row>
    <row r="70" spans="2:26" ht="15" customHeight="1" thickBot="1" x14ac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2:26" ht="10.5" customHeight="1" thickBot="1" x14ac:dyDescent="0.3"/>
    <row r="72" spans="2:26" ht="15" customHeight="1" thickBot="1" x14ac:dyDescent="0.3">
      <c r="J72" s="79" t="s">
        <v>2</v>
      </c>
      <c r="K72" s="79"/>
      <c r="L72" s="79"/>
      <c r="M72" s="80" t="str">
        <f>M4</f>
        <v>C1007</v>
      </c>
      <c r="N72" s="80"/>
      <c r="O72" s="80"/>
      <c r="P72" s="80"/>
    </row>
    <row r="73" spans="2:26" s="15" customFormat="1" ht="15" customHeight="1" thickBot="1" x14ac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/>
    </row>
    <row r="74" spans="2:26" s="15" customFormat="1" ht="15.95" customHeight="1" thickBot="1" x14ac:dyDescent="0.3"/>
    <row r="75" spans="2:26" s="15" customFormat="1" ht="15" customHeight="1" thickBot="1" x14ac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/>
      <c r="W75" s="60"/>
      <c r="X75" s="23"/>
    </row>
    <row r="76" spans="2:26" s="15" customFormat="1" ht="15" customHeight="1" thickBot="1" x14ac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s="15" customFormat="1" ht="22.5" customHeight="1" thickBot="1" x14ac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 t="s">
        <v>8</v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x14ac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/>
      <c r="W78" s="14"/>
      <c r="X78" s="14"/>
      <c r="Y78" s="14"/>
      <c r="Z78" s="14"/>
    </row>
    <row r="79" spans="2:26" s="15" customFormat="1" ht="15.6" customHeight="1" thickBot="1" x14ac:dyDescent="0.25">
      <c r="B79" s="8"/>
      <c r="C79" s="11">
        <f>IF(ISTEXT(D79),MAX($C$10:C78)+1,"")</f>
        <v>29</v>
      </c>
      <c r="D79" s="95" t="s">
        <v>237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 t="s">
        <v>22</v>
      </c>
      <c r="W79" s="14"/>
      <c r="X79" s="14"/>
      <c r="Y79" s="14"/>
      <c r="Z79" s="14"/>
    </row>
    <row r="80" spans="2:26" s="15" customFormat="1" ht="15.6" customHeight="1" thickBot="1" x14ac:dyDescent="0.3">
      <c r="B80" s="8"/>
      <c r="C80" s="11">
        <f>IF(ISTEXT(D80),MAX($C$10:C79)+1,"")</f>
        <v>30</v>
      </c>
      <c r="D80" s="70" t="s">
        <v>560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 t="s">
        <v>72</v>
      </c>
      <c r="W80" s="14"/>
      <c r="X80" s="14"/>
      <c r="Y80" s="14"/>
      <c r="Z80" s="14"/>
    </row>
    <row r="81" spans="1:26" s="15" customFormat="1" ht="15.6" customHeight="1" thickBot="1" x14ac:dyDescent="0.3">
      <c r="B81" s="8"/>
      <c r="C81" s="11">
        <f>IF(ISTEXT(D81),MAX($C$10:C80)+1,"")</f>
        <v>31</v>
      </c>
      <c r="D81" s="70" t="s">
        <v>561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 t="s">
        <v>22</v>
      </c>
      <c r="W81" s="14"/>
      <c r="X81" s="14"/>
      <c r="Y81" s="14"/>
      <c r="Z81" s="14"/>
    </row>
    <row r="82" spans="1:26" s="15" customFormat="1" ht="16.149999999999999" customHeight="1" thickBot="1" x14ac:dyDescent="0.3">
      <c r="B82" s="8"/>
      <c r="C82" s="11">
        <f>IF(ISTEXT(D82),MAX($C$10:C81)+1,"")</f>
        <v>32</v>
      </c>
      <c r="D82" s="70" t="s">
        <v>562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 t="s">
        <v>22</v>
      </c>
      <c r="W82" s="14"/>
      <c r="X82" s="14"/>
      <c r="Y82" s="14"/>
      <c r="Z82" s="14"/>
    </row>
    <row r="83" spans="1:26" s="15" customFormat="1" ht="16.149999999999999" customHeight="1" thickBot="1" x14ac:dyDescent="0.3">
      <c r="B83" s="8"/>
      <c r="C83" s="11">
        <f>IF(ISTEXT(D83),MAX($C$10:C82)+1,"")</f>
        <v>33</v>
      </c>
      <c r="D83" s="70" t="s">
        <v>563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 t="s">
        <v>22</v>
      </c>
      <c r="W83" s="14"/>
      <c r="X83" s="14"/>
      <c r="Y83" s="14"/>
      <c r="Z83" s="14"/>
    </row>
    <row r="84" spans="1:26" s="15" customFormat="1" ht="16.149999999999999" customHeight="1" thickBot="1" x14ac:dyDescent="0.3">
      <c r="B84" s="8"/>
      <c r="C84" s="11">
        <f>IF(ISTEXT(D84),MAX($C$10:C83)+1,"")</f>
        <v>34</v>
      </c>
      <c r="D84" s="70" t="s">
        <v>564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 t="s">
        <v>76</v>
      </c>
      <c r="W84" s="14"/>
      <c r="X84" s="14"/>
      <c r="Y84" s="14"/>
      <c r="Z84" s="14"/>
    </row>
    <row r="85" spans="1:26" s="15" customFormat="1" ht="16.149999999999999" customHeight="1" thickBot="1" x14ac:dyDescent="0.3">
      <c r="B85" s="8"/>
      <c r="C85" s="11">
        <f>IF(ISTEXT(D85),MAX($C$10:C84)+1,"")</f>
        <v>35</v>
      </c>
      <c r="D85" s="70" t="s">
        <v>565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 t="s">
        <v>22</v>
      </c>
      <c r="W85" s="14"/>
      <c r="X85" s="14"/>
      <c r="Y85" s="14"/>
      <c r="Z85" s="14"/>
    </row>
    <row r="86" spans="1:26" s="15" customFormat="1" ht="16.149999999999999" customHeight="1" thickBot="1" x14ac:dyDescent="0.3">
      <c r="B86" s="8"/>
      <c r="C86" s="11">
        <f>IF(ISTEXT(D86),MAX($C$10:C85)+1,"")</f>
        <v>36</v>
      </c>
      <c r="D86" s="70" t="s">
        <v>116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146"/>
      <c r="V86" s="10" t="s">
        <v>22</v>
      </c>
      <c r="W86" s="14"/>
      <c r="X86" s="14"/>
      <c r="Y86" s="14"/>
      <c r="Z86" s="14"/>
    </row>
    <row r="87" spans="1:26" ht="16.149999999999999" customHeight="1" thickBot="1" x14ac:dyDescent="0.3">
      <c r="B87" s="8"/>
      <c r="C87" s="11">
        <f>IF(ISTEXT(D87),MAX($C$10:C86)+1,"")</f>
        <v>37</v>
      </c>
      <c r="D87" s="143" t="s">
        <v>566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 t="s">
        <v>76</v>
      </c>
      <c r="W87" s="14"/>
      <c r="X87" s="14"/>
      <c r="Y87" s="14"/>
      <c r="Z87" s="14"/>
    </row>
    <row r="88" spans="1:26" s="15" customFormat="1" ht="16.149999999999999" customHeight="1" thickBot="1" x14ac:dyDescent="0.3">
      <c r="A88" s="36"/>
      <c r="B88" s="37"/>
      <c r="C88" s="11">
        <f>IF(ISTEXT(D88),MAX($C$10:C87)+1,"")</f>
        <v>38</v>
      </c>
      <c r="D88" s="143" t="s">
        <v>567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 t="s">
        <v>22</v>
      </c>
      <c r="W88" s="14"/>
      <c r="X88" s="14"/>
      <c r="Y88" s="14"/>
      <c r="Z88" s="14"/>
    </row>
    <row r="89" spans="1:26" s="15" customFormat="1" ht="16.149999999999999" customHeight="1" thickBot="1" x14ac:dyDescent="0.3">
      <c r="B89" s="8"/>
      <c r="C89" s="11">
        <f>IF(ISTEXT(D89),MAX($C$10:C88)+1,"")</f>
        <v>39</v>
      </c>
      <c r="D89" s="143" t="s">
        <v>568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 t="s">
        <v>22</v>
      </c>
      <c r="W89" s="14"/>
      <c r="X89" s="14"/>
      <c r="Y89" s="14"/>
      <c r="Z89" s="14"/>
    </row>
    <row r="90" spans="1:26" s="15" customFormat="1" ht="16.149999999999999" customHeight="1" thickBot="1" x14ac:dyDescent="0.3">
      <c r="B90" s="8"/>
      <c r="C90" s="11">
        <f>IF(ISTEXT(D90),MAX($C$10:C89)+1,"")</f>
        <v>40</v>
      </c>
      <c r="D90" s="143" t="s">
        <v>569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 t="s">
        <v>76</v>
      </c>
      <c r="W90" s="14"/>
      <c r="X90" s="14"/>
      <c r="Y90" s="14"/>
      <c r="Z90" s="14"/>
    </row>
    <row r="91" spans="1:26" s="15" customFormat="1" ht="16.149999999999999" customHeight="1" thickBot="1" x14ac:dyDescent="0.3">
      <c r="B91" s="8"/>
      <c r="C91" s="11">
        <f>IF(ISTEXT(D91),MAX($C$10:C90)+1,"")</f>
        <v>41</v>
      </c>
      <c r="D91" s="70" t="s">
        <v>570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 t="s">
        <v>22</v>
      </c>
      <c r="W91" s="14"/>
      <c r="X91" s="14"/>
      <c r="Y91" s="14"/>
      <c r="Z91" s="14"/>
    </row>
    <row r="92" spans="1:26" s="15" customFormat="1" ht="16.149999999999999" customHeight="1" thickBot="1" x14ac:dyDescent="0.25">
      <c r="B92" s="8"/>
      <c r="C92" s="11">
        <f>IF(ISTEXT(D92),MAX($C$10:C91)+1,"")</f>
        <v>42</v>
      </c>
      <c r="D92" s="95" t="s">
        <v>556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 t="s">
        <v>22</v>
      </c>
      <c r="W92" s="14"/>
      <c r="X92" s="14"/>
      <c r="Y92" s="14"/>
      <c r="Z92" s="14"/>
    </row>
    <row r="93" spans="1:26" s="15" customFormat="1" ht="16.149999999999999" customHeight="1" thickBot="1" x14ac:dyDescent="0.3">
      <c r="B93" s="8"/>
      <c r="C93" s="11">
        <f>IF(ISTEXT(D93),MAX($C$10:C92)+1,"")</f>
        <v>43</v>
      </c>
      <c r="D93" s="70" t="s">
        <v>571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 t="s">
        <v>22</v>
      </c>
      <c r="W93" s="14"/>
      <c r="X93" s="14"/>
      <c r="Y93" s="14"/>
      <c r="Z93" s="14"/>
    </row>
    <row r="94" spans="1:26" s="15" customFormat="1" ht="16.149999999999999" customHeight="1" thickBot="1" x14ac:dyDescent="0.3">
      <c r="B94" s="8"/>
      <c r="C94" s="11">
        <f>IF(ISTEXT(D94),MAX($C$10:C93)+1,"")</f>
        <v>44</v>
      </c>
      <c r="D94" s="66" t="s">
        <v>572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 t="s">
        <v>72</v>
      </c>
      <c r="W94" s="14"/>
      <c r="X94" s="14"/>
      <c r="Y94" s="14"/>
      <c r="Z94" s="14"/>
    </row>
    <row r="95" spans="1:26" s="15" customFormat="1" ht="16.149999999999999" customHeight="1" thickBot="1" x14ac:dyDescent="0.3">
      <c r="B95" s="8"/>
      <c r="C95" s="11">
        <f>IF(ISTEXT(D95),MAX($C$10:C94)+1,"")</f>
        <v>45</v>
      </c>
      <c r="D95" s="70" t="s">
        <v>80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 t="s">
        <v>76</v>
      </c>
      <c r="W95" s="14"/>
      <c r="X95" s="14"/>
      <c r="Y95" s="14"/>
      <c r="Z95" s="14"/>
    </row>
    <row r="96" spans="1:26" s="15" customFormat="1" ht="16.149999999999999" customHeight="1" thickBot="1" x14ac:dyDescent="0.3">
      <c r="B96" s="8"/>
      <c r="C96" s="11">
        <f>IF(ISTEXT(D96),MAX($C$10:C95)+1,"")</f>
        <v>46</v>
      </c>
      <c r="D96" s="70" t="s">
        <v>554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 t="s">
        <v>22</v>
      </c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/>
      <c r="W97" s="14"/>
      <c r="X97" s="14"/>
      <c r="Y97" s="14"/>
      <c r="Z97" s="14"/>
    </row>
    <row r="98" spans="2:26" s="15" customFormat="1" ht="16.149999999999999" customHeight="1" thickBot="1" x14ac:dyDescent="0.3">
      <c r="B98" s="8"/>
      <c r="C98" s="11"/>
      <c r="D98" s="153" t="s">
        <v>476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5"/>
      <c r="V98" s="10"/>
      <c r="W98" s="14"/>
      <c r="X98" s="14"/>
      <c r="Y98" s="14"/>
      <c r="Z98" s="14"/>
    </row>
    <row r="99" spans="2:26" s="15" customFormat="1" ht="15.95" customHeight="1" thickBot="1" x14ac:dyDescent="0.3">
      <c r="B99" s="8"/>
      <c r="C99" s="11">
        <f>IF(ISTEXT(D99),MAX($C$10:C98)+1,"")</f>
        <v>47</v>
      </c>
      <c r="D99" s="70" t="s">
        <v>554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 t="s">
        <v>22</v>
      </c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48</v>
      </c>
      <c r="D100" s="70" t="s">
        <v>573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 t="s">
        <v>22</v>
      </c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49</v>
      </c>
      <c r="D101" s="70" t="s">
        <v>116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 t="s">
        <v>22</v>
      </c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50</v>
      </c>
      <c r="D102" s="70" t="s">
        <v>574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 t="s">
        <v>22</v>
      </c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>
        <f>IF(ISTEXT(D103),MAX($C$10:C102)+1,"")</f>
        <v>51</v>
      </c>
      <c r="D103" s="70" t="s">
        <v>575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 t="s">
        <v>22</v>
      </c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52</v>
      </c>
      <c r="D104" s="70" t="s">
        <v>102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 t="s">
        <v>22</v>
      </c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>
        <f>IF(ISTEXT(D105),MAX($C$10:C104)+1,"")</f>
        <v>53</v>
      </c>
      <c r="D105" s="70" t="s">
        <v>576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 t="s">
        <v>22</v>
      </c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>
        <f>IF(ISTEXT(D106),MAX($C$10:C105)+1,"")</f>
        <v>54</v>
      </c>
      <c r="D106" s="70" t="s">
        <v>577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 t="s">
        <v>22</v>
      </c>
      <c r="W106" s="14"/>
      <c r="X106" s="14"/>
      <c r="Y106" s="14"/>
      <c r="Z106" s="14"/>
    </row>
    <row r="107" spans="2:26" s="15" customFormat="1" ht="19.149999999999999" customHeight="1" thickBot="1" x14ac:dyDescent="0.3">
      <c r="B107" s="8"/>
      <c r="C107" s="11">
        <f>IF(ISTEXT(D107),MAX($C$10:C106)+1,"")</f>
        <v>55</v>
      </c>
      <c r="D107" s="70" t="s">
        <v>578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 t="s">
        <v>76</v>
      </c>
      <c r="W107" s="14"/>
      <c r="X107" s="14"/>
      <c r="Y107" s="14"/>
      <c r="Z107" s="14"/>
    </row>
    <row r="108" spans="2:26" s="15" customFormat="1" ht="16.149999999999999" customHeight="1" thickBot="1" x14ac:dyDescent="0.3">
      <c r="B108" s="8"/>
      <c r="C108" s="11">
        <f>IF(ISTEXT(D108),MAX($C$10:C107)+1,"")</f>
        <v>56</v>
      </c>
      <c r="D108" s="70" t="s">
        <v>568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 t="s">
        <v>22</v>
      </c>
      <c r="W108" s="14"/>
      <c r="X108" s="14"/>
      <c r="Y108" s="14"/>
      <c r="Z108" s="14"/>
    </row>
    <row r="109" spans="2:26" s="15" customFormat="1" ht="16.149999999999999" customHeight="1" thickBot="1" x14ac:dyDescent="0.3">
      <c r="B109" s="8"/>
      <c r="C109" s="11">
        <f>IF(ISTEXT(D109),MAX($C$10:C108)+1,"")</f>
        <v>57</v>
      </c>
      <c r="D109" s="70" t="s">
        <v>567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 t="s">
        <v>22</v>
      </c>
      <c r="W109" s="14"/>
      <c r="X109" s="14"/>
      <c r="Y109" s="14"/>
      <c r="Z109" s="14"/>
    </row>
    <row r="110" spans="2:26" s="15" customFormat="1" ht="16.149999999999999" customHeight="1" thickBot="1" x14ac:dyDescent="0.3">
      <c r="B110" s="8"/>
      <c r="C110" s="11">
        <f>IF(ISTEXT(D110),MAX($C$10:C109)+1,"")</f>
        <v>58</v>
      </c>
      <c r="D110" s="140" t="s">
        <v>579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 t="s">
        <v>22</v>
      </c>
      <c r="W110" s="14"/>
      <c r="X110" s="14"/>
      <c r="Y110" s="14"/>
      <c r="Z110" s="14"/>
    </row>
    <row r="111" spans="2:26" s="15" customFormat="1" ht="16.149999999999999" customHeight="1" thickBot="1" x14ac:dyDescent="0.3">
      <c r="B111" s="8"/>
      <c r="C111" s="11">
        <f>IF(ISTEXT(D113),MAX($C$10:C110)+1,"")</f>
        <v>59</v>
      </c>
      <c r="D111" s="70" t="s">
        <v>80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 t="s">
        <v>76</v>
      </c>
      <c r="W111" s="14"/>
      <c r="X111" s="14"/>
      <c r="Y111" s="14"/>
      <c r="Z111" s="14"/>
    </row>
    <row r="112" spans="2:26" s="15" customFormat="1" ht="16.149999999999999" customHeight="1" thickBot="1" x14ac:dyDescent="0.3">
      <c r="B112" s="8"/>
      <c r="C112" s="11">
        <f>IF(ISTEXT(D111),MAX($C$10:C111)+1,"")</f>
        <v>60</v>
      </c>
      <c r="D112" s="140" t="s">
        <v>580</v>
      </c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 t="s">
        <v>76</v>
      </c>
      <c r="W112" s="14"/>
      <c r="X112" s="14"/>
      <c r="Y112" s="14"/>
      <c r="Z112" s="14"/>
    </row>
    <row r="113" spans="2:26" s="15" customFormat="1" ht="16.149999999999999" customHeight="1" x14ac:dyDescent="0.25">
      <c r="B113" s="8"/>
      <c r="C113" s="11"/>
      <c r="D113" s="73" t="s">
        <v>214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/>
      <c r="W113" s="14"/>
      <c r="X113" s="14"/>
      <c r="Y113" s="14"/>
      <c r="Z113" s="14"/>
    </row>
    <row r="114" spans="2:26" s="15" customFormat="1" ht="16.149999999999999" customHeight="1" x14ac:dyDescent="0.25">
      <c r="B114" s="8"/>
      <c r="C114" s="11">
        <f>IF(ISTEXT(D113),MAX($C$10:C113)+1,"")</f>
        <v>61</v>
      </c>
      <c r="D114" s="70" t="s">
        <v>554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 t="s">
        <v>22</v>
      </c>
      <c r="W114" s="14"/>
      <c r="X114" s="14"/>
      <c r="Y114" s="14"/>
      <c r="Z114" s="14"/>
    </row>
    <row r="115" spans="2:26" s="15" customFormat="1" ht="16.149999999999999" customHeight="1" x14ac:dyDescent="0.25">
      <c r="B115" s="8"/>
      <c r="C115" s="11">
        <f>IF(ISTEXT(D114),MAX($C$10:C114)+1,"")</f>
        <v>62</v>
      </c>
      <c r="D115" s="70" t="s">
        <v>573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 t="s">
        <v>22</v>
      </c>
      <c r="W115" s="14"/>
      <c r="X115" s="14"/>
      <c r="Y115" s="14"/>
      <c r="Z115" s="14"/>
    </row>
    <row r="116" spans="2:26" ht="15" customHeight="1" x14ac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</row>
    <row r="117" spans="2:26" x14ac:dyDescent="0.25">
      <c r="B117" s="20"/>
      <c r="C117" s="21"/>
      <c r="O117" s="22"/>
      <c r="P117" s="22"/>
      <c r="Q117" s="23"/>
      <c r="R117" s="23"/>
      <c r="S117" s="22"/>
      <c r="T117" s="22"/>
    </row>
    <row r="118" spans="2:26" ht="15.75" thickBot="1" x14ac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</row>
    <row r="119" spans="2:26" ht="15" customHeight="1" x14ac:dyDescent="0.25">
      <c r="C119" s="29"/>
      <c r="I119" s="30"/>
      <c r="O119" s="65"/>
      <c r="P119" s="65"/>
      <c r="Q119" s="60"/>
      <c r="R119" s="60"/>
      <c r="S119" s="65"/>
      <c r="T119" s="65"/>
    </row>
    <row r="120" spans="2:26" ht="18" customHeight="1" thickBot="1" x14ac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">
        <v>532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/>
      <c r="W120" s="62"/>
      <c r="X120" s="62"/>
      <c r="Y120" s="62"/>
    </row>
    <row r="121" spans="2:26" ht="15" customHeight="1" x14ac:dyDescent="0.25"/>
    <row r="122" spans="2:26" ht="15" customHeight="1" thickBot="1" x14ac:dyDescent="0.3"/>
    <row r="123" spans="2:26" ht="15" customHeight="1" x14ac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2" t="s">
        <v>99</v>
      </c>
      <c r="X123" s="79"/>
      <c r="Y123" s="79"/>
      <c r="Z123" s="79"/>
    </row>
    <row r="124" spans="2:26" ht="15" customHeight="1" thickBot="1" x14ac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</row>
    <row r="125" spans="2:26" ht="10.5" customHeight="1" thickBot="1" x14ac:dyDescent="0.3"/>
    <row r="126" spans="2:26" ht="15" customHeight="1" thickBot="1" x14ac:dyDescent="0.3">
      <c r="J126" s="79" t="s">
        <v>2</v>
      </c>
      <c r="K126" s="79"/>
      <c r="L126" s="79"/>
      <c r="M126" s="80" t="str">
        <f>M4</f>
        <v>C1007</v>
      </c>
      <c r="N126" s="80"/>
      <c r="O126" s="80"/>
      <c r="P126" s="80"/>
    </row>
    <row r="127" spans="2:26" s="15" customFormat="1" ht="15" customHeight="1" thickBot="1" x14ac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/>
    </row>
    <row r="128" spans="2:26" s="15" customFormat="1" ht="17.100000000000001" customHeight="1" thickBot="1" x14ac:dyDescent="0.3"/>
    <row r="129" spans="2:26" s="15" customFormat="1" ht="15" customHeight="1" thickBot="1" x14ac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532</v>
      </c>
      <c r="N129" s="86"/>
      <c r="O129" s="86"/>
      <c r="P129" s="86"/>
      <c r="Q129" s="86"/>
      <c r="R129" s="86"/>
      <c r="S129" s="87"/>
      <c r="T129" s="60"/>
      <c r="U129" s="60"/>
      <c r="V129" s="60"/>
      <c r="W129" s="60"/>
      <c r="X129" s="23"/>
    </row>
    <row r="130" spans="2:26" s="15" customFormat="1" ht="10.5" customHeight="1" thickBot="1" x14ac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2:26" s="15" customFormat="1" ht="21" customHeight="1" thickBot="1" x14ac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 t="s">
        <v>8</v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x14ac:dyDescent="0.3">
      <c r="B132" s="8"/>
      <c r="C132" s="11">
        <v>70</v>
      </c>
      <c r="D132" s="70" t="s">
        <v>116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 t="s">
        <v>22</v>
      </c>
      <c r="W132" s="14"/>
      <c r="X132" s="14"/>
      <c r="Y132" s="14"/>
      <c r="Z132" s="14"/>
    </row>
    <row r="133" spans="2:26" s="15" customFormat="1" ht="16.149999999999999" customHeight="1" thickBot="1" x14ac:dyDescent="0.3">
      <c r="B133" s="8"/>
      <c r="C133" s="11">
        <v>71</v>
      </c>
      <c r="D133" s="70" t="s">
        <v>574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 t="s">
        <v>22</v>
      </c>
      <c r="W133" s="14"/>
      <c r="X133" s="14"/>
      <c r="Y133" s="14"/>
      <c r="Z133" s="14"/>
    </row>
    <row r="134" spans="2:26" s="15" customFormat="1" ht="16.149999999999999" customHeight="1" thickBot="1" x14ac:dyDescent="0.3">
      <c r="B134" s="8"/>
      <c r="C134" s="11">
        <f>IF(ISTEXT(D134),MAX($C$10:C133)+1,"")</f>
        <v>72</v>
      </c>
      <c r="D134" s="70" t="s">
        <v>575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 t="s">
        <v>22</v>
      </c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>
        <f>IF(ISTEXT(D135),MAX($C$10:C134)+1,"")</f>
        <v>73</v>
      </c>
      <c r="D135" s="70" t="s">
        <v>102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 t="s">
        <v>22</v>
      </c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>
        <f>IF(ISTEXT(D136),MAX($C$10:C135)+1,"")</f>
        <v>74</v>
      </c>
      <c r="D136" s="70" t="s">
        <v>576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 t="s">
        <v>22</v>
      </c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>
        <f>IF(ISTEXT(D137),MAX($C$10:C136)+1,"")</f>
        <v>75</v>
      </c>
      <c r="D137" s="70" t="s">
        <v>577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 t="s">
        <v>22</v>
      </c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>
        <f>IF(ISTEXT(D138),MAX($C$10:C137)+1,"")</f>
        <v>76</v>
      </c>
      <c r="D138" s="70" t="s">
        <v>578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 t="s">
        <v>76</v>
      </c>
      <c r="W138" s="14"/>
      <c r="X138" s="14"/>
      <c r="Y138" s="14"/>
      <c r="Z138" s="14"/>
    </row>
    <row r="139" spans="2:26" ht="16.149999999999999" customHeight="1" thickBot="1" x14ac:dyDescent="0.3">
      <c r="B139" s="8"/>
      <c r="C139" s="11">
        <f>IF(ISTEXT(D139),MAX($C$10:C138)+1,"")</f>
        <v>77</v>
      </c>
      <c r="D139" s="70" t="s">
        <v>568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 t="s">
        <v>22</v>
      </c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>
        <f>IF(ISTEXT(D140),MAX($C$10:C139)+1,"")</f>
        <v>78</v>
      </c>
      <c r="D140" s="70" t="s">
        <v>567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 t="s">
        <v>22</v>
      </c>
      <c r="W140" s="14"/>
      <c r="X140" s="14"/>
      <c r="Y140" s="14"/>
      <c r="Z140" s="14"/>
    </row>
    <row r="141" spans="2:26" s="15" customFormat="1" ht="16.149999999999999" customHeight="1" thickBot="1" x14ac:dyDescent="0.3">
      <c r="B141" s="8"/>
      <c r="C141" s="11">
        <f>IF(ISTEXT(D141),MAX($C$10:C140)+1,"")</f>
        <v>79</v>
      </c>
      <c r="D141" s="140" t="s">
        <v>579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 t="s">
        <v>22</v>
      </c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80</v>
      </c>
      <c r="D142" s="70" t="s">
        <v>80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 t="s">
        <v>22</v>
      </c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81</v>
      </c>
      <c r="D143" s="140" t="s">
        <v>580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 t="s">
        <v>76</v>
      </c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82</v>
      </c>
      <c r="D144" s="70" t="s">
        <v>581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 t="s">
        <v>76</v>
      </c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/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/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/>
      <c r="W147" s="14"/>
      <c r="X147" s="14"/>
      <c r="Y147" s="14"/>
      <c r="Z147" s="14"/>
    </row>
    <row r="148" spans="2:26" ht="16.5" thickBot="1" x14ac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/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83</v>
      </c>
      <c r="D149" s="70" t="s">
        <v>582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 t="s">
        <v>76</v>
      </c>
      <c r="W149" s="14"/>
      <c r="X149" s="14"/>
      <c r="Y149" s="14"/>
      <c r="Z149" s="14"/>
    </row>
    <row r="150" spans="2:26" s="15" customFormat="1" ht="16.149999999999999" customHeight="1" thickBot="1" x14ac:dyDescent="0.3">
      <c r="B150" s="8"/>
      <c r="C150" s="11">
        <f>IF(ISTEXT(D150),MAX($C$10:C149)+1,"")</f>
        <v>84</v>
      </c>
      <c r="D150" s="70" t="s">
        <v>566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 t="s">
        <v>76</v>
      </c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>
        <f>IF(ISTEXT(D151),MAX($C$10:C150)+1,"")</f>
        <v>85</v>
      </c>
      <c r="D151" s="70" t="s">
        <v>91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 t="s">
        <v>22</v>
      </c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>
        <f>IF(ISTEXT(D152),MAX($C$10:C151)+1,"")</f>
        <v>86</v>
      </c>
      <c r="D152" s="70" t="s">
        <v>583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 t="s">
        <v>22</v>
      </c>
      <c r="W152" s="14"/>
      <c r="X152" s="14"/>
      <c r="Y152" s="14"/>
      <c r="Z152" s="14"/>
    </row>
    <row r="153" spans="2:26" s="15" customFormat="1" ht="16.149999999999999" customHeight="1" x14ac:dyDescent="0.25">
      <c r="B153" s="8"/>
      <c r="C153" s="11">
        <f>IF(ISTEXT(D153),MAX($C$10:C152)+1,"")</f>
        <v>87</v>
      </c>
      <c r="D153" s="70" t="s">
        <v>584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 t="s">
        <v>22</v>
      </c>
      <c r="W153" s="14"/>
      <c r="X153" s="14"/>
      <c r="Y153" s="14"/>
      <c r="Z153" s="14"/>
    </row>
    <row r="154" spans="2:26" s="15" customFormat="1" ht="16.149999999999999" customHeight="1" x14ac:dyDescent="0.25">
      <c r="B154" s="8"/>
      <c r="C154" s="11">
        <f>IF(ISTEXT(D154),MAX($C$10:C153)+1,"")</f>
        <v>88</v>
      </c>
      <c r="D154" s="70" t="s">
        <v>585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 t="s">
        <v>22</v>
      </c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>
        <f>IF(ISTEXT(D155),MAX($C$10:C154)+1,"")</f>
        <v>89</v>
      </c>
      <c r="D155" s="70" t="s">
        <v>586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 t="s">
        <v>22</v>
      </c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>
        <f>IF(ISTEXT(D156),MAX($C$10:C155)+1,"")</f>
        <v>90</v>
      </c>
      <c r="D156" s="70" t="s">
        <v>587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 t="s">
        <v>72</v>
      </c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91</v>
      </c>
      <c r="D157" s="70" t="s">
        <v>588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 t="s">
        <v>22</v>
      </c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92</v>
      </c>
      <c r="D158" s="70" t="s">
        <v>589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 t="s">
        <v>22</v>
      </c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>
        <f>IF(ISTEXT(D159),MAX($C$10:C158)+1,"")</f>
        <v>93</v>
      </c>
      <c r="D159" s="70" t="s">
        <v>237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 t="s">
        <v>22</v>
      </c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/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/>
      <c r="D161" s="73" t="s">
        <v>100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5"/>
      <c r="V161" s="9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>
        <f>IF(ISTEXT(D162),MAX($C$10:C161)+1,"")</f>
        <v>94</v>
      </c>
      <c r="D162" s="70" t="s">
        <v>587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 t="s">
        <v>72</v>
      </c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>
        <f>IF(ISTEXT(D163),MAX($C$10:C162)+1,"")</f>
        <v>95</v>
      </c>
      <c r="D163" s="70" t="s">
        <v>590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 t="s">
        <v>22</v>
      </c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>
        <f>IF(ISTEXT(D164),MAX($C$10:C163)+1,"")</f>
        <v>96</v>
      </c>
      <c r="D164" s="70" t="s">
        <v>591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 t="s">
        <v>22</v>
      </c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>
        <f>IF(ISTEXT(D165),MAX($C$10:C164)+1,"")</f>
        <v>97</v>
      </c>
      <c r="D165" s="70" t="s">
        <v>592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 t="s">
        <v>22</v>
      </c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>
        <f>IF(ISTEXT(D166),MAX($C$10:C165)+1,"")</f>
        <v>98</v>
      </c>
      <c r="D166" s="70" t="s">
        <v>593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 t="s">
        <v>22</v>
      </c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>
        <f>IF(ISTEXT(D167),MAX($C$10:C166)+1,"")</f>
        <v>99</v>
      </c>
      <c r="D167" s="70" t="s">
        <v>594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 t="s">
        <v>22</v>
      </c>
      <c r="W167" s="14"/>
      <c r="X167" s="14"/>
      <c r="Y167" s="14"/>
      <c r="Z167" s="14"/>
    </row>
    <row r="168" spans="2:26" s="15" customFormat="1" ht="16.149999999999999" customHeight="1" thickBot="1" x14ac:dyDescent="0.3">
      <c r="B168" s="8"/>
      <c r="C168" s="11">
        <f>IF(ISTEXT(D168),MAX($C$10:C167)+1,"")</f>
        <v>100</v>
      </c>
      <c r="D168" s="70" t="s">
        <v>595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 t="s">
        <v>22</v>
      </c>
      <c r="W168" s="14"/>
      <c r="X168" s="14"/>
      <c r="Y168" s="14"/>
      <c r="Z168" s="14"/>
    </row>
    <row r="169" spans="2:26" s="15" customFormat="1" ht="16.149999999999999" customHeight="1" thickBot="1" x14ac:dyDescent="0.3">
      <c r="B169" s="8"/>
      <c r="C169" s="11">
        <f>IF(ISTEXT(D169),MAX($C$10:C168)+1,"")</f>
        <v>101</v>
      </c>
      <c r="D169" s="70" t="s">
        <v>596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 t="s">
        <v>22</v>
      </c>
      <c r="W169" s="14"/>
      <c r="X169" s="14"/>
      <c r="Y169" s="14"/>
      <c r="Z169" s="14"/>
    </row>
    <row r="170" spans="2:26" s="15" customFormat="1" ht="16.149999999999999" customHeight="1" x14ac:dyDescent="0.25">
      <c r="B170" s="8"/>
      <c r="C170" s="11">
        <f>IF(ISTEXT(D170),MAX($C$10:C169)+1,"")</f>
        <v>102</v>
      </c>
      <c r="D170" s="70" t="s">
        <v>597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 t="s">
        <v>76</v>
      </c>
      <c r="W170" s="14"/>
      <c r="X170" s="14"/>
      <c r="Y170" s="14"/>
      <c r="Z170" s="14"/>
    </row>
    <row r="171" spans="2:26" s="15" customFormat="1" ht="16.149999999999999" customHeight="1" x14ac:dyDescent="0.25">
      <c r="B171" s="8"/>
      <c r="C171" s="11">
        <f>IF(ISTEXT(D171),MAX($C$10:C170)+1,"")</f>
        <v>103</v>
      </c>
      <c r="D171" s="70" t="s">
        <v>598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 t="s">
        <v>76</v>
      </c>
      <c r="W171" s="14"/>
      <c r="X171" s="14"/>
      <c r="Y171" s="14"/>
      <c r="Z171" s="14"/>
    </row>
    <row r="172" spans="2:26" s="15" customFormat="1" ht="16.149999999999999" customHeight="1" x14ac:dyDescent="0.25">
      <c r="B172" s="8"/>
      <c r="C172" s="11" t="str">
        <f>IF(ISTEXT(D172),MAX($C$10:C171)+1,"")</f>
        <v/>
      </c>
      <c r="D172" s="70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/>
      <c r="W172" s="14"/>
      <c r="X172" s="14"/>
      <c r="Y172" s="14"/>
      <c r="Z172" s="14"/>
    </row>
    <row r="173" spans="2:26" s="15" customFormat="1" ht="16.149999999999999" customHeight="1" x14ac:dyDescent="0.25">
      <c r="B173" s="8"/>
      <c r="C173" s="11"/>
      <c r="D173" s="73" t="s">
        <v>120</v>
      </c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5"/>
      <c r="V173" s="9"/>
      <c r="W173" s="14"/>
      <c r="X173" s="14"/>
      <c r="Y173" s="14"/>
      <c r="Z173" s="14"/>
    </row>
    <row r="174" spans="2:26" s="15" customFormat="1" ht="16.149999999999999" customHeight="1" x14ac:dyDescent="0.25">
      <c r="B174" s="8"/>
      <c r="C174" s="11">
        <f>IF(ISTEXT(D174),MAX($C$10:C172)+1,"")</f>
        <v>104</v>
      </c>
      <c r="D174" s="70" t="s">
        <v>599</v>
      </c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 t="s">
        <v>22</v>
      </c>
      <c r="W174" s="14"/>
      <c r="X174" s="14"/>
      <c r="Y174" s="14"/>
      <c r="Z174" s="14"/>
    </row>
    <row r="175" spans="2:26" s="15" customFormat="1" ht="16.149999999999999" customHeight="1" x14ac:dyDescent="0.25">
      <c r="B175" s="8"/>
      <c r="C175" s="11">
        <f>IF(ISTEXT(D175),MAX($C$10:C174)+1,"")</f>
        <v>105</v>
      </c>
      <c r="D175" s="70" t="s">
        <v>600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 t="s">
        <v>76</v>
      </c>
      <c r="W175" s="14"/>
      <c r="X175" s="14"/>
      <c r="Y175" s="14"/>
      <c r="Z175" s="14"/>
    </row>
    <row r="176" spans="2:26" s="15" customFormat="1" ht="16.149999999999999" customHeight="1" x14ac:dyDescent="0.25">
      <c r="B176" s="8"/>
      <c r="C176" s="11" t="str">
        <f>IF(ISTEXT(D176),MAX($C$10:C175)+1,"")</f>
        <v/>
      </c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/>
      <c r="W176" s="14"/>
      <c r="X176" s="14"/>
      <c r="Y176" s="14"/>
      <c r="Z176" s="14"/>
    </row>
    <row r="177" spans="2:26" ht="15" customHeight="1" x14ac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</row>
    <row r="178" spans="2:26" x14ac:dyDescent="0.25">
      <c r="B178" s="20"/>
      <c r="C178" s="21"/>
      <c r="O178" s="22"/>
      <c r="P178" s="22"/>
      <c r="Q178" s="23"/>
      <c r="R178" s="23"/>
      <c r="S178" s="22"/>
      <c r="T178" s="22"/>
    </row>
    <row r="179" spans="2:26" ht="15.75" thickBot="1" x14ac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</row>
    <row r="180" spans="2:26" ht="15" customHeight="1" x14ac:dyDescent="0.25">
      <c r="C180" s="29"/>
      <c r="I180" s="30"/>
      <c r="O180" s="65"/>
      <c r="P180" s="65"/>
      <c r="Q180" s="60"/>
      <c r="R180" s="60"/>
      <c r="S180" s="65"/>
      <c r="T180" s="65"/>
    </row>
    <row r="181" spans="2:26" ht="15.75" thickBot="1" x14ac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">
        <v>532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/>
      <c r="W181" s="93"/>
      <c r="X181" s="93"/>
      <c r="Y181" s="93"/>
    </row>
    <row r="182" spans="2:26" ht="15" customHeight="1" x14ac:dyDescent="0.25"/>
    <row r="183" spans="2:26" ht="15" customHeight="1" thickBot="1" x14ac:dyDescent="0.3"/>
    <row r="184" spans="2:26" ht="15" customHeight="1" x14ac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2" t="s">
        <v>126</v>
      </c>
      <c r="X184" s="79"/>
      <c r="Y184" s="79"/>
      <c r="Z184" s="79"/>
    </row>
    <row r="185" spans="2:26" ht="15" customHeight="1" thickBot="1" x14ac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</row>
    <row r="186" spans="2:26" ht="10.5" customHeight="1" thickBot="1" x14ac:dyDescent="0.3"/>
    <row r="187" spans="2:26" ht="15" customHeight="1" thickBot="1" x14ac:dyDescent="0.3">
      <c r="J187" s="79" t="s">
        <v>2</v>
      </c>
      <c r="K187" s="79"/>
      <c r="L187" s="79"/>
      <c r="M187" s="80" t="str">
        <f>M4</f>
        <v>C1007</v>
      </c>
      <c r="N187" s="80"/>
      <c r="O187" s="80"/>
      <c r="P187" s="80"/>
    </row>
    <row r="188" spans="2:26" s="15" customFormat="1" ht="15" customHeight="1" thickBot="1" x14ac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/>
    </row>
    <row r="189" spans="2:26" s="15" customFormat="1" ht="8.25" customHeight="1" thickBot="1" x14ac:dyDescent="0.3">
      <c r="M189" s="38"/>
      <c r="N189" s="38"/>
      <c r="O189" s="38"/>
      <c r="P189" s="38"/>
    </row>
    <row r="190" spans="2:26" s="15" customFormat="1" ht="15" customHeight="1" thickBot="1" x14ac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532</v>
      </c>
      <c r="N190" s="86"/>
      <c r="O190" s="86"/>
      <c r="P190" s="86"/>
      <c r="Q190" s="86"/>
      <c r="R190" s="86"/>
      <c r="S190" s="87"/>
      <c r="T190" s="60"/>
      <c r="U190" s="60"/>
      <c r="V190" s="60"/>
      <c r="W190" s="60"/>
      <c r="X190" s="23"/>
    </row>
    <row r="191" spans="2:26" s="15" customFormat="1" ht="10.5" customHeight="1" thickBot="1" x14ac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2:26" s="15" customFormat="1" ht="21" customHeight="1" thickBot="1" x14ac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 t="s">
        <v>8</v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x14ac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/>
      <c r="W193" s="14"/>
      <c r="X193" s="14"/>
      <c r="Y193" s="14"/>
      <c r="Z193" s="14"/>
    </row>
    <row r="194" spans="2:26" s="15" customFormat="1" ht="16.149999999999999" customHeight="1" thickBot="1" x14ac:dyDescent="0.3">
      <c r="B194" s="8"/>
      <c r="C194" s="11">
        <f>IF(ISTEXT(D194),MAX($C$10:C193),"")</f>
        <v>105</v>
      </c>
      <c r="D194" s="70" t="s">
        <v>601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 t="s">
        <v>72</v>
      </c>
      <c r="W194" s="14"/>
      <c r="X194" s="14"/>
      <c r="Y194" s="14"/>
      <c r="Z194" s="14"/>
    </row>
    <row r="195" spans="2:26" s="15" customFormat="1" ht="16.149999999999999" customHeight="1" thickBot="1" x14ac:dyDescent="0.3">
      <c r="B195" s="8"/>
      <c r="C195" s="11">
        <f>IF(ISTEXT(D195),MAX($C$10:C194)+1,"")</f>
        <v>106</v>
      </c>
      <c r="D195" s="66" t="s">
        <v>602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 t="s">
        <v>129</v>
      </c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IF(ISTEXT(D196),MAX($C$10:C195)+1,"")</f>
        <v>107</v>
      </c>
      <c r="D196" s="66" t="s">
        <v>603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 t="s">
        <v>22</v>
      </c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>
        <f>IF(ISTEXT(D197),MAX($C$10:C196)+1,"")</f>
        <v>108</v>
      </c>
      <c r="D197" s="66" t="s">
        <v>604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 t="s">
        <v>22</v>
      </c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>
        <f>IF(ISTEXT(D198),MAX($C$10:C197)+1,"")</f>
        <v>109</v>
      </c>
      <c r="D198" s="66" t="s">
        <v>605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 t="s">
        <v>22</v>
      </c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>
        <f>IF(ISTEXT(D199),MAX($C$10:C198)+1,"")</f>
        <v>110</v>
      </c>
      <c r="D199" s="70" t="s">
        <v>606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 t="s">
        <v>22</v>
      </c>
      <c r="W199" s="14"/>
      <c r="X199" s="14"/>
      <c r="Y199" s="14"/>
      <c r="Z199" s="14"/>
    </row>
    <row r="200" spans="2:26" ht="16.149999999999999" customHeight="1" thickBot="1" x14ac:dyDescent="0.3">
      <c r="B200" s="8"/>
      <c r="C200" s="11">
        <f>IF(ISTEXT(D200),MAX($C$10:C199)+1,"")</f>
        <v>111</v>
      </c>
      <c r="D200" s="66" t="s">
        <v>607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 t="s">
        <v>72</v>
      </c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>
        <f>IF(ISTEXT(D201),MAX($C$10:C200)+1,"")</f>
        <v>112</v>
      </c>
      <c r="D201" s="66" t="s">
        <v>608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 t="s">
        <v>72</v>
      </c>
      <c r="W201" s="14"/>
      <c r="X201" s="14"/>
      <c r="Y201" s="14"/>
      <c r="Z201" s="14"/>
    </row>
    <row r="202" spans="2:26" s="15" customFormat="1" ht="16.149999999999999" customHeight="1" thickBot="1" x14ac:dyDescent="0.3">
      <c r="B202" s="8"/>
      <c r="C202" s="11">
        <f>IF(ISTEXT(D202),MAX($C$10:C201)+1,"")</f>
        <v>113</v>
      </c>
      <c r="D202" s="70" t="s">
        <v>609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 t="s">
        <v>129</v>
      </c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>
        <f>IF(ISTEXT(D203),MAX($C$10:C202)+1,"")</f>
        <v>114</v>
      </c>
      <c r="D203" s="70" t="s">
        <v>610</v>
      </c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 t="s">
        <v>22</v>
      </c>
      <c r="W203" s="14"/>
      <c r="X203" s="14"/>
      <c r="Y203" s="14"/>
      <c r="Z203" s="14"/>
    </row>
    <row r="204" spans="2:26" s="15" customFormat="1" ht="15.95" customHeight="1" thickBot="1" x14ac:dyDescent="0.3">
      <c r="B204" s="8"/>
      <c r="C204" s="11">
        <f>IF(ISTEXT(D204),MAX($C$10:C203)+1,"")</f>
        <v>115</v>
      </c>
      <c r="D204" s="70" t="s">
        <v>145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 t="s">
        <v>22</v>
      </c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>
        <f>IF(ISTEXT(D205),MAX($C$10:C204)+1,"")</f>
        <v>116</v>
      </c>
      <c r="D205" s="66" t="s">
        <v>611</v>
      </c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 t="s">
        <v>22</v>
      </c>
      <c r="W205" s="14"/>
      <c r="X205" s="14"/>
      <c r="Y205" s="14"/>
      <c r="Z205" s="14"/>
    </row>
    <row r="206" spans="2:26" s="15" customFormat="1" ht="16.149999999999999" customHeight="1" thickBot="1" x14ac:dyDescent="0.3">
      <c r="B206" s="8"/>
      <c r="C206" s="11">
        <f>IF(ISTEXT(D206),MAX($C$10:C205)+1,"")</f>
        <v>117</v>
      </c>
      <c r="D206" s="70" t="s">
        <v>612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 t="s">
        <v>22</v>
      </c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>
        <f>IF(ISTEXT(D207),MAX($C$10:C206)+1,"")</f>
        <v>118</v>
      </c>
      <c r="D207" s="66" t="s">
        <v>613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 t="s">
        <v>22</v>
      </c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>
        <f>IF(ISTEXT(D208),MAX($C$10:C207)+1,"")</f>
        <v>119</v>
      </c>
      <c r="D208" s="66" t="s">
        <v>614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 t="s">
        <v>22</v>
      </c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>
        <f>IF(ISTEXT(D209),MAX($C$10:C208)+1,"")</f>
        <v>120</v>
      </c>
      <c r="D209" s="66" t="s">
        <v>615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 t="s">
        <v>22</v>
      </c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>
        <f>IF(ISTEXT(D210),MAX($C$10:C209)+1,"")</f>
        <v>121</v>
      </c>
      <c r="D210" s="70" t="s">
        <v>616</v>
      </c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 t="s">
        <v>22</v>
      </c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>
        <f>IF(ISTEXT(D211),MAX($C$10:C210)+1,"")</f>
        <v>122</v>
      </c>
      <c r="D211" s="70" t="s">
        <v>617</v>
      </c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 t="s">
        <v>28</v>
      </c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>
        <f>IF(ISTEXT(D212),MAX($C$10:C211)+1,"")</f>
        <v>123</v>
      </c>
      <c r="D212" s="140" t="s">
        <v>618</v>
      </c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 t="s">
        <v>22</v>
      </c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>
        <f>IF(ISTEXT(D213),MAX($C$10:C212)+1,"")</f>
        <v>124</v>
      </c>
      <c r="D213" s="66" t="s">
        <v>296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 t="s">
        <v>22</v>
      </c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>
        <f>IF(ISTEXT(D214),MAX($C$10:C213)+1,"")</f>
        <v>125</v>
      </c>
      <c r="D214" s="66" t="s">
        <v>619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 t="s">
        <v>620</v>
      </c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/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126</v>
      </c>
      <c r="D216" s="66" t="s">
        <v>621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 t="s">
        <v>22</v>
      </c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127</v>
      </c>
      <c r="D217" s="66" t="s">
        <v>622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 t="s">
        <v>72</v>
      </c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128</v>
      </c>
      <c r="D218" s="66" t="s">
        <v>623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 t="s">
        <v>72</v>
      </c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129</v>
      </c>
      <c r="D219" s="66" t="s">
        <v>624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 t="s">
        <v>22</v>
      </c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130</v>
      </c>
      <c r="D220" s="66" t="s">
        <v>625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 t="s">
        <v>76</v>
      </c>
      <c r="W220" s="14"/>
      <c r="X220" s="14"/>
      <c r="Y220" s="14"/>
      <c r="Z220" s="14"/>
    </row>
    <row r="221" spans="2:26" s="15" customFormat="1" ht="16.149999999999999" customHeight="1" thickBot="1" x14ac:dyDescent="0.3">
      <c r="B221" s="8"/>
      <c r="C221" s="11">
        <f>IF(ISTEXT(D221),MAX($C$10:C220)+1,"")</f>
        <v>131</v>
      </c>
      <c r="D221" s="66" t="s">
        <v>626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 t="s">
        <v>22</v>
      </c>
      <c r="W221" s="14"/>
      <c r="X221" s="14"/>
      <c r="Y221" s="14"/>
      <c r="Z221" s="14"/>
    </row>
    <row r="222" spans="2:26" s="15" customFormat="1" ht="16.149999999999999" customHeight="1" thickBot="1" x14ac:dyDescent="0.3">
      <c r="B222" s="8"/>
      <c r="C222" s="11">
        <f>IF(ISTEXT(D222),MAX($C$10:C221)+1,"")</f>
        <v>132</v>
      </c>
      <c r="D222" s="66" t="s">
        <v>276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 t="s">
        <v>22</v>
      </c>
      <c r="W222" s="14"/>
      <c r="X222" s="14"/>
      <c r="Y222" s="14"/>
      <c r="Z222" s="14"/>
    </row>
    <row r="223" spans="2:26" s="15" customFormat="1" ht="16.149999999999999" customHeight="1" thickBot="1" x14ac:dyDescent="0.3">
      <c r="B223" s="8"/>
      <c r="C223" s="11">
        <f>IF(ISTEXT(D223),MAX($C$10:C222)+1,"")</f>
        <v>133</v>
      </c>
      <c r="D223" s="66" t="s">
        <v>627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 t="s">
        <v>22</v>
      </c>
      <c r="W223" s="14"/>
      <c r="X223" s="14"/>
      <c r="Y223" s="14"/>
      <c r="Z223" s="14"/>
    </row>
    <row r="224" spans="2:26" s="15" customFormat="1" ht="16.149999999999999" customHeight="1" thickBot="1" x14ac:dyDescent="0.3">
      <c r="B224" s="8"/>
      <c r="C224" s="11">
        <f>IF(ISTEXT(D224),MAX($C$10:C223)+1,"")</f>
        <v>134</v>
      </c>
      <c r="D224" s="66" t="s">
        <v>628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 t="s">
        <v>22</v>
      </c>
      <c r="W224" s="14"/>
      <c r="X224" s="14"/>
      <c r="Y224" s="14"/>
      <c r="Z224" s="14"/>
    </row>
    <row r="225" spans="2:26" s="15" customFormat="1" ht="16.149999999999999" customHeight="1" thickBot="1" x14ac:dyDescent="0.3">
      <c r="B225" s="8"/>
      <c r="C225" s="11" t="str">
        <f>IF(ISTEXT(D225),MAX($C$10:C224)+1,"")</f>
        <v/>
      </c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/>
      <c r="W225" s="14"/>
      <c r="X225" s="14"/>
      <c r="Y225" s="14"/>
      <c r="Z225" s="14"/>
    </row>
    <row r="226" spans="2:26" s="15" customFormat="1" ht="16.149999999999999" customHeight="1" thickBot="1" x14ac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/>
      <c r="W226" s="14"/>
      <c r="X226" s="14"/>
      <c r="Y226" s="14"/>
      <c r="Z226" s="14"/>
    </row>
    <row r="227" spans="2:26" s="15" customFormat="1" ht="16.149999999999999" customHeight="1" thickBot="1" x14ac:dyDescent="0.3">
      <c r="B227" s="8"/>
      <c r="C227" s="11"/>
      <c r="D227" s="150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/>
      <c r="W227" s="14"/>
      <c r="X227" s="14"/>
      <c r="Y227" s="14"/>
      <c r="Z227" s="14"/>
    </row>
    <row r="228" spans="2:26" s="15" customFormat="1" ht="16.149999999999999" customHeight="1" thickBot="1" x14ac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/>
      <c r="W228" s="14"/>
      <c r="X228" s="14"/>
      <c r="Y228" s="14"/>
      <c r="Z228" s="14"/>
    </row>
    <row r="229" spans="2:26" s="15" customFormat="1" ht="16.149999999999999" customHeight="1" thickBot="1" x14ac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/>
      <c r="W229" s="14"/>
      <c r="X229" s="14"/>
      <c r="Y229" s="14"/>
      <c r="Z229" s="14"/>
    </row>
    <row r="230" spans="2:26" ht="15" customHeight="1" x14ac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</row>
    <row r="231" spans="2:26" x14ac:dyDescent="0.25">
      <c r="B231" s="20"/>
      <c r="C231" s="21"/>
      <c r="O231" s="22"/>
      <c r="P231" s="22"/>
      <c r="Q231" s="23"/>
      <c r="R231" s="23"/>
      <c r="S231" s="22"/>
      <c r="T231" s="22"/>
    </row>
    <row r="232" spans="2:26" ht="15.75" thickBot="1" x14ac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</row>
    <row r="233" spans="2:26" ht="15" customHeight="1" x14ac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</row>
    <row r="234" spans="2:26" ht="18" customHeight="1" thickBot="1" x14ac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">
        <v>532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/>
      <c r="W234" s="63"/>
      <c r="X234" s="62"/>
      <c r="Y234" s="62"/>
    </row>
    <row r="235" spans="2:26" ht="18" customHeight="1" thickBot="1" x14ac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/>
      <c r="W235" s="1"/>
      <c r="X235" s="4"/>
      <c r="Y235" s="4"/>
    </row>
    <row r="236" spans="2:26" ht="18" customHeight="1" thickBot="1" x14ac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/>
      <c r="W236" s="1"/>
      <c r="X236" s="4"/>
      <c r="Y236" s="4"/>
    </row>
    <row r="237" spans="2:26" ht="15" customHeight="1" x14ac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2" t="s">
        <v>159</v>
      </c>
      <c r="X237" s="79"/>
      <c r="Y237" s="79"/>
      <c r="Z237" s="79"/>
    </row>
    <row r="238" spans="2:26" ht="15" customHeight="1" thickBot="1" x14ac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</row>
    <row r="239" spans="2:26" ht="10.5" customHeight="1" thickBot="1" x14ac:dyDescent="0.3"/>
    <row r="240" spans="2:26" ht="15" customHeight="1" thickBot="1" x14ac:dyDescent="0.3">
      <c r="J240" s="79" t="s">
        <v>2</v>
      </c>
      <c r="K240" s="79"/>
      <c r="L240" s="79"/>
      <c r="M240" s="80" t="str">
        <f>M4</f>
        <v>C1007</v>
      </c>
      <c r="N240" s="80"/>
      <c r="O240" s="80"/>
      <c r="P240" s="80"/>
    </row>
    <row r="241" spans="2:26" s="15" customFormat="1" ht="15" customHeight="1" thickBot="1" x14ac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/>
    </row>
    <row r="242" spans="2:26" s="15" customFormat="1" ht="8.25" customHeight="1" thickBot="1" x14ac:dyDescent="0.3">
      <c r="M242" s="38"/>
      <c r="N242" s="38"/>
      <c r="O242" s="38"/>
      <c r="P242" s="38"/>
    </row>
    <row r="243" spans="2:26" s="15" customFormat="1" ht="15" customHeight="1" thickBot="1" x14ac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532</v>
      </c>
      <c r="N243" s="86"/>
      <c r="O243" s="86"/>
      <c r="P243" s="86"/>
      <c r="Q243" s="86"/>
      <c r="R243" s="86"/>
      <c r="S243" s="87"/>
      <c r="T243" s="60"/>
      <c r="U243" s="60"/>
      <c r="V243" s="60"/>
      <c r="W243" s="60"/>
      <c r="X243" s="23"/>
    </row>
    <row r="244" spans="2:26" s="15" customFormat="1" ht="10.5" customHeight="1" thickBot="1" x14ac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2:26" s="15" customFormat="1" ht="21" customHeight="1" thickBot="1" x14ac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 t="s">
        <v>8</v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x14ac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/>
      <c r="W246" s="14"/>
      <c r="X246" s="14"/>
      <c r="Y246" s="14"/>
      <c r="Z246" s="14"/>
    </row>
    <row r="247" spans="2:26" s="15" customFormat="1" ht="16.149999999999999" customHeight="1" thickBot="1" x14ac:dyDescent="0.3">
      <c r="B247" s="8"/>
      <c r="C247" s="11">
        <f>IF(ISTEXT(D247),MAX($C$10:C246)+1,"")</f>
        <v>135</v>
      </c>
      <c r="D247" s="66" t="s">
        <v>629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 t="s">
        <v>22</v>
      </c>
      <c r="W247" s="14"/>
      <c r="X247" s="14"/>
      <c r="Y247" s="14"/>
      <c r="Z247" s="14"/>
    </row>
    <row r="248" spans="2:26" s="15" customFormat="1" ht="16.149999999999999" customHeight="1" thickBot="1" x14ac:dyDescent="0.3">
      <c r="B248" s="8"/>
      <c r="C248" s="11">
        <f>IF(ISTEXT(D248),MAX($C$10:C247)+1,"")</f>
        <v>136</v>
      </c>
      <c r="D248" s="66" t="s">
        <v>630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 t="s">
        <v>72</v>
      </c>
      <c r="W248" s="14"/>
      <c r="X248" s="14"/>
      <c r="Y248" s="14"/>
      <c r="Z248" s="14"/>
    </row>
    <row r="249" spans="2:26" s="15" customFormat="1" ht="16.149999999999999" customHeight="1" thickBot="1" x14ac:dyDescent="0.3">
      <c r="B249" s="8"/>
      <c r="C249" s="11">
        <f>IF(ISTEXT(D249),MAX($C$10:C248)+1,"")</f>
        <v>137</v>
      </c>
      <c r="D249" s="66" t="s">
        <v>631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 t="s">
        <v>76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8"/>
      <c r="C250" s="11">
        <f>IF(ISTEXT(D250),MAX($C$10:C249)+1,"")</f>
        <v>138</v>
      </c>
      <c r="D250" s="66" t="s">
        <v>632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">
        <v>22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44" t="str">
        <f>IF(ISTEXT(D251),MAX($C$10:C250)+1,"")</f>
        <v/>
      </c>
      <c r="D251" s="66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/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44" t="str">
        <f>IF(ISTEXT(D252),MAX($C$10:C251)+1,"")</f>
        <v/>
      </c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/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 t="str">
        <f>IF(ISTEXT(D253),MAX($C$10:C252)+1,"")</f>
        <v/>
      </c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/>
      <c r="W253" s="14"/>
      <c r="X253" s="14"/>
      <c r="Y253" s="14"/>
      <c r="Z253" s="14"/>
    </row>
    <row r="254" spans="2:26" ht="16.149999999999999" customHeight="1" thickBot="1" x14ac:dyDescent="0.3">
      <c r="B254" s="8"/>
      <c r="C254" s="44" t="str">
        <f>IF(ISTEXT(D254),MAX($C$10:C253)+1,"")</f>
        <v/>
      </c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/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 t="str">
        <f>IF(ISTEXT(D255),MAX($C$10:C254)+1,"")</f>
        <v/>
      </c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/>
      <c r="W255" s="14"/>
      <c r="X255" s="14"/>
      <c r="Y255" s="14"/>
      <c r="Z255" s="14"/>
    </row>
    <row r="256" spans="2:26" s="15" customFormat="1" ht="16.149999999999999" customHeight="1" thickBot="1" x14ac:dyDescent="0.3">
      <c r="B256" s="13"/>
      <c r="C256" s="44" t="str">
        <f>IF(ISTEXT(D256),MAX($C$10:C255)+1,"")</f>
        <v/>
      </c>
      <c r="D256" s="66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/>
      <c r="W256" s="14"/>
      <c r="X256" s="14"/>
      <c r="Y256" s="14"/>
      <c r="Z256" s="14"/>
    </row>
    <row r="257" spans="2:26" s="15" customFormat="1" ht="16.149999999999999" customHeight="1" thickBot="1" x14ac:dyDescent="0.3">
      <c r="B257" s="13"/>
      <c r="C257" s="44" t="str">
        <f>IF(ISTEXT(D257),MAX($C$10:C256)+1,"")</f>
        <v/>
      </c>
      <c r="D257" s="70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/>
      <c r="W257" s="14"/>
      <c r="X257" s="14"/>
      <c r="Y257" s="14"/>
      <c r="Z257" s="14"/>
    </row>
    <row r="258" spans="2:26" s="15" customFormat="1" ht="15.95" customHeight="1" thickBot="1" x14ac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/>
      <c r="W258" s="14"/>
      <c r="X258" s="14"/>
      <c r="Y258" s="14"/>
      <c r="Z258" s="14"/>
    </row>
    <row r="259" spans="2:26" s="15" customFormat="1" ht="16.149999999999999" customHeight="1" thickBot="1" x14ac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/>
      <c r="W259" s="14"/>
      <c r="X259" s="14"/>
      <c r="Y259" s="14"/>
      <c r="Z259" s="14"/>
    </row>
    <row r="260" spans="2:26" s="15" customFormat="1" ht="16.149999999999999" customHeight="1" thickBot="1" x14ac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/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11"/>
      <c r="D261" s="73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5"/>
      <c r="V261" s="10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11"/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>
        <f>IF(ISTEXT(D265),MAX($C$10:C264)+1,"")</f>
        <v>139</v>
      </c>
      <c r="D265" s="70" t="s">
        <v>633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 t="s">
        <v>129</v>
      </c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>
        <f>IF(ISTEXT(D266),MAX($C$10:C265)+1,"")</f>
        <v>140</v>
      </c>
      <c r="D266" s="66" t="s">
        <v>634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 t="s">
        <v>22</v>
      </c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>
        <f>IF(ISTEXT(D267),MAX($C$10:C266)+1,"")</f>
        <v>141</v>
      </c>
      <c r="D267" s="70" t="s">
        <v>635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 t="s">
        <v>22</v>
      </c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>
        <f>IF(ISTEXT(D268),MAX($C$10:C267)+1,"")</f>
        <v>142</v>
      </c>
      <c r="D268" s="70" t="s">
        <v>636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 t="s">
        <v>22</v>
      </c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>
        <f>IF(ISTEXT(D269),MAX($C$10:C268)+1,"")</f>
        <v>143</v>
      </c>
      <c r="D269" s="70" t="s">
        <v>637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 t="s">
        <v>72</v>
      </c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>
        <f>IF(ISTEXT(D270),MAX($C$10:C269)+1,"")</f>
        <v>144</v>
      </c>
      <c r="D270" s="70" t="s">
        <v>638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 t="s">
        <v>72</v>
      </c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145</v>
      </c>
      <c r="D271" s="70" t="s">
        <v>639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 t="s">
        <v>72</v>
      </c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146</v>
      </c>
      <c r="D272" s="70" t="s">
        <v>640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 t="s">
        <v>72</v>
      </c>
      <c r="W272" s="14"/>
      <c r="X272" s="14"/>
      <c r="Y272" s="14"/>
      <c r="Z272" s="14"/>
    </row>
    <row r="273" spans="2:26" s="15" customFormat="1" ht="16.149999999999999" customHeight="1" thickBot="1" x14ac:dyDescent="0.3">
      <c r="B273" s="8"/>
      <c r="C273" s="11">
        <f>IF(ISTEXT(D273),MAX($C$10:C272)+1,"")</f>
        <v>147</v>
      </c>
      <c r="D273" s="66" t="s">
        <v>641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 t="s">
        <v>642</v>
      </c>
      <c r="W273" s="14"/>
      <c r="X273" s="14"/>
      <c r="Y273" s="14"/>
      <c r="Z273" s="14"/>
    </row>
    <row r="274" spans="2:26" s="15" customFormat="1" ht="16.149999999999999" customHeight="1" thickBot="1" x14ac:dyDescent="0.3">
      <c r="B274" s="8"/>
      <c r="C274" s="11">
        <f>IF(ISTEXT(D274),MAX($C$10:C273)+1,"")</f>
        <v>148</v>
      </c>
      <c r="D274" s="140" t="s">
        <v>643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 t="s">
        <v>22</v>
      </c>
      <c r="W274" s="14"/>
      <c r="X274" s="14"/>
      <c r="Y274" s="14"/>
      <c r="Z274" s="14"/>
    </row>
    <row r="275" spans="2:26" s="15" customFormat="1" ht="16.149999999999999" customHeight="1" thickBot="1" x14ac:dyDescent="0.3">
      <c r="B275" s="8"/>
      <c r="C275" s="11">
        <f>IF(ISTEXT(D275),MAX($C$10:C274)+1,"")</f>
        <v>149</v>
      </c>
      <c r="D275" s="137" t="s">
        <v>644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 t="s">
        <v>129</v>
      </c>
      <c r="W275" s="14"/>
      <c r="X275" s="14"/>
      <c r="Y275" s="14"/>
      <c r="Z275" s="14"/>
    </row>
    <row r="276" spans="2:26" s="15" customFormat="1" ht="16.149999999999999" customHeight="1" thickBot="1" x14ac:dyDescent="0.3">
      <c r="B276" s="8"/>
      <c r="C276" s="11">
        <f>IF(ISTEXT(D276),MAX($C$10:C275)+1,"")</f>
        <v>150</v>
      </c>
      <c r="D276" s="140" t="s">
        <v>645</v>
      </c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 t="s">
        <v>129</v>
      </c>
      <c r="W276" s="14"/>
      <c r="X276" s="14"/>
      <c r="Y276" s="14"/>
      <c r="Z276" s="14"/>
    </row>
    <row r="277" spans="2:26" s="15" customFormat="1" ht="16.149999999999999" customHeight="1" x14ac:dyDescent="0.25">
      <c r="B277" s="8"/>
      <c r="C277" s="11">
        <f>IF(ISTEXT(D277),MAX($C$10:C276)+1,"")</f>
        <v>151</v>
      </c>
      <c r="D277" s="66" t="s">
        <v>298</v>
      </c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 t="s">
        <v>22</v>
      </c>
      <c r="W277" s="14"/>
      <c r="X277" s="14"/>
      <c r="Y277" s="14"/>
      <c r="Z277" s="14"/>
    </row>
    <row r="278" spans="2:26" s="15" customFormat="1" ht="16.149999999999999" customHeight="1" x14ac:dyDescent="0.25">
      <c r="B278" s="8"/>
      <c r="C278" s="11">
        <f>IF(ISTEXT(D278),MAX($C$10:C277)+1,"")</f>
        <v>152</v>
      </c>
      <c r="D278" s="66" t="s">
        <v>646</v>
      </c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 t="s">
        <v>22</v>
      </c>
      <c r="W278" s="14"/>
      <c r="X278" s="14"/>
      <c r="Y278" s="14"/>
      <c r="Z278" s="14"/>
    </row>
    <row r="279" spans="2:26" s="15" customFormat="1" ht="16.149999999999999" customHeight="1" x14ac:dyDescent="0.25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/>
      <c r="W279" s="14"/>
      <c r="X279" s="14"/>
      <c r="Y279" s="14"/>
      <c r="Z279" s="14"/>
    </row>
    <row r="280" spans="2:26" s="15" customFormat="1" ht="16.149999999999999" customHeight="1" thickBot="1" x14ac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/>
      <c r="W280" s="14"/>
      <c r="X280" s="14"/>
      <c r="Y280" s="14"/>
      <c r="Z280" s="14"/>
    </row>
    <row r="281" spans="2:26" s="15" customFormat="1" ht="16.149999999999999" customHeight="1" thickBot="1" x14ac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/>
      <c r="W281" s="14"/>
      <c r="X281" s="14"/>
      <c r="Y281" s="14"/>
      <c r="Z281" s="14"/>
    </row>
    <row r="282" spans="2:26" s="15" customFormat="1" ht="16.149999999999999" customHeight="1" thickBot="1" x14ac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/>
      <c r="W282" s="14"/>
      <c r="X282" s="14"/>
      <c r="Y282" s="14"/>
      <c r="Z282" s="14"/>
    </row>
    <row r="283" spans="2:26" s="15" customFormat="1" ht="16.149999999999999" customHeight="1" thickBot="1" x14ac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/>
      <c r="W283" s="14"/>
      <c r="X283" s="14"/>
      <c r="Y283" s="14"/>
      <c r="Z283" s="14"/>
    </row>
    <row r="284" spans="2:26" s="15" customFormat="1" ht="16.149999999999999" customHeight="1" thickBot="1" x14ac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/>
      <c r="W284" s="14"/>
      <c r="X284" s="14"/>
      <c r="Y284" s="14"/>
      <c r="Z284" s="14"/>
    </row>
    <row r="285" spans="2:26" s="15" customFormat="1" ht="16.149999999999999" customHeight="1" thickBot="1" x14ac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/>
      <c r="W285" s="14"/>
      <c r="X285" s="14"/>
      <c r="Y285" s="14"/>
      <c r="Z285" s="14"/>
    </row>
    <row r="286" spans="2:26" ht="15" customHeight="1" x14ac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</row>
    <row r="287" spans="2:26" x14ac:dyDescent="0.25">
      <c r="B287" s="20"/>
      <c r="C287" s="21"/>
      <c r="O287" s="22"/>
      <c r="P287" s="22"/>
      <c r="Q287" s="23"/>
      <c r="R287" s="23"/>
      <c r="S287" s="22"/>
      <c r="T287" s="22"/>
    </row>
    <row r="288" spans="2:26" ht="15.75" thickBot="1" x14ac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</row>
    <row r="289" spans="2:256" ht="15" customHeight="1" x14ac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</row>
    <row r="290" spans="2:256" ht="18" customHeight="1" thickBot="1" x14ac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">
        <v>532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/>
      <c r="W290" s="63"/>
      <c r="X290" s="62"/>
      <c r="Y290" s="62"/>
    </row>
    <row r="291" spans="2:256" ht="20.100000000000001" customHeight="1" x14ac:dyDescent="0.25">
      <c r="B291" s="15"/>
      <c r="C291" s="15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x14ac:dyDescent="0.25">
      <c r="B292" s="15"/>
      <c r="C292" s="15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x14ac:dyDescent="0.25">
      <c r="B293" s="15"/>
      <c r="C293" s="15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x14ac:dyDescent="0.25">
      <c r="B294" s="15"/>
      <c r="C294" s="15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x14ac:dyDescent="0.25">
      <c r="B295" s="15"/>
      <c r="C295" s="1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x14ac:dyDescent="0.25">
      <c r="B296" s="15"/>
      <c r="C296" s="15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x14ac:dyDescent="0.25">
      <c r="B297" s="15"/>
      <c r="C297" s="15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x14ac:dyDescent="0.25">
      <c r="B298" s="15"/>
      <c r="C298" s="15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x14ac:dyDescent="0.25">
      <c r="B299" s="15"/>
      <c r="C299" s="15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x14ac:dyDescent="0.25"/>
    <row r="301" spans="2:256" s="15" customFormat="1" ht="15.95" customHeight="1" x14ac:dyDescent="0.25"/>
    <row r="302" spans="2:256" s="15" customFormat="1" ht="17.100000000000001" customHeight="1" x14ac:dyDescent="0.25"/>
    <row r="303" spans="2:256" s="15" customFormat="1" ht="18.95" customHeight="1" x14ac:dyDescent="0.25"/>
    <row r="304" spans="2:256" s="15" customFormat="1" ht="21" customHeight="1" x14ac:dyDescent="0.25"/>
    <row r="305" spans="2:256" s="15" customFormat="1" ht="16.149999999999999" customHeight="1" x14ac:dyDescent="0.25"/>
    <row r="306" spans="2:256" s="15" customFormat="1" ht="16.149999999999999" customHeight="1" x14ac:dyDescent="0.25"/>
    <row r="307" spans="2:256" s="15" customFormat="1" ht="16.149999999999999" customHeight="1" x14ac:dyDescent="0.25"/>
    <row r="308" spans="2:256" s="15" customFormat="1" ht="16.149999999999999" customHeight="1" x14ac:dyDescent="0.25"/>
    <row r="309" spans="2:256" s="15" customFormat="1" ht="16.149999999999999" customHeight="1" x14ac:dyDescent="0.25"/>
    <row r="310" spans="2:256" s="15" customFormat="1" ht="16.149999999999999" customHeight="1" x14ac:dyDescent="0.25"/>
    <row r="311" spans="2:256" s="15" customFormat="1" ht="16.149999999999999" customHeight="1" x14ac:dyDescent="0.25"/>
    <row r="312" spans="2:256" ht="16.149999999999999" customHeight="1" x14ac:dyDescent="0.25">
      <c r="B312" s="15"/>
      <c r="C312" s="15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x14ac:dyDescent="0.25"/>
    <row r="314" spans="2:256" s="15" customFormat="1" ht="16.149999999999999" customHeight="1" x14ac:dyDescent="0.25"/>
    <row r="315" spans="2:256" s="15" customFormat="1" ht="16.149999999999999" customHeight="1" x14ac:dyDescent="0.25"/>
    <row r="316" spans="2:256" s="15" customFormat="1" ht="16.149999999999999" customHeight="1" x14ac:dyDescent="0.25"/>
    <row r="317" spans="2:256" s="15" customFormat="1" ht="16.149999999999999" customHeight="1" x14ac:dyDescent="0.25"/>
    <row r="318" spans="2:256" s="15" customFormat="1" ht="16.149999999999999" customHeight="1" x14ac:dyDescent="0.25"/>
    <row r="319" spans="2:256" s="15" customFormat="1" ht="16.149999999999999" customHeight="1" x14ac:dyDescent="0.25"/>
    <row r="320" spans="2:256" s="15" customFormat="1" ht="16.149999999999999" customHeight="1" x14ac:dyDescent="0.25"/>
    <row r="321" s="15" customFormat="1" ht="16.149999999999999" customHeight="1" x14ac:dyDescent="0.25"/>
    <row r="322" s="15" customFormat="1" ht="16.149999999999999" customHeight="1" x14ac:dyDescent="0.25"/>
    <row r="323" s="15" customFormat="1" ht="16.149999999999999" customHeight="1" x14ac:dyDescent="0.25"/>
    <row r="324" s="15" customFormat="1" ht="16.149999999999999" customHeight="1" x14ac:dyDescent="0.25"/>
    <row r="325" s="15" customFormat="1" ht="16.149999999999999" customHeight="1" x14ac:dyDescent="0.25"/>
    <row r="326" s="15" customFormat="1" ht="16.149999999999999" customHeight="1" x14ac:dyDescent="0.25"/>
    <row r="327" s="15" customFormat="1" ht="16.149999999999999" customHeight="1" x14ac:dyDescent="0.25"/>
    <row r="328" s="15" customFormat="1" ht="16.149999999999999" customHeight="1" x14ac:dyDescent="0.25"/>
    <row r="329" s="15" customFormat="1" ht="16.149999999999999" customHeight="1" x14ac:dyDescent="0.25"/>
    <row r="330" s="15" customFormat="1" ht="16.149999999999999" customHeight="1" x14ac:dyDescent="0.25"/>
    <row r="331" s="15" customFormat="1" ht="16.149999999999999" customHeight="1" x14ac:dyDescent="0.25"/>
    <row r="332" s="15" customFormat="1" ht="16.149999999999999" customHeight="1" x14ac:dyDescent="0.25"/>
    <row r="333" s="15" customFormat="1" ht="16.149999999999999" customHeight="1" x14ac:dyDescent="0.25"/>
    <row r="334" s="15" customFormat="1" ht="16.149999999999999" customHeight="1" x14ac:dyDescent="0.25"/>
    <row r="335" s="15" customFormat="1" ht="16.149999999999999" customHeight="1" x14ac:dyDescent="0.25"/>
    <row r="336" s="15" customFormat="1" ht="16.149999999999999" customHeight="1" x14ac:dyDescent="0.25"/>
    <row r="337" spans="2:256" s="15" customFormat="1" ht="16.149999999999999" customHeight="1" x14ac:dyDescent="0.25"/>
    <row r="338" spans="2:256" s="15" customFormat="1" ht="16.149999999999999" customHeight="1" x14ac:dyDescent="0.25"/>
    <row r="339" spans="2:256" s="15" customFormat="1" ht="16.149999999999999" customHeight="1" x14ac:dyDescent="0.25"/>
    <row r="340" spans="2:256" s="15" customFormat="1" ht="16.149999999999999" customHeight="1" x14ac:dyDescent="0.25"/>
    <row r="341" spans="2:256" s="15" customFormat="1" ht="16.149999999999999" customHeight="1" x14ac:dyDescent="0.25"/>
    <row r="342" spans="2:256" s="15" customFormat="1" ht="16.149999999999999" customHeight="1" x14ac:dyDescent="0.25"/>
    <row r="343" spans="2:256" ht="15" customHeight="1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x14ac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x14ac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x14ac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x14ac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x14ac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x14ac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x14ac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x14ac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x14ac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</sheetData>
  <sheetProtection algorithmName="SHA-512" hashValue="uNXCHNgwGMuazD+aYTZhNmgrQKBZ6TtwZvVLNZybEbpB7tkJtRQM3f2NLrZAKxW3p76Tt/VftUxxNJbywj80Wg==" saltValue="ZSQszi7OX2ThRlS9ogi5jQ==" spinCount="100000" sheet="1" formatCells="0" formatColumns="0" formatRows="0" insertColumns="0" insertRows="0" insertHyperlinks="0" deleteColumns="0" deleteRows="0" sort="0" autoFilter="0" pivotTables="0"/>
  <mergeCells count="331">
    <mergeCell ref="E1:V2"/>
    <mergeCell ref="W1:Z1"/>
    <mergeCell ref="J4:L4"/>
    <mergeCell ref="M4:P4"/>
    <mergeCell ref="I5:L5"/>
    <mergeCell ref="M5:P5"/>
    <mergeCell ref="Q5:V5"/>
    <mergeCell ref="D173:U17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60:U60"/>
    <mergeCell ref="D61:U61"/>
    <mergeCell ref="D62:U62"/>
    <mergeCell ref="B63:T63"/>
    <mergeCell ref="B65:J65"/>
    <mergeCell ref="K65:P65"/>
    <mergeCell ref="Q65:R65"/>
    <mergeCell ref="S65:T65"/>
    <mergeCell ref="D54:U54"/>
    <mergeCell ref="D55:U55"/>
    <mergeCell ref="D56:U56"/>
    <mergeCell ref="D57:U57"/>
    <mergeCell ref="D58:U58"/>
    <mergeCell ref="D59:U59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80:U80"/>
    <mergeCell ref="D81:U81"/>
    <mergeCell ref="D82:U82"/>
    <mergeCell ref="D83:U83"/>
    <mergeCell ref="D84:U84"/>
    <mergeCell ref="D85:U85"/>
    <mergeCell ref="C75:L75"/>
    <mergeCell ref="M75:S75"/>
    <mergeCell ref="T75:W75"/>
    <mergeCell ref="B77:U77"/>
    <mergeCell ref="D78:U78"/>
    <mergeCell ref="D79:U79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D102:U102"/>
    <mergeCell ref="D103:U103"/>
    <mergeCell ref="D115:U115"/>
    <mergeCell ref="B116:T116"/>
    <mergeCell ref="B118:J118"/>
    <mergeCell ref="K118:P118"/>
    <mergeCell ref="Q118:R118"/>
    <mergeCell ref="S118:T118"/>
    <mergeCell ref="D113:U113"/>
    <mergeCell ref="D111:U111"/>
    <mergeCell ref="D112:U112"/>
    <mergeCell ref="D114:U114"/>
    <mergeCell ref="V120:Y120"/>
    <mergeCell ref="E123:V124"/>
    <mergeCell ref="W123:Z123"/>
    <mergeCell ref="J126:L126"/>
    <mergeCell ref="M126:P126"/>
    <mergeCell ref="I127:L127"/>
    <mergeCell ref="M127:P127"/>
    <mergeCell ref="Q127:V127"/>
    <mergeCell ref="O119:P119"/>
    <mergeCell ref="Q119:R119"/>
    <mergeCell ref="S119:T119"/>
    <mergeCell ref="B120:J120"/>
    <mergeCell ref="K120:P120"/>
    <mergeCell ref="Q120:R120"/>
    <mergeCell ref="S120:U120"/>
    <mergeCell ref="D134:U134"/>
    <mergeCell ref="D135:U135"/>
    <mergeCell ref="D136:U136"/>
    <mergeCell ref="D137:U137"/>
    <mergeCell ref="D138:U138"/>
    <mergeCell ref="D139:U139"/>
    <mergeCell ref="C129:L129"/>
    <mergeCell ref="M129:S129"/>
    <mergeCell ref="T129:W129"/>
    <mergeCell ref="B131:U131"/>
    <mergeCell ref="D132:U132"/>
    <mergeCell ref="D133:U133"/>
    <mergeCell ref="D146:U146"/>
    <mergeCell ref="D147:U147"/>
    <mergeCell ref="D148:U148"/>
    <mergeCell ref="D149:U149"/>
    <mergeCell ref="D150:U150"/>
    <mergeCell ref="D151:U151"/>
    <mergeCell ref="D140:U140"/>
    <mergeCell ref="D141:U141"/>
    <mergeCell ref="D142:U142"/>
    <mergeCell ref="D143:U143"/>
    <mergeCell ref="D144:U144"/>
    <mergeCell ref="D145:U145"/>
    <mergeCell ref="D157:U157"/>
    <mergeCell ref="D158:U158"/>
    <mergeCell ref="D159:U159"/>
    <mergeCell ref="D160:U160"/>
    <mergeCell ref="D161:U161"/>
    <mergeCell ref="D162:U162"/>
    <mergeCell ref="D152:U152"/>
    <mergeCell ref="D153:U153"/>
    <mergeCell ref="D154:U154"/>
    <mergeCell ref="D155:U155"/>
    <mergeCell ref="D156:U156"/>
    <mergeCell ref="D169:U169"/>
    <mergeCell ref="D170:U170"/>
    <mergeCell ref="D171:U171"/>
    <mergeCell ref="D172:U172"/>
    <mergeCell ref="D174:U174"/>
    <mergeCell ref="D175:U175"/>
    <mergeCell ref="D163:U163"/>
    <mergeCell ref="D164:U164"/>
    <mergeCell ref="D165:U165"/>
    <mergeCell ref="D166:U166"/>
    <mergeCell ref="D167:U167"/>
    <mergeCell ref="D168:U168"/>
    <mergeCell ref="O180:P180"/>
    <mergeCell ref="Q180:R180"/>
    <mergeCell ref="S180:T180"/>
    <mergeCell ref="B181:J181"/>
    <mergeCell ref="K181:P181"/>
    <mergeCell ref="Q181:R181"/>
    <mergeCell ref="S181:U181"/>
    <mergeCell ref="D176:U176"/>
    <mergeCell ref="B177:T177"/>
    <mergeCell ref="B179:J179"/>
    <mergeCell ref="K179:P179"/>
    <mergeCell ref="Q179:R179"/>
    <mergeCell ref="S179:T179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D213:U213"/>
    <mergeCell ref="D214:U214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5:U215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D280:U280"/>
    <mergeCell ref="D269:U269"/>
    <mergeCell ref="D270:U270"/>
    <mergeCell ref="D271:U271"/>
    <mergeCell ref="D272:U272"/>
    <mergeCell ref="D273:U273"/>
    <mergeCell ref="D279:U279"/>
    <mergeCell ref="D263:U263"/>
    <mergeCell ref="D264:U264"/>
    <mergeCell ref="D265:U265"/>
    <mergeCell ref="D266:U266"/>
    <mergeCell ref="D267:U267"/>
    <mergeCell ref="D268:U268"/>
    <mergeCell ref="D110:U110"/>
    <mergeCell ref="B290:J290"/>
    <mergeCell ref="K290:P290"/>
    <mergeCell ref="Q290:R290"/>
    <mergeCell ref="S290:U290"/>
    <mergeCell ref="V290:Y290"/>
    <mergeCell ref="D212:U212"/>
    <mergeCell ref="D274:U274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</mergeCells>
  <dataValidations count="1">
    <dataValidation type="list" allowBlank="1" showInputMessage="1" sqref="D102:U102 D133:U133" xr:uid="{D86A5B93-FC8C-194E-86F2-2C93AF3ECA4A}">
      <formula1>#REF!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A25BE48C-8AD5-5E42-9536-F71BE06320DA}">
          <x14:formula1>
            <xm:f>Common_Defect_List!$B$2:$B$5</xm:f>
          </x14:formula1>
          <xm:sqref>V194:V229 V132:V176 V11:V62 V79:V97 V99:V115 V247:V285</xm:sqref>
        </x14:dataValidation>
        <x14:dataValidation type="list" allowBlank="1" showInputMessage="1" xr:uid="{FAB6AD1F-75C7-354F-B872-286369D0283E}">
          <x14:formula1>
            <xm:f>Common_Defect_List!$A:$A</xm:f>
          </x14:formula1>
          <xm:sqref>D162:U164 E253:U263 D114:D115 D194:U211 E223:U229 E79:U98 D265:U273 D34:U48 D62:U62 D103:U109 D11:D32 E11:U23 E25:U32 D144:U145 D134:U140 E213:U213 D79:D100 D247:D263 D149:U156 D158:U160 D275:U275 D277:U285 D213:D229 D174:U176 D166:U172</xm:sqref>
        </x14:dataValidation>
        <x14:dataValidation type="list" allowBlank="1" showInputMessage="1" showErrorMessage="1" xr:uid="{864AE02F-75E2-024E-A8DA-9221EA9E7511}">
          <x14:formula1>
            <xm:f>Common_Defect_List!$A:$A</xm:f>
          </x14:formula1>
          <xm:sqref>D142:U142 D111:U111 D113:U113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69A2-54A2-43E6-8313-D40B28B76146}">
  <sheetPr>
    <pageSetUpPr fitToPage="1"/>
  </sheetPr>
  <dimension ref="A1:IV402"/>
  <sheetViews>
    <sheetView view="pageBreakPreview" zoomScaleNormal="100" zoomScaleSheetLayoutView="100" workbookViewId="0">
      <selection activeCell="D268" sqref="D268:U268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x14ac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x14ac:dyDescent="0.25"/>
    <row r="4" spans="2:26" s="1" customFormat="1" ht="15" customHeight="1" thickBot="1" x14ac:dyDescent="0.25">
      <c r="J4" s="79" t="s">
        <v>2</v>
      </c>
      <c r="K4" s="79"/>
      <c r="L4" s="79"/>
      <c r="M4" s="80" t="s">
        <v>647</v>
      </c>
      <c r="N4" s="80"/>
      <c r="O4" s="80"/>
      <c r="P4" s="80"/>
    </row>
    <row r="5" spans="2:26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x14ac:dyDescent="0.25"/>
    <row r="7" spans="2:26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x14ac:dyDescent="0.25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6.899999999999999" customHeight="1" x14ac:dyDescent="0.25">
      <c r="B11" s="8"/>
      <c r="C11" s="11">
        <v>1</v>
      </c>
      <c r="D11" s="101" t="s">
        <v>648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 t="s">
        <v>22</v>
      </c>
      <c r="W11" s="10"/>
      <c r="X11" s="10"/>
      <c r="Y11" s="10"/>
      <c r="Z11" s="10"/>
    </row>
    <row r="12" spans="2:26" s="4" customFormat="1" ht="16.350000000000001" customHeight="1" x14ac:dyDescent="0.25">
      <c r="B12" s="8"/>
      <c r="C12" s="11">
        <f>IF(ISTEXT(D12),MAX($C$10:C11)+1,"")</f>
        <v>2</v>
      </c>
      <c r="D12" s="101" t="s">
        <v>649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 t="s">
        <v>129</v>
      </c>
      <c r="W12" s="10"/>
      <c r="X12" s="10"/>
      <c r="Y12" s="10"/>
      <c r="Z12" s="10"/>
    </row>
    <row r="13" spans="2:26" s="4" customFormat="1" ht="16.350000000000001" customHeight="1" x14ac:dyDescent="0.25">
      <c r="B13" s="8"/>
      <c r="C13" s="11">
        <f>IF(ISTEXT(D13),MAX($C$10:C12)+1,"")</f>
        <v>3</v>
      </c>
      <c r="D13" s="101" t="s">
        <v>650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 t="s">
        <v>22</v>
      </c>
      <c r="W13" s="10"/>
      <c r="X13" s="10"/>
      <c r="Y13" s="10"/>
      <c r="Z13" s="10"/>
    </row>
    <row r="14" spans="2:26" s="4" customFormat="1" ht="15.75" customHeight="1" x14ac:dyDescent="0.25">
      <c r="B14" s="8"/>
      <c r="C14" s="11">
        <f>IF(ISTEXT(D14),MAX($C$10:C13)+1,"")</f>
        <v>4</v>
      </c>
      <c r="D14" s="101" t="s">
        <v>651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 t="s">
        <v>22</v>
      </c>
      <c r="W14" s="10"/>
      <c r="X14" s="10"/>
      <c r="Y14" s="10"/>
      <c r="Z14" s="10"/>
    </row>
    <row r="15" spans="2:26" s="4" customFormat="1" ht="16.350000000000001" customHeight="1" x14ac:dyDescent="0.25">
      <c r="B15" s="8"/>
      <c r="C15" s="11">
        <f>IF(ISTEXT(D15),MAX($C$10:C14)+1,"")</f>
        <v>5</v>
      </c>
      <c r="D15" s="101" t="s">
        <v>652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 t="s">
        <v>22</v>
      </c>
      <c r="W15" s="10"/>
      <c r="X15" s="10"/>
      <c r="Y15" s="10"/>
      <c r="Z15" s="10"/>
    </row>
    <row r="16" spans="2:26" s="4" customFormat="1" ht="16.350000000000001" customHeight="1" x14ac:dyDescent="0.25">
      <c r="B16" s="8"/>
      <c r="C16" s="11">
        <f>IF(ISTEXT(D16),MAX($C$10:C15)+1,"")</f>
        <v>6</v>
      </c>
      <c r="D16" s="101" t="s">
        <v>653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 t="s">
        <v>22</v>
      </c>
      <c r="W16" s="10"/>
      <c r="X16" s="10"/>
      <c r="Y16" s="10"/>
      <c r="Z16" s="10"/>
    </row>
    <row r="17" spans="2:26" s="4" customFormat="1" ht="16.350000000000001" customHeight="1" x14ac:dyDescent="0.25">
      <c r="B17" s="8"/>
      <c r="C17" s="11">
        <f>IF(ISTEXT(D17),MAX($C$10:C16)+1,"")</f>
        <v>7</v>
      </c>
      <c r="D17" s="101" t="s">
        <v>654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 t="s">
        <v>22</v>
      </c>
      <c r="W17" s="10"/>
      <c r="X17" s="10"/>
      <c r="Y17" s="10"/>
      <c r="Z17" s="10"/>
    </row>
    <row r="18" spans="2:26" s="4" customFormat="1" ht="16.350000000000001" customHeight="1" x14ac:dyDescent="0.25">
      <c r="B18" s="8"/>
      <c r="C18" s="11">
        <f>IF(ISTEXT(D18),MAX($C$10:C17)+1,"")</f>
        <v>8</v>
      </c>
      <c r="D18" s="101" t="s">
        <v>655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 t="s">
        <v>22</v>
      </c>
      <c r="W18" s="10"/>
      <c r="X18" s="10"/>
      <c r="Y18" s="10"/>
      <c r="Z18" s="10"/>
    </row>
    <row r="19" spans="2:26" s="4" customFormat="1" ht="16.350000000000001" customHeight="1" x14ac:dyDescent="0.25">
      <c r="B19" s="8"/>
      <c r="C19" s="11">
        <f>IF(ISTEXT(D19),MAX($C$10:C18)+1,"")</f>
        <v>9</v>
      </c>
      <c r="D19" s="101" t="s">
        <v>656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 t="s">
        <v>22</v>
      </c>
      <c r="W19" s="10"/>
      <c r="X19" s="10"/>
      <c r="Y19" s="10"/>
      <c r="Z19" s="10"/>
    </row>
    <row r="20" spans="2:26" s="1" customFormat="1" ht="16.350000000000001" customHeight="1" x14ac:dyDescent="0.2">
      <c r="B20" s="8"/>
      <c r="C20" s="11">
        <f>IF(ISTEXT(D20),MAX($C$10:C19)+1,"")</f>
        <v>10</v>
      </c>
      <c r="D20" s="101" t="s">
        <v>657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 t="s">
        <v>22</v>
      </c>
      <c r="W20" s="10"/>
      <c r="X20" s="10"/>
      <c r="Y20" s="10"/>
      <c r="Z20" s="10"/>
    </row>
    <row r="21" spans="2:26" s="4" customFormat="1" ht="16.350000000000001" customHeight="1" x14ac:dyDescent="0.25">
      <c r="B21" s="8"/>
      <c r="C21" s="11">
        <f>IF(ISTEXT(D21),MAX($C$10:C20)+1,"")</f>
        <v>11</v>
      </c>
      <c r="D21" s="101" t="s">
        <v>20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 t="s">
        <v>22</v>
      </c>
      <c r="W21" s="10"/>
      <c r="X21" s="10"/>
      <c r="Y21" s="10"/>
      <c r="Z21" s="10"/>
    </row>
    <row r="22" spans="2:26" s="4" customFormat="1" ht="16.350000000000001" customHeight="1" x14ac:dyDescent="0.25">
      <c r="B22" s="8"/>
      <c r="C22" s="11">
        <f>IF(ISTEXT(D22),MAX($C$10:C21)+1,"")</f>
        <v>12</v>
      </c>
      <c r="D22" s="101" t="s">
        <v>653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 t="s">
        <v>22</v>
      </c>
      <c r="W22" s="10"/>
      <c r="X22" s="10"/>
      <c r="Y22" s="10"/>
      <c r="Z22" s="10"/>
    </row>
    <row r="23" spans="2:26" s="4" customFormat="1" ht="16.350000000000001" customHeight="1" x14ac:dyDescent="0.25">
      <c r="B23" s="8"/>
      <c r="C23" s="11">
        <f>IF(ISTEXT(D23),MAX($C$10:C22)+1,"")</f>
        <v>13</v>
      </c>
      <c r="D23" s="101" t="s">
        <v>658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 t="s">
        <v>22</v>
      </c>
      <c r="W23" s="10"/>
      <c r="X23" s="10"/>
      <c r="Y23" s="10"/>
      <c r="Z23" s="10"/>
    </row>
    <row r="24" spans="2:26" s="4" customFormat="1" ht="16.350000000000001" customHeight="1" x14ac:dyDescent="0.25">
      <c r="B24" s="13"/>
      <c r="C24" s="11">
        <f>IF(ISTEXT(D24),MAX($C$10:C23)+1,"")</f>
        <v>14</v>
      </c>
      <c r="D24" s="101" t="s">
        <v>659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 t="s">
        <v>22</v>
      </c>
      <c r="W24" s="10"/>
      <c r="X24" s="10"/>
      <c r="Y24" s="10"/>
      <c r="Z24" s="10"/>
    </row>
    <row r="25" spans="2:26" s="4" customFormat="1" ht="16.350000000000001" customHeight="1" x14ac:dyDescent="0.25">
      <c r="B25" s="8"/>
      <c r="C25" s="11">
        <f>IF(ISTEXT(D25),MAX($C$10:C24)+1,"")</f>
        <v>15</v>
      </c>
      <c r="D25" s="101" t="s">
        <v>660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 t="s">
        <v>22</v>
      </c>
      <c r="W25" s="10"/>
      <c r="X25" s="10"/>
      <c r="Y25" s="10"/>
      <c r="Z25" s="10"/>
    </row>
    <row r="26" spans="2:26" s="4" customFormat="1" ht="16.350000000000001" customHeight="1" x14ac:dyDescent="0.25">
      <c r="B26" s="8"/>
      <c r="C26" s="11">
        <f>IF(ISTEXT(D26),MAX($C$10:C25)+1,"")</f>
        <v>16</v>
      </c>
      <c r="D26" s="101" t="s">
        <v>661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 t="s">
        <v>22</v>
      </c>
      <c r="W26" s="10"/>
      <c r="X26" s="10"/>
      <c r="Y26" s="10"/>
      <c r="Z26" s="10"/>
    </row>
    <row r="27" spans="2:26" s="4" customFormat="1" ht="16.350000000000001" customHeight="1" x14ac:dyDescent="0.25">
      <c r="B27" s="8"/>
      <c r="C27" s="11">
        <f>IF(ISTEXT(D27),MAX($C$10:C26)+1,"")</f>
        <v>17</v>
      </c>
      <c r="D27" s="101" t="s">
        <v>662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 t="s">
        <v>22</v>
      </c>
      <c r="W27" s="10"/>
      <c r="X27" s="10"/>
      <c r="Y27" s="10"/>
      <c r="Z27" s="10"/>
    </row>
    <row r="28" spans="2:26" s="4" customFormat="1" ht="16.350000000000001" customHeight="1" x14ac:dyDescent="0.25">
      <c r="B28" s="8"/>
      <c r="C28" s="11">
        <f>IF(ISTEXT(D28),MAX($C$10:C27)+1,"")</f>
        <v>18</v>
      </c>
      <c r="D28" s="101" t="s">
        <v>663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 t="s">
        <v>22</v>
      </c>
      <c r="W28" s="10"/>
      <c r="X28" s="10"/>
      <c r="Y28" s="10"/>
      <c r="Z28" s="10"/>
    </row>
    <row r="29" spans="2:26" s="4" customFormat="1" ht="16.350000000000001" customHeight="1" x14ac:dyDescent="0.25">
      <c r="B29" s="8"/>
      <c r="C29" s="11">
        <f>IF(ISTEXT(D29),MAX($C$10:C28)+1,"")</f>
        <v>19</v>
      </c>
      <c r="D29" s="101" t="s">
        <v>664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 t="s">
        <v>22</v>
      </c>
      <c r="W29" s="10"/>
      <c r="X29" s="10"/>
      <c r="Y29" s="10"/>
      <c r="Z29" s="10"/>
    </row>
    <row r="30" spans="2:26" s="4" customFormat="1" ht="16.350000000000001" customHeight="1" x14ac:dyDescent="0.25">
      <c r="B30" s="8"/>
      <c r="C30" s="11">
        <f>IF(ISTEXT(D30),MAX($C$10:C29)+1,"")</f>
        <v>20</v>
      </c>
      <c r="D30" s="137" t="s">
        <v>665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 t="s">
        <v>22</v>
      </c>
      <c r="W30" s="10"/>
      <c r="X30" s="10"/>
      <c r="Y30" s="10"/>
      <c r="Z30" s="10"/>
    </row>
    <row r="31" spans="2:26" s="4" customFormat="1" ht="16.350000000000001" customHeight="1" x14ac:dyDescent="0.25">
      <c r="B31" s="8"/>
      <c r="C31" s="11">
        <f>IF(ISTEXT(D31),MAX($C$10:C30)+1,"")</f>
        <v>21</v>
      </c>
      <c r="D31" s="137" t="s">
        <v>666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 t="s">
        <v>22</v>
      </c>
      <c r="W31" s="10"/>
      <c r="X31" s="10"/>
      <c r="Y31" s="10"/>
      <c r="Z31" s="10"/>
    </row>
    <row r="32" spans="2:26" s="4" customFormat="1" ht="16.350000000000001" customHeight="1" x14ac:dyDescent="0.25">
      <c r="B32" s="8"/>
      <c r="C32" s="11">
        <f>IF(ISTEXT(D32),MAX($C$10:C31)+1,"")</f>
        <v>22</v>
      </c>
      <c r="D32" s="101" t="s">
        <v>667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 t="s">
        <v>22</v>
      </c>
      <c r="W32" s="10"/>
      <c r="X32" s="10"/>
      <c r="Y32" s="10"/>
      <c r="Z32" s="10"/>
    </row>
    <row r="33" spans="2:26" s="4" customFormat="1" ht="16.350000000000001" customHeight="1" x14ac:dyDescent="0.25">
      <c r="B33" s="8"/>
      <c r="C33" s="11">
        <f>IF(ISTEXT(D32),MAX($C$10:C32)+1,"")</f>
        <v>23</v>
      </c>
      <c r="D33" s="147" t="s">
        <v>668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 t="s">
        <v>22</v>
      </c>
      <c r="W33" s="10"/>
      <c r="X33" s="10"/>
      <c r="Y33" s="10"/>
      <c r="Z33" s="10"/>
    </row>
    <row r="34" spans="2:26" s="4" customFormat="1" ht="16.350000000000001" customHeight="1" x14ac:dyDescent="0.25">
      <c r="B34" s="8"/>
      <c r="C34" s="11">
        <f>IF(ISTEXT(D34),MAX($C$10:C33)+1,"")</f>
        <v>24</v>
      </c>
      <c r="D34" s="101" t="s">
        <v>669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 t="s">
        <v>22</v>
      </c>
      <c r="W34" s="10"/>
      <c r="X34" s="10"/>
      <c r="Y34" s="10"/>
      <c r="Z34" s="10"/>
    </row>
    <row r="35" spans="2:26" s="4" customFormat="1" ht="16.350000000000001" customHeight="1" x14ac:dyDescent="0.25">
      <c r="B35" s="8"/>
      <c r="C35" s="11">
        <f>IF(ISTEXT(D35),MAX($C$10:C34)+1,"")</f>
        <v>25</v>
      </c>
      <c r="D35" s="101" t="s">
        <v>670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 t="s">
        <v>22</v>
      </c>
      <c r="W35" s="10"/>
      <c r="X35" s="10"/>
      <c r="Y35" s="10"/>
      <c r="Z35" s="10"/>
    </row>
    <row r="36" spans="2:26" s="4" customFormat="1" ht="16.350000000000001" customHeight="1" x14ac:dyDescent="0.25">
      <c r="B36" s="8"/>
      <c r="C36" s="11">
        <f>IF(ISTEXT(D36),MAX($C$10:C35)+1,"")</f>
        <v>26</v>
      </c>
      <c r="D36" s="101" t="s">
        <v>671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 t="s">
        <v>22</v>
      </c>
      <c r="W36" s="10"/>
      <c r="X36" s="10"/>
      <c r="Y36" s="10"/>
      <c r="Z36" s="10"/>
    </row>
    <row r="37" spans="2:26" s="4" customFormat="1" ht="16.350000000000001" customHeight="1" x14ac:dyDescent="0.25">
      <c r="B37" s="8"/>
      <c r="C37" s="11">
        <f>IF(ISTEXT(D37),MAX($C$10:C36)+1,"")</f>
        <v>27</v>
      </c>
      <c r="D37" s="101" t="s">
        <v>672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 t="s">
        <v>22</v>
      </c>
      <c r="W37" s="10"/>
      <c r="X37" s="10"/>
      <c r="Y37" s="10"/>
      <c r="Z37" s="10"/>
    </row>
    <row r="38" spans="2:26" s="4" customFormat="1" ht="16.350000000000001" customHeight="1" x14ac:dyDescent="0.25">
      <c r="B38" s="8"/>
      <c r="C38" s="11">
        <f>IF(ISTEXT(D38),MAX($C$10:C37)+1,"")</f>
        <v>28</v>
      </c>
      <c r="D38" s="101" t="s">
        <v>673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 t="s">
        <v>22</v>
      </c>
      <c r="W38" s="10"/>
      <c r="X38" s="10"/>
      <c r="Y38" s="10"/>
      <c r="Z38" s="10"/>
    </row>
    <row r="39" spans="2:26" s="4" customFormat="1" ht="16.350000000000001" customHeight="1" x14ac:dyDescent="0.25">
      <c r="B39" s="8"/>
      <c r="C39" s="11">
        <f>IF(ISTEXT(D39),MAX($C$10:C38)+1,"")</f>
        <v>29</v>
      </c>
      <c r="D39" s="101" t="s">
        <v>674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 t="s">
        <v>22</v>
      </c>
      <c r="W39" s="10"/>
      <c r="X39" s="10"/>
      <c r="Y39" s="10"/>
      <c r="Z39" s="10"/>
    </row>
    <row r="40" spans="2:26" s="4" customFormat="1" ht="15" customHeight="1" x14ac:dyDescent="0.25">
      <c r="B40" s="8"/>
      <c r="C40" s="11">
        <f>IF(ISTEXT(D40),MAX($C$10:C39)+1,"")</f>
        <v>30</v>
      </c>
      <c r="D40" s="101" t="s">
        <v>675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 t="s">
        <v>22</v>
      </c>
      <c r="W40" s="10"/>
      <c r="X40" s="10"/>
      <c r="Y40" s="10"/>
      <c r="Z40" s="10"/>
    </row>
    <row r="41" spans="2:26" s="4" customFormat="1" ht="12.75" customHeight="1" x14ac:dyDescent="0.25">
      <c r="B41" s="8"/>
      <c r="C41" s="11">
        <f>IF(ISTEXT(D41),MAX($C$10:C40)+1,"")</f>
        <v>31</v>
      </c>
      <c r="D41" s="101" t="s">
        <v>676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 t="s">
        <v>22</v>
      </c>
      <c r="W41" s="10"/>
      <c r="X41" s="10"/>
      <c r="Y41" s="10"/>
      <c r="Z41" s="10"/>
    </row>
    <row r="42" spans="2:26" s="4" customFormat="1" ht="15.95" customHeight="1" x14ac:dyDescent="0.25">
      <c r="B42" s="10"/>
      <c r="C42" s="11">
        <f>IF(ISTEXT(D42),MAX($C$10:C41)+1,"")</f>
        <v>32</v>
      </c>
      <c r="D42" s="101" t="s">
        <v>677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 t="s">
        <v>22</v>
      </c>
      <c r="W42" s="10"/>
      <c r="X42" s="10"/>
      <c r="Y42" s="10"/>
      <c r="Z42" s="10"/>
    </row>
    <row r="43" spans="2:26" s="4" customFormat="1" ht="15.95" customHeight="1" x14ac:dyDescent="0.25">
      <c r="B43" s="8"/>
      <c r="C43" s="11">
        <f>IF(ISTEXT(D43),MAX($C$10:C42)+1,"")</f>
        <v>33</v>
      </c>
      <c r="D43" s="101" t="s">
        <v>678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 t="s">
        <v>76</v>
      </c>
      <c r="W43" s="10"/>
      <c r="X43" s="10"/>
      <c r="Y43" s="10"/>
      <c r="Z43" s="10"/>
    </row>
    <row r="44" spans="2:26" s="4" customFormat="1" ht="16.350000000000001" customHeight="1" x14ac:dyDescent="0.25">
      <c r="B44" s="8"/>
      <c r="C44" s="11">
        <f>IF(ISTEXT(D44),MAX($C$10:C43)+1,"")</f>
        <v>34</v>
      </c>
      <c r="D44" s="101" t="s">
        <v>679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 t="s">
        <v>22</v>
      </c>
      <c r="W44" s="10"/>
      <c r="X44" s="10"/>
      <c r="Y44" s="10"/>
      <c r="Z44" s="10"/>
    </row>
    <row r="45" spans="2:26" s="4" customFormat="1" ht="16.350000000000001" customHeight="1" x14ac:dyDescent="0.25">
      <c r="B45" s="8"/>
      <c r="C45" s="11">
        <f>IF(ISTEXT(D45),MAX($C$10:C44)+1,"")</f>
        <v>35</v>
      </c>
      <c r="D45" s="101" t="s">
        <v>680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 t="s">
        <v>76</v>
      </c>
      <c r="W45" s="10"/>
      <c r="X45" s="10"/>
      <c r="Y45" s="10"/>
      <c r="Z45" s="10"/>
    </row>
    <row r="46" spans="2:26" s="15" customFormat="1" ht="16.350000000000001" customHeight="1" x14ac:dyDescent="0.25">
      <c r="B46" s="8"/>
      <c r="C46" s="11">
        <f>IF(ISTEXT(D46),MAX($C$10:C45)+1,"")</f>
        <v>36</v>
      </c>
      <c r="D46" s="101" t="s">
        <v>681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 t="s">
        <v>76</v>
      </c>
      <c r="W46" s="14"/>
      <c r="X46" s="14"/>
      <c r="Y46" s="14"/>
      <c r="Z46" s="14"/>
    </row>
    <row r="47" spans="2:26" s="4" customFormat="1" ht="16.350000000000001" customHeight="1" x14ac:dyDescent="0.25">
      <c r="B47" s="8"/>
      <c r="C47" s="11">
        <f>IF(ISTEXT(D47),MAX($C$10:C46)+1,"")</f>
        <v>37</v>
      </c>
      <c r="D47" s="101" t="s">
        <v>682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 t="s">
        <v>22</v>
      </c>
      <c r="W47" s="10"/>
      <c r="X47" s="10"/>
      <c r="Y47" s="10"/>
      <c r="Z47" s="10"/>
    </row>
    <row r="48" spans="2:26" s="4" customFormat="1" ht="16.350000000000001" customHeight="1" x14ac:dyDescent="0.25">
      <c r="B48" s="8"/>
      <c r="C48" s="11">
        <f>IF(ISTEXT(D48),MAX($C$10:C47)+1,"")</f>
        <v>38</v>
      </c>
      <c r="D48" s="101" t="s">
        <v>683</v>
      </c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 t="s">
        <v>22</v>
      </c>
      <c r="W48" s="10"/>
      <c r="X48" s="10"/>
      <c r="Y48" s="10"/>
      <c r="Z48" s="10"/>
    </row>
    <row r="49" spans="2:26" s="4" customFormat="1" ht="16.350000000000001" customHeight="1" x14ac:dyDescent="0.25">
      <c r="B49" s="8"/>
      <c r="C49" s="11">
        <f>IF(ISTEXT(D49),MAX($C$10:C48)+1,"")</f>
        <v>39</v>
      </c>
      <c r="D49" s="101" t="s">
        <v>684</v>
      </c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 t="s">
        <v>22</v>
      </c>
      <c r="W49" s="10"/>
      <c r="X49" s="10"/>
      <c r="Y49" s="10"/>
      <c r="Z49" s="10"/>
    </row>
    <row r="50" spans="2:26" s="4" customFormat="1" ht="16.350000000000001" customHeight="1" x14ac:dyDescent="0.25">
      <c r="B50" s="8"/>
      <c r="C50" s="11">
        <f>IF(ISTEXT(D50),MAX($C$10:C49)+1,"")</f>
        <v>40</v>
      </c>
      <c r="D50" s="101" t="s">
        <v>685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 t="s">
        <v>22</v>
      </c>
      <c r="W50" s="10"/>
      <c r="X50" s="10"/>
      <c r="Y50" s="10"/>
      <c r="Z50" s="10"/>
    </row>
    <row r="51" spans="2:26" s="4" customFormat="1" ht="16.350000000000001" customHeight="1" x14ac:dyDescent="0.25">
      <c r="B51" s="8"/>
      <c r="C51" s="11">
        <f>IF(ISTEXT(D51),MAX($C$10:C50)+1,"")</f>
        <v>41</v>
      </c>
      <c r="D51" s="101" t="s">
        <v>686</v>
      </c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 t="s">
        <v>22</v>
      </c>
      <c r="W51" s="10"/>
      <c r="X51" s="10"/>
      <c r="Y51" s="10"/>
      <c r="Z51" s="10"/>
    </row>
    <row r="52" spans="2:26" s="4" customFormat="1" ht="16.350000000000001" customHeight="1" x14ac:dyDescent="0.25">
      <c r="B52" s="8"/>
      <c r="C52" s="11">
        <f>IF(ISTEXT(D52),MAX($C$10:C51)+1,"")</f>
        <v>42</v>
      </c>
      <c r="D52" s="101" t="s">
        <v>687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 t="s">
        <v>22</v>
      </c>
      <c r="W52" s="10"/>
      <c r="X52" s="10"/>
      <c r="Y52" s="10"/>
      <c r="Z52" s="10"/>
    </row>
    <row r="53" spans="2:26" s="4" customFormat="1" ht="16.350000000000001" customHeight="1" x14ac:dyDescent="0.25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/>
      <c r="W53" s="10"/>
      <c r="X53" s="10"/>
      <c r="Y53" s="10"/>
      <c r="Z53" s="10"/>
    </row>
    <row r="54" spans="2:26" s="4" customFormat="1" ht="16.350000000000001" customHeight="1" x14ac:dyDescent="0.25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/>
      <c r="W54" s="10"/>
      <c r="X54" s="10"/>
      <c r="Y54" s="10"/>
      <c r="Z54" s="10"/>
    </row>
    <row r="55" spans="2:26" s="4" customFormat="1" ht="16.350000000000001" customHeight="1" x14ac:dyDescent="0.25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/>
      <c r="W55" s="10"/>
      <c r="X55" s="10"/>
      <c r="Y55" s="10"/>
      <c r="Z55" s="10"/>
    </row>
    <row r="56" spans="2:26" s="4" customFormat="1" ht="16.350000000000001" customHeight="1" x14ac:dyDescent="0.25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/>
      <c r="W56" s="18"/>
      <c r="X56" s="10"/>
      <c r="Y56" s="10"/>
      <c r="Z56" s="10"/>
    </row>
    <row r="57" spans="2:26" s="4" customFormat="1" ht="16.350000000000001" customHeight="1" x14ac:dyDescent="0.25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/>
      <c r="W57" s="18"/>
      <c r="X57" s="10"/>
      <c r="Y57" s="10"/>
      <c r="Z57" s="10"/>
    </row>
    <row r="58" spans="2:26" s="15" customFormat="1" ht="15" customHeight="1" x14ac:dyDescent="0.25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/>
      <c r="W58" s="14"/>
      <c r="X58" s="14"/>
      <c r="Y58" s="14"/>
      <c r="Z58" s="14"/>
    </row>
    <row r="59" spans="2:26" s="4" customFormat="1" ht="15.95" customHeight="1" x14ac:dyDescent="0.25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/>
      <c r="W59" s="10"/>
      <c r="X59" s="10"/>
      <c r="Y59" s="10"/>
      <c r="Z59" s="10"/>
    </row>
    <row r="60" spans="2:26" s="4" customFormat="1" ht="15.95" customHeight="1" x14ac:dyDescent="0.25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/>
      <c r="W60" s="10"/>
      <c r="X60" s="10"/>
      <c r="Y60" s="10"/>
      <c r="Z60" s="10"/>
    </row>
    <row r="61" spans="2:26" s="4" customFormat="1" ht="16.350000000000001" customHeight="1" x14ac:dyDescent="0.25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/>
      <c r="W61" s="10"/>
      <c r="X61" s="10"/>
      <c r="Y61" s="10"/>
      <c r="Z61" s="10"/>
    </row>
    <row r="62" spans="2:26" s="4" customFormat="1" ht="16.350000000000001" customHeight="1" x14ac:dyDescent="0.25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/>
      <c r="W62" s="10"/>
      <c r="X62" s="10"/>
      <c r="Y62" s="10"/>
      <c r="Z62" s="10"/>
    </row>
    <row r="63" spans="2:26" s="1" customFormat="1" ht="15" customHeight="1" x14ac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</row>
    <row r="64" spans="2:26" x14ac:dyDescent="0.25">
      <c r="B64" s="20"/>
      <c r="C64" s="21"/>
      <c r="O64" s="22"/>
      <c r="P64" s="22"/>
      <c r="Q64" s="23"/>
      <c r="R64" s="23"/>
      <c r="S64" s="22"/>
      <c r="T64" s="22"/>
    </row>
    <row r="65" spans="2:26" s="1" customFormat="1" ht="13.5" thickBot="1" x14ac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</row>
    <row r="66" spans="2:26" ht="15" customHeight="1" x14ac:dyDescent="0.25">
      <c r="C66" s="29"/>
      <c r="I66" s="30"/>
      <c r="O66" s="65"/>
      <c r="P66" s="65"/>
      <c r="Q66" s="60"/>
      <c r="R66" s="60"/>
      <c r="S66" s="65"/>
      <c r="T66" s="65"/>
    </row>
    <row r="67" spans="2:26" ht="18" customHeight="1" thickBot="1" x14ac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">
        <v>532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/>
      <c r="W67" s="62"/>
      <c r="X67" s="62"/>
      <c r="Y67" s="62"/>
    </row>
    <row r="68" spans="2:26" ht="15" customHeight="1" thickBot="1" x14ac:dyDescent="0.3"/>
    <row r="69" spans="2:26" ht="15" customHeight="1" x14ac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2" t="s">
        <v>65</v>
      </c>
      <c r="X69" s="79"/>
      <c r="Y69" s="79"/>
      <c r="Z69" s="79"/>
    </row>
    <row r="70" spans="2:26" ht="15" customHeight="1" thickBot="1" x14ac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2:26" ht="10.5" customHeight="1" thickBot="1" x14ac:dyDescent="0.3"/>
    <row r="72" spans="2:26" ht="15" customHeight="1" thickBot="1" x14ac:dyDescent="0.3">
      <c r="J72" s="79" t="s">
        <v>2</v>
      </c>
      <c r="K72" s="79"/>
      <c r="L72" s="79"/>
      <c r="M72" s="80" t="str">
        <f>M4</f>
        <v>C1006</v>
      </c>
      <c r="N72" s="80"/>
      <c r="O72" s="80"/>
      <c r="P72" s="80"/>
    </row>
    <row r="73" spans="2:26" s="15" customFormat="1" ht="15" customHeight="1" thickBot="1" x14ac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/>
    </row>
    <row r="74" spans="2:26" s="15" customFormat="1" ht="15.95" customHeight="1" thickBot="1" x14ac:dyDescent="0.3"/>
    <row r="75" spans="2:26" s="15" customFormat="1" ht="15" customHeight="1" thickBot="1" x14ac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/>
      <c r="W75" s="60"/>
      <c r="X75" s="23"/>
    </row>
    <row r="76" spans="2:26" s="15" customFormat="1" ht="15" customHeight="1" thickBot="1" x14ac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s="15" customFormat="1" ht="22.5" customHeight="1" thickBot="1" x14ac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 t="s">
        <v>8</v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x14ac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/>
      <c r="W78" s="14"/>
      <c r="X78" s="14"/>
      <c r="Y78" s="14"/>
      <c r="Z78" s="14"/>
    </row>
    <row r="79" spans="2:26" s="15" customFormat="1" ht="15.6" customHeight="1" thickBot="1" x14ac:dyDescent="0.25">
      <c r="B79" s="8"/>
      <c r="C79" s="11">
        <f>IF(ISTEXT(D79),MAX($C$10:C78)+1,"")</f>
        <v>43</v>
      </c>
      <c r="D79" s="95" t="s">
        <v>688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 t="s">
        <v>22</v>
      </c>
      <c r="W79" s="14"/>
      <c r="X79" s="14"/>
      <c r="Y79" s="14"/>
      <c r="Z79" s="14"/>
    </row>
    <row r="80" spans="2:26" s="15" customFormat="1" ht="15.6" customHeight="1" thickBot="1" x14ac:dyDescent="0.3">
      <c r="B80" s="8"/>
      <c r="C80" s="11">
        <f>IF(ISTEXT(D80),MAX($C$10:C79)+1,"")</f>
        <v>44</v>
      </c>
      <c r="D80" s="70" t="s">
        <v>689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 t="s">
        <v>72</v>
      </c>
      <c r="W80" s="14"/>
      <c r="X80" s="14"/>
      <c r="Y80" s="14"/>
      <c r="Z80" s="14"/>
    </row>
    <row r="81" spans="1:26" s="15" customFormat="1" ht="15.6" customHeight="1" thickBot="1" x14ac:dyDescent="0.3">
      <c r="B81" s="8"/>
      <c r="C81" s="11">
        <f>IF(ISTEXT(D81),MAX($C$10:C80)+1,"")</f>
        <v>45</v>
      </c>
      <c r="D81" s="70" t="s">
        <v>204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 t="s">
        <v>22</v>
      </c>
      <c r="W81" s="14"/>
      <c r="X81" s="14"/>
      <c r="Y81" s="14"/>
      <c r="Z81" s="14"/>
    </row>
    <row r="82" spans="1:26" s="15" customFormat="1" ht="16.149999999999999" customHeight="1" thickBot="1" x14ac:dyDescent="0.3">
      <c r="B82" s="8"/>
      <c r="C82" s="11">
        <f>IF(ISTEXT(D82),MAX($C$10:C81)+1,"")</f>
        <v>46</v>
      </c>
      <c r="D82" s="70" t="s">
        <v>690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 t="s">
        <v>52</v>
      </c>
      <c r="W82" s="14"/>
      <c r="X82" s="14"/>
      <c r="Y82" s="14"/>
      <c r="Z82" s="14"/>
    </row>
    <row r="83" spans="1:26" s="15" customFormat="1" ht="16.149999999999999" customHeight="1" thickBot="1" x14ac:dyDescent="0.3">
      <c r="B83" s="8"/>
      <c r="C83" s="11">
        <f>IF(ISTEXT(D83),MAX($C$10:C82)+1,"")</f>
        <v>47</v>
      </c>
      <c r="D83" s="70" t="s">
        <v>691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 t="s">
        <v>72</v>
      </c>
      <c r="W83" s="14"/>
      <c r="X83" s="14"/>
      <c r="Y83" s="14"/>
      <c r="Z83" s="14"/>
    </row>
    <row r="84" spans="1:26" s="15" customFormat="1" ht="16.149999999999999" customHeight="1" thickBot="1" x14ac:dyDescent="0.3">
      <c r="B84" s="8"/>
      <c r="C84" s="11">
        <f>IF(ISTEXT(D84),MAX($C$10:C83)+1,"")</f>
        <v>48</v>
      </c>
      <c r="D84" s="70" t="s">
        <v>71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 t="s">
        <v>72</v>
      </c>
      <c r="W84" s="14"/>
      <c r="X84" s="14"/>
      <c r="Y84" s="14"/>
      <c r="Z84" s="14"/>
    </row>
    <row r="85" spans="1:26" s="15" customFormat="1" ht="16.149999999999999" customHeight="1" thickBot="1" x14ac:dyDescent="0.3">
      <c r="B85" s="8"/>
      <c r="C85" s="11">
        <f>IF(ISTEXT(D85),MAX($C$10:C84)+1,"")</f>
        <v>49</v>
      </c>
      <c r="D85" s="70" t="s">
        <v>692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 t="s">
        <v>28</v>
      </c>
      <c r="W85" s="14"/>
      <c r="X85" s="14"/>
      <c r="Y85" s="14"/>
      <c r="Z85" s="14"/>
    </row>
    <row r="86" spans="1:26" s="15" customFormat="1" ht="16.149999999999999" customHeight="1" thickBot="1" x14ac:dyDescent="0.3">
      <c r="B86" s="8"/>
      <c r="C86" s="11">
        <f>IF(ISTEXT(D86),MAX($C$10:C85)+1,"")</f>
        <v>50</v>
      </c>
      <c r="D86" s="70" t="s">
        <v>243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146"/>
      <c r="V86" s="10" t="s">
        <v>76</v>
      </c>
      <c r="W86" s="14"/>
      <c r="X86" s="14"/>
      <c r="Y86" s="14"/>
      <c r="Z86" s="14"/>
    </row>
    <row r="87" spans="1:26" ht="16.149999999999999" customHeight="1" thickBot="1" x14ac:dyDescent="0.3">
      <c r="B87" s="8"/>
      <c r="C87" s="11">
        <f>IF(ISTEXT(D87),MAX($C$10:C86)+1,"")</f>
        <v>51</v>
      </c>
      <c r="D87" s="143" t="s">
        <v>79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 t="s">
        <v>76</v>
      </c>
      <c r="W87" s="14"/>
      <c r="X87" s="14"/>
      <c r="Y87" s="14"/>
      <c r="Z87" s="14"/>
    </row>
    <row r="88" spans="1:26" s="15" customFormat="1" ht="16.149999999999999" customHeight="1" thickBot="1" x14ac:dyDescent="0.3">
      <c r="A88" s="36"/>
      <c r="B88" s="37"/>
      <c r="C88" s="11">
        <f>IF(ISTEXT(D88),MAX($C$10:C87)+1,"")</f>
        <v>52</v>
      </c>
      <c r="D88" s="143" t="s">
        <v>693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 t="s">
        <v>28</v>
      </c>
      <c r="W88" s="14"/>
      <c r="X88" s="14"/>
      <c r="Y88" s="14"/>
      <c r="Z88" s="14"/>
    </row>
    <row r="89" spans="1:26" s="15" customFormat="1" ht="16.149999999999999" customHeight="1" thickBot="1" x14ac:dyDescent="0.3">
      <c r="B89" s="8"/>
      <c r="C89" s="11">
        <f>IF(ISTEXT(D89),MAX($C$10:C88)+1,"")</f>
        <v>53</v>
      </c>
      <c r="D89" s="143" t="s">
        <v>694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 t="s">
        <v>22</v>
      </c>
      <c r="W89" s="14"/>
      <c r="X89" s="14"/>
      <c r="Y89" s="14"/>
      <c r="Z89" s="14"/>
    </row>
    <row r="90" spans="1:26" s="15" customFormat="1" ht="16.149999999999999" customHeight="1" thickBot="1" x14ac:dyDescent="0.3">
      <c r="B90" s="8"/>
      <c r="C90" s="11">
        <f>IF(ISTEXT(D90),MAX($C$10:C89)+1,"")</f>
        <v>54</v>
      </c>
      <c r="D90" s="143" t="s">
        <v>695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 t="s">
        <v>76</v>
      </c>
      <c r="W90" s="14"/>
      <c r="X90" s="14"/>
      <c r="Y90" s="14"/>
      <c r="Z90" s="14"/>
    </row>
    <row r="91" spans="1:26" s="15" customFormat="1" ht="16.149999999999999" customHeight="1" thickBot="1" x14ac:dyDescent="0.3">
      <c r="B91" s="8"/>
      <c r="C91" s="11">
        <f>IF(ISTEXT(D91),MAX($C$10:C90)+1,"")</f>
        <v>55</v>
      </c>
      <c r="D91" s="70" t="s">
        <v>696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 t="s">
        <v>22</v>
      </c>
      <c r="W91" s="14"/>
      <c r="X91" s="14"/>
      <c r="Y91" s="14"/>
      <c r="Z91" s="14"/>
    </row>
    <row r="92" spans="1:26" s="15" customFormat="1" ht="16.149999999999999" customHeight="1" thickBot="1" x14ac:dyDescent="0.25">
      <c r="B92" s="8"/>
      <c r="C92" s="11">
        <f>IF(ISTEXT(D92),MAX($C$10:C91)+1,"")</f>
        <v>56</v>
      </c>
      <c r="D92" s="95" t="s">
        <v>697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 t="s">
        <v>22</v>
      </c>
      <c r="W92" s="14"/>
      <c r="X92" s="14"/>
      <c r="Y92" s="14"/>
      <c r="Z92" s="14"/>
    </row>
    <row r="93" spans="1:26" s="15" customFormat="1" ht="16.149999999999999" customHeight="1" thickBot="1" x14ac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/>
      <c r="W93" s="14"/>
      <c r="X93" s="14"/>
      <c r="Y93" s="14"/>
      <c r="Z93" s="14"/>
    </row>
    <row r="94" spans="1:26" s="15" customFormat="1" ht="16.149999999999999" customHeight="1" thickBot="1" x14ac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/>
      <c r="W94" s="14"/>
      <c r="X94" s="14"/>
      <c r="Y94" s="14"/>
      <c r="Z94" s="14"/>
    </row>
    <row r="95" spans="1:26" s="15" customFormat="1" ht="16.149999999999999" customHeight="1" thickBot="1" x14ac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/>
      <c r="W95" s="14"/>
      <c r="X95" s="14"/>
      <c r="Y95" s="14"/>
      <c r="Z95" s="14"/>
    </row>
    <row r="96" spans="1:26" s="15" customFormat="1" ht="16.149999999999999" customHeight="1" thickBot="1" x14ac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/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/>
      <c r="W97" s="14"/>
      <c r="X97" s="14"/>
      <c r="Y97" s="14"/>
      <c r="Z97" s="14"/>
    </row>
    <row r="98" spans="2:26" s="15" customFormat="1" ht="16.149999999999999" customHeight="1" thickBot="1" x14ac:dyDescent="0.3">
      <c r="B98" s="8"/>
      <c r="C98" s="11"/>
      <c r="D98" s="153" t="s">
        <v>476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5"/>
      <c r="V98" s="10"/>
      <c r="W98" s="14"/>
      <c r="X98" s="14"/>
      <c r="Y98" s="14"/>
      <c r="Z98" s="14"/>
    </row>
    <row r="99" spans="2:26" s="15" customFormat="1" ht="15.95" customHeight="1" thickBot="1" x14ac:dyDescent="0.3">
      <c r="B99" s="8"/>
      <c r="C99" s="11">
        <f>IF(ISTEXT(D99),MAX($C$10:C98)+1,"")</f>
        <v>57</v>
      </c>
      <c r="D99" s="70" t="s">
        <v>698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 t="s">
        <v>22</v>
      </c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58</v>
      </c>
      <c r="D100" s="70" t="s">
        <v>699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 t="s">
        <v>22</v>
      </c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59</v>
      </c>
      <c r="D101" s="70" t="s">
        <v>700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 t="s">
        <v>52</v>
      </c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60</v>
      </c>
      <c r="D102" s="70" t="s">
        <v>701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8" t="s">
        <v>52</v>
      </c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>
        <f>IF(ISTEXT(D103),MAX($C$10:C102)+1,"")</f>
        <v>61</v>
      </c>
      <c r="D103" s="70" t="s">
        <v>702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8" t="s">
        <v>76</v>
      </c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62</v>
      </c>
      <c r="D104" s="70" t="s">
        <v>703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8" t="s">
        <v>76</v>
      </c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>
        <f>IF(ISTEXT(D105),MAX($C$10:C104)+1,"")</f>
        <v>63</v>
      </c>
      <c r="D105" s="70" t="s">
        <v>704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8" t="s">
        <v>76</v>
      </c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>
        <f>IF(ISTEXT(D106),MAX($C$10:C105)+1,"")</f>
        <v>64</v>
      </c>
      <c r="D106" s="70" t="s">
        <v>705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 t="s">
        <v>22</v>
      </c>
      <c r="W106" s="14"/>
      <c r="X106" s="14"/>
      <c r="Y106" s="14"/>
      <c r="Z106" s="14"/>
    </row>
    <row r="107" spans="2:26" s="15" customFormat="1" ht="19.149999999999999" customHeight="1" thickBot="1" x14ac:dyDescent="0.3">
      <c r="B107" s="8"/>
      <c r="C107" s="11">
        <f>IF(ISTEXT(D107),MAX($C$10:C106)+1,"")</f>
        <v>65</v>
      </c>
      <c r="D107" s="70" t="s">
        <v>706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 t="s">
        <v>76</v>
      </c>
      <c r="W107" s="14"/>
      <c r="X107" s="14"/>
      <c r="Y107" s="14"/>
      <c r="Z107" s="14"/>
    </row>
    <row r="108" spans="2:26" s="15" customFormat="1" ht="16.149999999999999" customHeight="1" thickBot="1" x14ac:dyDescent="0.3">
      <c r="B108" s="8"/>
      <c r="C108" s="11">
        <f>IF(ISTEXT(D108),MAX($C$10:C107)+1,"")</f>
        <v>66</v>
      </c>
      <c r="D108" s="70" t="s">
        <v>707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 t="s">
        <v>76</v>
      </c>
      <c r="W108" s="14"/>
      <c r="X108" s="14"/>
      <c r="Y108" s="14"/>
      <c r="Z108" s="14"/>
    </row>
    <row r="109" spans="2:26" s="15" customFormat="1" ht="16.149999999999999" customHeight="1" thickBot="1" x14ac:dyDescent="0.3">
      <c r="B109" s="8"/>
      <c r="C109" s="11">
        <f>IF(ISTEXT(D109),MAX($C$10:C108)+1,"")</f>
        <v>67</v>
      </c>
      <c r="D109" s="70" t="s">
        <v>708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 t="s">
        <v>22</v>
      </c>
      <c r="W109" s="14"/>
      <c r="X109" s="14"/>
      <c r="Y109" s="14"/>
      <c r="Z109" s="14"/>
    </row>
    <row r="110" spans="2:26" s="15" customFormat="1" ht="16.149999999999999" customHeight="1" thickBot="1" x14ac:dyDescent="0.3">
      <c r="B110" s="8"/>
      <c r="C110" s="11" t="str">
        <f>IF(ISTEXT(#REF!),MAX($C$10:C109)+1,"")</f>
        <v/>
      </c>
      <c r="D110" s="73" t="s">
        <v>214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5"/>
      <c r="V110" s="10"/>
      <c r="W110" s="14"/>
      <c r="X110" s="14"/>
      <c r="Y110" s="14"/>
      <c r="Z110" s="14"/>
    </row>
    <row r="111" spans="2:26" s="15" customFormat="1" ht="16.149999999999999" customHeight="1" thickBot="1" x14ac:dyDescent="0.3">
      <c r="B111" s="8"/>
      <c r="C111" s="11">
        <f>IF(ISTEXT(D110),MAX($C$10:C110)+1,"")</f>
        <v>68</v>
      </c>
      <c r="D111" s="70" t="s">
        <v>709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 t="s">
        <v>28</v>
      </c>
      <c r="W111" s="14"/>
      <c r="X111" s="14"/>
      <c r="Y111" s="14"/>
      <c r="Z111" s="14"/>
    </row>
    <row r="112" spans="2:26" s="15" customFormat="1" ht="16.149999999999999" customHeight="1" thickBot="1" x14ac:dyDescent="0.3">
      <c r="B112" s="8"/>
      <c r="C112" s="11">
        <f>IF(ISTEXT(D111),MAX($C$10:C111)+1,"")</f>
        <v>69</v>
      </c>
      <c r="D112" s="140" t="s">
        <v>710</v>
      </c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 t="s">
        <v>76</v>
      </c>
      <c r="W112" s="14"/>
      <c r="X112" s="14"/>
      <c r="Y112" s="14"/>
      <c r="Z112" s="14"/>
    </row>
    <row r="113" spans="2:26" s="15" customFormat="1" ht="16.149999999999999" customHeight="1" thickBot="1" x14ac:dyDescent="0.3">
      <c r="B113" s="8"/>
      <c r="C113" s="11">
        <f>IF(ISTEXT(D112),MAX($C$10:C112)+1,"")</f>
        <v>70</v>
      </c>
      <c r="D113" s="70" t="s">
        <v>711</v>
      </c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 t="s">
        <v>52</v>
      </c>
      <c r="W113" s="14"/>
      <c r="X113" s="14"/>
      <c r="Y113" s="14"/>
      <c r="Z113" s="14"/>
    </row>
    <row r="114" spans="2:26" s="15" customFormat="1" ht="16.149999999999999" customHeight="1" thickBot="1" x14ac:dyDescent="0.3">
      <c r="B114" s="8"/>
      <c r="C114" s="11">
        <f>IF(ISTEXT(D113),MAX($C$10:C113)+1,"")</f>
        <v>71</v>
      </c>
      <c r="D114" s="70" t="s">
        <v>712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 t="s">
        <v>22</v>
      </c>
      <c r="W114" s="14"/>
      <c r="X114" s="14"/>
      <c r="Y114" s="14"/>
      <c r="Z114" s="14"/>
    </row>
    <row r="115" spans="2:26" s="15" customFormat="1" ht="16.149999999999999" customHeight="1" thickBot="1" x14ac:dyDescent="0.3">
      <c r="B115" s="8"/>
      <c r="C115" s="11">
        <f>IF(ISTEXT(D114),MAX($C$10:C114)+1,"")</f>
        <v>72</v>
      </c>
      <c r="D115" s="70" t="s">
        <v>713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 t="s">
        <v>22</v>
      </c>
      <c r="W115" s="14"/>
      <c r="X115" s="14"/>
      <c r="Y115" s="14"/>
      <c r="Z115" s="14"/>
    </row>
    <row r="116" spans="2:26" s="15" customFormat="1" ht="16.149999999999999" customHeight="1" thickBot="1" x14ac:dyDescent="0.3">
      <c r="B116" s="8"/>
      <c r="C116" s="11">
        <f>IF(ISTEXT(D115),MAX($C$10:C115)+1,"")</f>
        <v>73</v>
      </c>
      <c r="D116" s="140" t="s">
        <v>714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2"/>
      <c r="V116" s="10" t="s">
        <v>22</v>
      </c>
      <c r="W116" s="14"/>
      <c r="X116" s="14"/>
      <c r="Y116" s="14"/>
      <c r="Z116" s="14"/>
    </row>
    <row r="117" spans="2:26" s="15" customFormat="1" ht="16.149999999999999" customHeight="1" thickBot="1" x14ac:dyDescent="0.3">
      <c r="B117" s="8"/>
      <c r="C117" s="11">
        <f>IF(ISTEXT(D116),MAX($C$10:C116)+1,"")</f>
        <v>74</v>
      </c>
      <c r="D117" s="66" t="s">
        <v>715</v>
      </c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8"/>
      <c r="V117" s="10" t="s">
        <v>22</v>
      </c>
      <c r="W117" s="14"/>
      <c r="X117" s="14"/>
      <c r="Y117" s="14"/>
      <c r="Z117" s="14"/>
    </row>
    <row r="118" spans="2:26" ht="15" customHeight="1" x14ac:dyDescent="0.25">
      <c r="B118" s="69" t="s">
        <v>98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</row>
    <row r="119" spans="2:26" x14ac:dyDescent="0.25">
      <c r="B119" s="20"/>
      <c r="C119" s="21"/>
      <c r="O119" s="22"/>
      <c r="P119" s="22"/>
      <c r="Q119" s="23"/>
      <c r="R119" s="23"/>
      <c r="S119" s="22"/>
      <c r="T119" s="22"/>
    </row>
    <row r="120" spans="2:26" ht="15.75" thickBot="1" x14ac:dyDescent="0.3">
      <c r="B120" s="57" t="s">
        <v>61</v>
      </c>
      <c r="C120" s="57"/>
      <c r="D120" s="57"/>
      <c r="E120" s="57"/>
      <c r="F120" s="57"/>
      <c r="G120" s="57"/>
      <c r="H120" s="57"/>
      <c r="I120" s="57"/>
      <c r="J120" s="57"/>
      <c r="K120" s="64">
        <f ca="1">$K$65</f>
        <v>45832</v>
      </c>
      <c r="L120" s="62"/>
      <c r="M120" s="62"/>
      <c r="N120" s="62"/>
      <c r="O120" s="59"/>
      <c r="P120" s="59"/>
      <c r="Q120" s="60"/>
      <c r="R120" s="60"/>
      <c r="S120" s="65"/>
      <c r="T120" s="65"/>
    </row>
    <row r="121" spans="2:26" ht="15" customHeight="1" x14ac:dyDescent="0.25">
      <c r="C121" s="29"/>
      <c r="I121" s="30"/>
      <c r="O121" s="65"/>
      <c r="P121" s="65"/>
      <c r="Q121" s="60"/>
      <c r="R121" s="60"/>
      <c r="S121" s="65"/>
      <c r="T121" s="65"/>
    </row>
    <row r="122" spans="2:26" ht="18" customHeight="1" thickBot="1" x14ac:dyDescent="0.3">
      <c r="B122" s="57" t="s">
        <v>62</v>
      </c>
      <c r="C122" s="57"/>
      <c r="D122" s="57"/>
      <c r="E122" s="57"/>
      <c r="F122" s="57"/>
      <c r="G122" s="57"/>
      <c r="H122" s="57"/>
      <c r="I122" s="57"/>
      <c r="J122" s="57"/>
      <c r="K122" s="58" t="s">
        <v>532</v>
      </c>
      <c r="L122" s="58"/>
      <c r="M122" s="58"/>
      <c r="N122" s="58"/>
      <c r="O122" s="59"/>
      <c r="P122" s="59"/>
      <c r="Q122" s="60"/>
      <c r="R122" s="60"/>
      <c r="S122" s="97" t="s">
        <v>63</v>
      </c>
      <c r="T122" s="97"/>
      <c r="U122" s="97"/>
      <c r="V122" s="62"/>
      <c r="W122" s="62"/>
      <c r="X122" s="62"/>
      <c r="Y122" s="62"/>
    </row>
    <row r="123" spans="2:26" ht="15" customHeight="1" x14ac:dyDescent="0.25"/>
    <row r="124" spans="2:26" ht="15" customHeight="1" thickBot="1" x14ac:dyDescent="0.3"/>
    <row r="125" spans="2:26" ht="15" customHeight="1" x14ac:dyDescent="0.25">
      <c r="E125" s="88" t="s">
        <v>64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2" t="s">
        <v>99</v>
      </c>
      <c r="X125" s="79"/>
      <c r="Y125" s="79"/>
      <c r="Z125" s="79"/>
    </row>
    <row r="126" spans="2:26" ht="15" customHeight="1" thickBot="1" x14ac:dyDescent="0.3">
      <c r="E126" s="90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</row>
    <row r="127" spans="2:26" ht="10.5" customHeight="1" thickBot="1" x14ac:dyDescent="0.3"/>
    <row r="128" spans="2:26" ht="15" customHeight="1" thickBot="1" x14ac:dyDescent="0.3">
      <c r="J128" s="79" t="s">
        <v>2</v>
      </c>
      <c r="K128" s="79"/>
      <c r="L128" s="79"/>
      <c r="M128" s="80" t="str">
        <f>M4</f>
        <v>C1006</v>
      </c>
      <c r="N128" s="80"/>
      <c r="O128" s="80"/>
      <c r="P128" s="80"/>
    </row>
    <row r="129" spans="2:26" s="15" customFormat="1" ht="15" customHeight="1" thickBot="1" x14ac:dyDescent="0.3">
      <c r="I129" s="79" t="s">
        <v>4</v>
      </c>
      <c r="J129" s="79"/>
      <c r="K129" s="79"/>
      <c r="L129" s="79"/>
      <c r="M129" s="80"/>
      <c r="N129" s="80"/>
      <c r="O129" s="80"/>
      <c r="P129" s="80"/>
      <c r="Q129" s="81"/>
      <c r="R129" s="82"/>
      <c r="S129" s="82"/>
      <c r="T129" s="82"/>
      <c r="U129" s="82"/>
      <c r="V129" s="82"/>
    </row>
    <row r="130" spans="2:26" s="15" customFormat="1" ht="17.100000000000001" customHeight="1" thickBot="1" x14ac:dyDescent="0.3"/>
    <row r="131" spans="2:26" s="15" customFormat="1" ht="15" customHeight="1" thickBot="1" x14ac:dyDescent="0.3">
      <c r="C131" s="83" t="s">
        <v>66</v>
      </c>
      <c r="D131" s="83"/>
      <c r="E131" s="83"/>
      <c r="F131" s="83"/>
      <c r="G131" s="83"/>
      <c r="H131" s="83"/>
      <c r="I131" s="83"/>
      <c r="J131" s="83"/>
      <c r="K131" s="83"/>
      <c r="L131" s="84"/>
      <c r="M131" s="85" t="s">
        <v>532</v>
      </c>
      <c r="N131" s="86"/>
      <c r="O131" s="86"/>
      <c r="P131" s="86"/>
      <c r="Q131" s="86"/>
      <c r="R131" s="86"/>
      <c r="S131" s="87"/>
      <c r="T131" s="60"/>
      <c r="U131" s="60"/>
      <c r="V131" s="60"/>
      <c r="W131" s="60"/>
      <c r="X131" s="23"/>
    </row>
    <row r="132" spans="2:26" s="15" customFormat="1" ht="10.5" customHeight="1" thickBot="1" x14ac:dyDescent="0.3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2:26" s="15" customFormat="1" ht="21" customHeight="1" thickBot="1" x14ac:dyDescent="0.3">
      <c r="B133" s="76" t="s">
        <v>67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  <c r="V133" s="35" t="s">
        <v>8</v>
      </c>
      <c r="W133" s="35" t="s">
        <v>9</v>
      </c>
      <c r="X133" s="35" t="s">
        <v>10</v>
      </c>
      <c r="Y133" s="7" t="s">
        <v>11</v>
      </c>
      <c r="Z133" s="35" t="s">
        <v>12</v>
      </c>
    </row>
    <row r="134" spans="2:26" s="15" customFormat="1" ht="16.149999999999999" customHeight="1" thickBot="1" x14ac:dyDescent="0.3">
      <c r="B134" s="8"/>
      <c r="C134" s="11">
        <v>70</v>
      </c>
      <c r="D134" s="70" t="s">
        <v>716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4" t="s">
        <v>22</v>
      </c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>
        <v>71</v>
      </c>
      <c r="D135" s="70" t="s">
        <v>717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 t="s">
        <v>76</v>
      </c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>
        <f>IF(ISTEXT(D136),MAX($C$10:C135)+1,"")</f>
        <v>75</v>
      </c>
      <c r="D136" s="70" t="s">
        <v>718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 t="s">
        <v>76</v>
      </c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>
        <f>IF(ISTEXT(D137),MAX($C$10:C136)+1,"")</f>
        <v>76</v>
      </c>
      <c r="D137" s="70" t="s">
        <v>719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 t="s">
        <v>76</v>
      </c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>
        <f>IF(ISTEXT(D138),MAX($C$10:C137)+1,"")</f>
        <v>77</v>
      </c>
      <c r="D138" s="70" t="s">
        <v>720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 t="s">
        <v>52</v>
      </c>
      <c r="W138" s="14"/>
      <c r="X138" s="14"/>
      <c r="Y138" s="14"/>
      <c r="Z138" s="14"/>
    </row>
    <row r="139" spans="2:26" s="15" customFormat="1" ht="16.149999999999999" customHeight="1" thickBot="1" x14ac:dyDescent="0.3">
      <c r="B139" s="8"/>
      <c r="C139" s="11">
        <f>IF(ISTEXT(D139),MAX($C$10:C138)+1,"")</f>
        <v>78</v>
      </c>
      <c r="D139" s="70" t="s">
        <v>417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 t="s">
        <v>22</v>
      </c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/>
      <c r="W140" s="14"/>
      <c r="X140" s="14"/>
      <c r="Y140" s="14"/>
      <c r="Z140" s="14"/>
    </row>
    <row r="141" spans="2:26" ht="16.149999999999999" customHeight="1" thickBot="1" x14ac:dyDescent="0.3">
      <c r="B141" s="8"/>
      <c r="C141" s="11"/>
      <c r="D141" s="73" t="s">
        <v>120</v>
      </c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5"/>
      <c r="V141" s="9"/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79</v>
      </c>
      <c r="D142" s="70" t="s">
        <v>721</v>
      </c>
      <c r="E142" s="71" t="s">
        <v>721</v>
      </c>
      <c r="F142" s="71" t="s">
        <v>721</v>
      </c>
      <c r="G142" s="71" t="s">
        <v>721</v>
      </c>
      <c r="H142" s="71" t="s">
        <v>721</v>
      </c>
      <c r="I142" s="71" t="s">
        <v>721</v>
      </c>
      <c r="J142" s="71" t="s">
        <v>721</v>
      </c>
      <c r="K142" s="71" t="s">
        <v>721</v>
      </c>
      <c r="L142" s="71" t="s">
        <v>721</v>
      </c>
      <c r="M142" s="71" t="s">
        <v>721</v>
      </c>
      <c r="N142" s="71" t="s">
        <v>721</v>
      </c>
      <c r="O142" s="71" t="s">
        <v>721</v>
      </c>
      <c r="P142" s="71" t="s">
        <v>721</v>
      </c>
      <c r="Q142" s="71" t="s">
        <v>721</v>
      </c>
      <c r="R142" s="71" t="s">
        <v>721</v>
      </c>
      <c r="S142" s="71" t="s">
        <v>721</v>
      </c>
      <c r="T142" s="71" t="s">
        <v>721</v>
      </c>
      <c r="U142" s="72" t="s">
        <v>721</v>
      </c>
      <c r="V142" s="9" t="s">
        <v>22</v>
      </c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80</v>
      </c>
      <c r="D143" s="70" t="s">
        <v>722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9" t="s">
        <v>22</v>
      </c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81</v>
      </c>
      <c r="D144" s="70" t="s">
        <v>723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 t="s">
        <v>22</v>
      </c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>
        <f>IF(ISTEXT(D145),MAX($C$10:C144)+1,"")</f>
        <v>82</v>
      </c>
      <c r="D145" s="70" t="s">
        <v>724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 t="s">
        <v>76</v>
      </c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>
        <f>IF(ISTEXT(D146),MAX($C$10:C145)+1,"")</f>
        <v>83</v>
      </c>
      <c r="D146" s="70" t="s">
        <v>725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 t="s">
        <v>76</v>
      </c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>
        <f>IF(ISTEXT(D147),MAX($C$10:C146)+1,"")</f>
        <v>84</v>
      </c>
      <c r="D147" s="70" t="s">
        <v>726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 t="s">
        <v>76</v>
      </c>
      <c r="W147" s="14"/>
      <c r="X147" s="14"/>
      <c r="Y147" s="14"/>
      <c r="Z147" s="14"/>
    </row>
    <row r="148" spans="2:26" s="15" customFormat="1" ht="16.149999999999999" customHeight="1" thickBot="1" x14ac:dyDescent="0.3">
      <c r="B148" s="8"/>
      <c r="C148" s="11">
        <f>IF(ISTEXT(D148),MAX($C$10:C147)+1,"")</f>
        <v>85</v>
      </c>
      <c r="D148" s="70" t="s">
        <v>727</v>
      </c>
      <c r="E148" s="71" t="s">
        <v>727</v>
      </c>
      <c r="F148" s="71" t="s">
        <v>727</v>
      </c>
      <c r="G148" s="71" t="s">
        <v>727</v>
      </c>
      <c r="H148" s="71" t="s">
        <v>727</v>
      </c>
      <c r="I148" s="71" t="s">
        <v>727</v>
      </c>
      <c r="J148" s="71" t="s">
        <v>727</v>
      </c>
      <c r="K148" s="71" t="s">
        <v>727</v>
      </c>
      <c r="L148" s="71" t="s">
        <v>727</v>
      </c>
      <c r="M148" s="71" t="s">
        <v>727</v>
      </c>
      <c r="N148" s="71" t="s">
        <v>727</v>
      </c>
      <c r="O148" s="71" t="s">
        <v>727</v>
      </c>
      <c r="P148" s="71" t="s">
        <v>727</v>
      </c>
      <c r="Q148" s="71" t="s">
        <v>727</v>
      </c>
      <c r="R148" s="71" t="s">
        <v>727</v>
      </c>
      <c r="S148" s="71" t="s">
        <v>727</v>
      </c>
      <c r="T148" s="71" t="s">
        <v>727</v>
      </c>
      <c r="U148" s="72" t="s">
        <v>727</v>
      </c>
      <c r="V148" s="9" t="s">
        <v>22</v>
      </c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/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/>
      <c r="W149" s="14"/>
      <c r="X149" s="14"/>
      <c r="Y149" s="14"/>
      <c r="Z149" s="14"/>
    </row>
    <row r="150" spans="2:26" ht="16.5" thickBot="1" x14ac:dyDescent="0.3">
      <c r="B150" s="8"/>
      <c r="C150" s="11"/>
      <c r="D150" s="73" t="s">
        <v>112</v>
      </c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5"/>
      <c r="V150" s="9"/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>
        <f>IF(ISTEXT(D151),MAX($C$10:C150)+1,"")</f>
        <v>86</v>
      </c>
      <c r="D151" s="70" t="s">
        <v>728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 t="s">
        <v>76</v>
      </c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>
        <f>IF(ISTEXT(D152),MAX($C$10:C151)+1,"")</f>
        <v>87</v>
      </c>
      <c r="D152" s="70" t="s">
        <v>729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 t="s">
        <v>22</v>
      </c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>
        <f>IF(ISTEXT(D153),MAX($C$10:C152)+1,"")</f>
        <v>88</v>
      </c>
      <c r="D153" s="70" t="s">
        <v>730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 t="s">
        <v>22</v>
      </c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>
        <f>IF(ISTEXT(D154),MAX($C$10:C153)+1,"")</f>
        <v>89</v>
      </c>
      <c r="D154" s="70" t="s">
        <v>731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 t="s">
        <v>52</v>
      </c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>
        <f>IF(ISTEXT(D155),MAX($C$10:C154)+1,"")</f>
        <v>90</v>
      </c>
      <c r="D155" s="70" t="s">
        <v>732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 t="s">
        <v>76</v>
      </c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>
        <f>IF(ISTEXT(D156),MAX($C$10:C155)+1,"")</f>
        <v>91</v>
      </c>
      <c r="D156" s="70" t="s">
        <v>733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 t="s">
        <v>76</v>
      </c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92</v>
      </c>
      <c r="D157" s="70" t="s">
        <v>734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 t="s">
        <v>76</v>
      </c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93</v>
      </c>
      <c r="D158" s="70" t="s">
        <v>735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 t="s">
        <v>76</v>
      </c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>
        <f>IF(ISTEXT(D159),MAX($C$10:C158)+1,"")</f>
        <v>94</v>
      </c>
      <c r="D159" s="70" t="s">
        <v>736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 t="s">
        <v>76</v>
      </c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>
        <f>IF(ISTEXT(D160),MAX($C$10:C159)+1,"")</f>
        <v>95</v>
      </c>
      <c r="D160" s="70" t="s">
        <v>737</v>
      </c>
      <c r="E160" s="71" t="s">
        <v>737</v>
      </c>
      <c r="F160" s="71" t="s">
        <v>737</v>
      </c>
      <c r="G160" s="71" t="s">
        <v>737</v>
      </c>
      <c r="H160" s="71" t="s">
        <v>737</v>
      </c>
      <c r="I160" s="71" t="s">
        <v>737</v>
      </c>
      <c r="J160" s="71" t="s">
        <v>737</v>
      </c>
      <c r="K160" s="71" t="s">
        <v>737</v>
      </c>
      <c r="L160" s="71" t="s">
        <v>737</v>
      </c>
      <c r="M160" s="71" t="s">
        <v>737</v>
      </c>
      <c r="N160" s="71" t="s">
        <v>737</v>
      </c>
      <c r="O160" s="71" t="s">
        <v>737</v>
      </c>
      <c r="P160" s="71" t="s">
        <v>737</v>
      </c>
      <c r="Q160" s="71" t="s">
        <v>737</v>
      </c>
      <c r="R160" s="71" t="s">
        <v>737</v>
      </c>
      <c r="S160" s="71" t="s">
        <v>737</v>
      </c>
      <c r="T160" s="71" t="s">
        <v>737</v>
      </c>
      <c r="U160" s="72" t="s">
        <v>737</v>
      </c>
      <c r="V160" s="9" t="s">
        <v>22</v>
      </c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>
        <f>IF(ISTEXT(D161),MAX($C$10:C160)+1,"")</f>
        <v>96</v>
      </c>
      <c r="D161" s="70" t="s">
        <v>738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 t="s">
        <v>76</v>
      </c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/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/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/>
      <c r="D164" s="73" t="s">
        <v>100</v>
      </c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5"/>
      <c r="V164" s="9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>
        <f>IF(ISTEXT(D165),MAX($C$10:C164)+1,"")</f>
        <v>97</v>
      </c>
      <c r="D165" s="70" t="s">
        <v>739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 t="s">
        <v>72</v>
      </c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>
        <f>IF(ISTEXT(D166),MAX($C$10:C165)+1,"")</f>
        <v>98</v>
      </c>
      <c r="D166" s="70" t="s">
        <v>740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 t="s">
        <v>22</v>
      </c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>
        <f>IF(ISTEXT(D167),MAX($C$10:C166)+1,"")</f>
        <v>99</v>
      </c>
      <c r="D167" s="70" t="s">
        <v>741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 t="s">
        <v>22</v>
      </c>
      <c r="W167" s="14"/>
      <c r="X167" s="14"/>
      <c r="Y167" s="14"/>
      <c r="Z167" s="14"/>
    </row>
    <row r="168" spans="2:26" s="15" customFormat="1" ht="16.149999999999999" customHeight="1" thickBot="1" x14ac:dyDescent="0.3">
      <c r="B168" s="8"/>
      <c r="C168" s="11">
        <f>IF(ISTEXT(D168),MAX($C$10:C167)+1,"")</f>
        <v>100</v>
      </c>
      <c r="D168" s="70" t="s">
        <v>742</v>
      </c>
      <c r="E168" s="71" t="s">
        <v>743</v>
      </c>
      <c r="F168" s="71" t="s">
        <v>743</v>
      </c>
      <c r="G168" s="71" t="s">
        <v>743</v>
      </c>
      <c r="H168" s="71" t="s">
        <v>743</v>
      </c>
      <c r="I168" s="71" t="s">
        <v>743</v>
      </c>
      <c r="J168" s="71" t="s">
        <v>743</v>
      </c>
      <c r="K168" s="71" t="s">
        <v>743</v>
      </c>
      <c r="L168" s="71" t="s">
        <v>743</v>
      </c>
      <c r="M168" s="71" t="s">
        <v>743</v>
      </c>
      <c r="N168" s="71" t="s">
        <v>743</v>
      </c>
      <c r="O168" s="71" t="s">
        <v>743</v>
      </c>
      <c r="P168" s="71" t="s">
        <v>743</v>
      </c>
      <c r="Q168" s="71" t="s">
        <v>743</v>
      </c>
      <c r="R168" s="71" t="s">
        <v>743</v>
      </c>
      <c r="S168" s="71" t="s">
        <v>743</v>
      </c>
      <c r="T168" s="71" t="s">
        <v>743</v>
      </c>
      <c r="U168" s="72" t="s">
        <v>743</v>
      </c>
      <c r="V168" s="9" t="s">
        <v>76</v>
      </c>
      <c r="W168" s="14"/>
      <c r="X168" s="14"/>
      <c r="Y168" s="14"/>
      <c r="Z168" s="14"/>
    </row>
    <row r="169" spans="2:26" s="15" customFormat="1" ht="16.149999999999999" customHeight="1" thickBot="1" x14ac:dyDescent="0.3">
      <c r="B169" s="8"/>
      <c r="C169" s="11">
        <f>IF(ISTEXT(D169),MAX($C$10:C168)+1,"")</f>
        <v>101</v>
      </c>
      <c r="D169" s="70" t="s">
        <v>744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 t="s">
        <v>22</v>
      </c>
      <c r="W169" s="14"/>
      <c r="X169" s="14"/>
      <c r="Y169" s="14"/>
      <c r="Z169" s="14"/>
    </row>
    <row r="170" spans="2:26" s="15" customFormat="1" ht="16.149999999999999" customHeight="1" thickBot="1" x14ac:dyDescent="0.3">
      <c r="B170" s="8"/>
      <c r="C170" s="11">
        <f>IF(ISTEXT(D170),MAX($C$10:C169)+1,"")</f>
        <v>102</v>
      </c>
      <c r="D170" s="70" t="s">
        <v>745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 t="s">
        <v>22</v>
      </c>
      <c r="W170" s="14"/>
      <c r="X170" s="14"/>
      <c r="Y170" s="14"/>
      <c r="Z170" s="14"/>
    </row>
    <row r="171" spans="2:26" s="15" customFormat="1" ht="16.149999999999999" customHeight="1" thickBot="1" x14ac:dyDescent="0.3">
      <c r="B171" s="8"/>
      <c r="C171" s="11">
        <f>IF(ISTEXT(D171),MAX($C$10:C170)+1,"")</f>
        <v>103</v>
      </c>
      <c r="D171" s="70" t="s">
        <v>746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 t="s">
        <v>22</v>
      </c>
      <c r="W171" s="14"/>
      <c r="X171" s="14"/>
      <c r="Y171" s="14"/>
      <c r="Z171" s="14"/>
    </row>
    <row r="172" spans="2:26" s="15" customFormat="1" ht="16.149999999999999" customHeight="1" thickBot="1" x14ac:dyDescent="0.3">
      <c r="B172" s="8"/>
      <c r="C172" s="11">
        <f>IF(ISTEXT(D172),MAX($C$10:C171)+1,"")</f>
        <v>104</v>
      </c>
      <c r="D172" s="70" t="s">
        <v>747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 t="s">
        <v>22</v>
      </c>
      <c r="W172" s="14"/>
      <c r="X172" s="14"/>
      <c r="Y172" s="14"/>
      <c r="Z172" s="14"/>
    </row>
    <row r="173" spans="2:26" s="15" customFormat="1" ht="16.149999999999999" customHeight="1" thickBot="1" x14ac:dyDescent="0.3">
      <c r="B173" s="8"/>
      <c r="C173" s="11">
        <f>IF(ISTEXT(D173),MAX($C$10:C172)+1,"")</f>
        <v>105</v>
      </c>
      <c r="D173" s="70" t="s">
        <v>748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 t="s">
        <v>22</v>
      </c>
      <c r="W173" s="14"/>
      <c r="X173" s="14"/>
      <c r="Y173" s="14"/>
      <c r="Z173" s="14"/>
    </row>
    <row r="174" spans="2:26" s="15" customFormat="1" ht="16.149999999999999" customHeight="1" thickBot="1" x14ac:dyDescent="0.3">
      <c r="B174" s="8"/>
      <c r="C174" s="11" t="str">
        <f>IF(ISTEXT(D174),MAX($C$10:C173)+1,"")</f>
        <v/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/>
      <c r="W174" s="14"/>
      <c r="X174" s="14"/>
      <c r="Y174" s="14"/>
      <c r="Z174" s="14"/>
    </row>
    <row r="175" spans="2:26" s="15" customFormat="1" ht="16.149999999999999" customHeight="1" thickBot="1" x14ac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/>
      <c r="W175" s="14"/>
      <c r="X175" s="14"/>
      <c r="Y175" s="14"/>
      <c r="Z175" s="14"/>
    </row>
    <row r="176" spans="2:26" s="15" customFormat="1" ht="16.149999999999999" customHeight="1" thickBot="1" x14ac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9"/>
      <c r="W176" s="14"/>
      <c r="X176" s="14"/>
      <c r="Y176" s="14"/>
      <c r="Z176" s="14"/>
    </row>
    <row r="177" spans="2:26" s="15" customFormat="1" ht="16.149999999999999" customHeight="1" thickBot="1" x14ac:dyDescent="0.3">
      <c r="B177" s="8"/>
      <c r="C177" s="11" t="str">
        <f>IF(ISTEXT(D177),MAX($C$10:C176)+1,"")</f>
        <v/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2"/>
      <c r="V177" s="9"/>
      <c r="W177" s="14"/>
      <c r="X177" s="14"/>
      <c r="Y177" s="14"/>
      <c r="Z177" s="14"/>
    </row>
    <row r="178" spans="2:26" s="15" customFormat="1" ht="16.149999999999999" customHeight="1" thickBot="1" x14ac:dyDescent="0.3">
      <c r="B178" s="8"/>
      <c r="C178" s="11" t="str">
        <f>IF(ISTEXT(D178),MAX($C$10:C177)+1,"")</f>
        <v/>
      </c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8"/>
      <c r="V178" s="14"/>
      <c r="W178" s="14"/>
      <c r="X178" s="14"/>
      <c r="Y178" s="14"/>
      <c r="Z178" s="14"/>
    </row>
    <row r="179" spans="2:26" ht="15" customHeight="1" x14ac:dyDescent="0.25">
      <c r="B179" s="69" t="s">
        <v>98</v>
      </c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</row>
    <row r="180" spans="2:26" x14ac:dyDescent="0.25">
      <c r="B180" s="20"/>
      <c r="C180" s="21"/>
      <c r="O180" s="22"/>
      <c r="P180" s="22"/>
      <c r="Q180" s="23"/>
      <c r="R180" s="23"/>
      <c r="S180" s="22"/>
      <c r="T180" s="22"/>
    </row>
    <row r="181" spans="2:26" ht="15.75" thickBot="1" x14ac:dyDescent="0.3">
      <c r="B181" s="57" t="s">
        <v>61</v>
      </c>
      <c r="C181" s="57"/>
      <c r="D181" s="57"/>
      <c r="E181" s="57"/>
      <c r="F181" s="57"/>
      <c r="G181" s="57"/>
      <c r="H181" s="57"/>
      <c r="I181" s="57"/>
      <c r="J181" s="57"/>
      <c r="K181" s="64">
        <f ca="1">$K$65</f>
        <v>45832</v>
      </c>
      <c r="L181" s="62"/>
      <c r="M181" s="62"/>
      <c r="N181" s="62"/>
      <c r="O181" s="59"/>
      <c r="P181" s="59"/>
      <c r="Q181" s="60"/>
      <c r="R181" s="60"/>
      <c r="S181" s="65"/>
      <c r="T181" s="65"/>
    </row>
    <row r="182" spans="2:26" ht="15" customHeight="1" x14ac:dyDescent="0.25">
      <c r="C182" s="29"/>
      <c r="I182" s="30"/>
      <c r="O182" s="65"/>
      <c r="P182" s="65"/>
      <c r="Q182" s="60"/>
      <c r="R182" s="60"/>
      <c r="S182" s="65"/>
      <c r="T182" s="65"/>
    </row>
    <row r="183" spans="2:26" ht="15.75" thickBot="1" x14ac:dyDescent="0.3">
      <c r="B183" s="57" t="s">
        <v>62</v>
      </c>
      <c r="C183" s="57"/>
      <c r="D183" s="79"/>
      <c r="E183" s="79"/>
      <c r="F183" s="79"/>
      <c r="G183" s="79"/>
      <c r="H183" s="79"/>
      <c r="I183" s="79"/>
      <c r="J183" s="79"/>
      <c r="K183" s="58" t="s">
        <v>532</v>
      </c>
      <c r="L183" s="58"/>
      <c r="M183" s="58"/>
      <c r="N183" s="58"/>
      <c r="O183" s="59"/>
      <c r="P183" s="59"/>
      <c r="Q183" s="94"/>
      <c r="R183" s="94"/>
      <c r="S183" s="79" t="s">
        <v>63</v>
      </c>
      <c r="T183" s="79"/>
      <c r="U183" s="79"/>
      <c r="V183" s="93"/>
      <c r="W183" s="93"/>
      <c r="X183" s="93"/>
      <c r="Y183" s="93"/>
    </row>
    <row r="184" spans="2:26" ht="15" customHeight="1" x14ac:dyDescent="0.25"/>
    <row r="185" spans="2:26" ht="15" customHeight="1" thickBot="1" x14ac:dyDescent="0.3"/>
    <row r="186" spans="2:26" ht="15" customHeight="1" x14ac:dyDescent="0.25">
      <c r="E186" s="88" t="s">
        <v>64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2" t="s">
        <v>126</v>
      </c>
      <c r="X186" s="79"/>
      <c r="Y186" s="79"/>
      <c r="Z186" s="79"/>
    </row>
    <row r="187" spans="2:26" ht="15" customHeight="1" thickBot="1" x14ac:dyDescent="0.3">
      <c r="E187" s="90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</row>
    <row r="188" spans="2:26" ht="10.5" customHeight="1" thickBot="1" x14ac:dyDescent="0.3"/>
    <row r="189" spans="2:26" ht="15" customHeight="1" thickBot="1" x14ac:dyDescent="0.3">
      <c r="J189" s="79" t="s">
        <v>2</v>
      </c>
      <c r="K189" s="79"/>
      <c r="L189" s="79"/>
      <c r="M189" s="80" t="str">
        <f>M4</f>
        <v>C1006</v>
      </c>
      <c r="N189" s="80"/>
      <c r="O189" s="80"/>
      <c r="P189" s="80"/>
    </row>
    <row r="190" spans="2:26" s="15" customFormat="1" ht="15" customHeight="1" thickBot="1" x14ac:dyDescent="0.3">
      <c r="I190" s="79" t="s">
        <v>4</v>
      </c>
      <c r="J190" s="79"/>
      <c r="K190" s="79"/>
      <c r="L190" s="79"/>
      <c r="M190" s="80"/>
      <c r="N190" s="80"/>
      <c r="O190" s="80"/>
      <c r="P190" s="80"/>
      <c r="Q190" s="81"/>
      <c r="R190" s="82"/>
      <c r="S190" s="82"/>
      <c r="T190" s="82"/>
      <c r="U190" s="82"/>
      <c r="V190" s="82"/>
    </row>
    <row r="191" spans="2:26" s="15" customFormat="1" ht="8.25" customHeight="1" thickBot="1" x14ac:dyDescent="0.3">
      <c r="M191" s="38"/>
      <c r="N191" s="38"/>
      <c r="O191" s="38"/>
      <c r="P191" s="38"/>
    </row>
    <row r="192" spans="2:26" s="15" customFormat="1" ht="15" customHeight="1" thickBot="1" x14ac:dyDescent="0.3">
      <c r="C192" s="83" t="s">
        <v>66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5" t="s">
        <v>532</v>
      </c>
      <c r="N192" s="86"/>
      <c r="O192" s="86"/>
      <c r="P192" s="86"/>
      <c r="Q192" s="86"/>
      <c r="R192" s="86"/>
      <c r="S192" s="87"/>
      <c r="T192" s="60"/>
      <c r="U192" s="60"/>
      <c r="V192" s="60"/>
      <c r="W192" s="60"/>
      <c r="X192" s="23"/>
    </row>
    <row r="193" spans="2:26" s="15" customFormat="1" ht="10.5" customHeight="1" thickBot="1" x14ac:dyDescent="0.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2:26" s="15" customFormat="1" ht="21" customHeight="1" thickBot="1" x14ac:dyDescent="0.3">
      <c r="B194" s="76" t="s">
        <v>67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8"/>
      <c r="V194" s="35" t="s">
        <v>8</v>
      </c>
      <c r="W194" s="35" t="s">
        <v>9</v>
      </c>
      <c r="X194" s="35" t="s">
        <v>10</v>
      </c>
      <c r="Y194" s="7" t="s">
        <v>11</v>
      </c>
      <c r="Z194" s="35" t="s">
        <v>12</v>
      </c>
    </row>
    <row r="195" spans="2:26" s="15" customFormat="1" ht="16.149999999999999" customHeight="1" thickBot="1" x14ac:dyDescent="0.3">
      <c r="B195" s="8"/>
      <c r="C195" s="39"/>
      <c r="D195" s="73" t="s">
        <v>127</v>
      </c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5"/>
      <c r="V195" s="14"/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IF(ISTEXT(D196),MAX($C$10:C195),"")</f>
        <v>105</v>
      </c>
      <c r="D196" s="70" t="s">
        <v>749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 t="s">
        <v>129</v>
      </c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>
        <f>IF(ISTEXT(D197),MAX($C$10:C196)+1,"")</f>
        <v>106</v>
      </c>
      <c r="D197" s="66" t="s">
        <v>608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 t="s">
        <v>72</v>
      </c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>
        <f>IF(ISTEXT(D198),MAX($C$10:C197)+1,"")</f>
        <v>107</v>
      </c>
      <c r="D198" s="66" t="s">
        <v>750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 t="s">
        <v>22</v>
      </c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>
        <f>IF(ISTEXT(D199),MAX($C$10:C198)+1,"")</f>
        <v>108</v>
      </c>
      <c r="D199" s="66" t="s">
        <v>751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 t="s">
        <v>129</v>
      </c>
      <c r="W199" s="14"/>
      <c r="X199" s="14"/>
      <c r="Y199" s="14"/>
      <c r="Z199" s="14"/>
    </row>
    <row r="200" spans="2:26" s="15" customFormat="1" ht="16.149999999999999" customHeight="1" thickBot="1" x14ac:dyDescent="0.3">
      <c r="B200" s="8"/>
      <c r="C200" s="11">
        <f>IF(ISTEXT(D200),MAX($C$10:C199)+1,"")</f>
        <v>109</v>
      </c>
      <c r="D200" s="66" t="s">
        <v>752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 t="s">
        <v>129</v>
      </c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>
        <f>IF(ISTEXT(D201),MAX($C$10:C200)+1,"")</f>
        <v>110</v>
      </c>
      <c r="D201" s="70" t="s">
        <v>753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 t="s">
        <v>22</v>
      </c>
      <c r="W201" s="14"/>
      <c r="X201" s="14"/>
      <c r="Y201" s="14"/>
      <c r="Z201" s="14"/>
    </row>
    <row r="202" spans="2:26" ht="16.149999999999999" customHeight="1" thickBot="1" x14ac:dyDescent="0.3">
      <c r="B202" s="8"/>
      <c r="C202" s="11">
        <f>IF(ISTEXT(D202),MAX($C$10:C201)+1,"")</f>
        <v>111</v>
      </c>
      <c r="D202" s="66" t="s">
        <v>754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 t="s">
        <v>129</v>
      </c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>
        <f>IF(ISTEXT(D203),MAX($C$10:C202)+1,"")</f>
        <v>112</v>
      </c>
      <c r="D203" s="66" t="s">
        <v>755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 t="s">
        <v>76</v>
      </c>
      <c r="W203" s="14"/>
      <c r="X203" s="14"/>
      <c r="Y203" s="14"/>
      <c r="Z203" s="14"/>
    </row>
    <row r="204" spans="2:26" s="15" customFormat="1" ht="16.149999999999999" customHeight="1" thickBot="1" x14ac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 t="str">
        <f>IF(ISTEXT(D205),MAX($C$10:C204)+1,"")</f>
        <v/>
      </c>
      <c r="D205" s="70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/>
      <c r="W205" s="14"/>
      <c r="X205" s="14"/>
      <c r="Y205" s="14"/>
      <c r="Z205" s="14"/>
    </row>
    <row r="206" spans="2:26" s="15" customFormat="1" ht="15.95" customHeight="1" thickBot="1" x14ac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/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/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 t="str">
        <f>IF(ISTEXT(D208),MAX($C$10:C207)+1,"")</f>
        <v/>
      </c>
      <c r="D208" s="70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/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/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 t="str">
        <f>IF(ISTEXT(D210),MAX($C$10:C209)+1,"")</f>
        <v/>
      </c>
      <c r="D210" s="66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/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 t="str">
        <f>IF(ISTEXT(D211),MAX($C$10:C210)+1,"")</f>
        <v/>
      </c>
      <c r="D211" s="66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/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 t="str">
        <f>IF(ISTEXT(D212),MAX($C$10:C211)+1,"")</f>
        <v/>
      </c>
      <c r="D212" s="70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/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 t="str">
        <f>IF(ISTEXT(D213),MAX($C$10:C212)+1,"")</f>
        <v/>
      </c>
      <c r="D213" s="70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/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 t="str">
        <f>IF(ISTEXT(#REF!),MAX($C$10:C213)+1,"")</f>
        <v/>
      </c>
      <c r="D214" s="73" t="s">
        <v>148</v>
      </c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5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>
        <f>IF(ISTEXT(D215),MAX($C$10:C214)+1,"")</f>
        <v>113</v>
      </c>
      <c r="D215" s="66" t="s">
        <v>756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 t="s">
        <v>72</v>
      </c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114</v>
      </c>
      <c r="D216" s="66" t="s">
        <v>757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 t="s">
        <v>22</v>
      </c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115</v>
      </c>
      <c r="D217" s="66" t="s">
        <v>758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 t="s">
        <v>22</v>
      </c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116</v>
      </c>
      <c r="D218" s="66" t="s">
        <v>759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 t="s">
        <v>22</v>
      </c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117</v>
      </c>
      <c r="D219" s="66" t="s">
        <v>760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 t="s">
        <v>52</v>
      </c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118</v>
      </c>
      <c r="D220" s="66" t="s">
        <v>761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 t="s">
        <v>52</v>
      </c>
      <c r="W220" s="14"/>
      <c r="X220" s="14"/>
      <c r="Y220" s="14"/>
      <c r="Z220" s="14"/>
    </row>
    <row r="221" spans="2:26" s="15" customFormat="1" ht="16.149999999999999" customHeight="1" thickBot="1" x14ac:dyDescent="0.3">
      <c r="B221" s="8"/>
      <c r="C221" s="11">
        <f>IF(ISTEXT(D221),MAX($C$10:C220)+1,"")</f>
        <v>119</v>
      </c>
      <c r="D221" s="66" t="s">
        <v>762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 t="s">
        <v>22</v>
      </c>
      <c r="W221" s="14"/>
      <c r="X221" s="14"/>
      <c r="Y221" s="14"/>
      <c r="Z221" s="14"/>
    </row>
    <row r="222" spans="2:26" s="15" customFormat="1" ht="16.149999999999999" customHeight="1" thickBot="1" x14ac:dyDescent="0.3">
      <c r="B222" s="8"/>
      <c r="C222" s="11">
        <f>IF(ISTEXT(D222),MAX($C$10:C221)+1,"")</f>
        <v>120</v>
      </c>
      <c r="D222" s="66" t="s">
        <v>763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 t="s">
        <v>72</v>
      </c>
      <c r="W222" s="14"/>
      <c r="X222" s="14"/>
      <c r="Y222" s="14"/>
      <c r="Z222" s="14"/>
    </row>
    <row r="223" spans="2:26" s="15" customFormat="1" ht="16.149999999999999" customHeight="1" thickBot="1" x14ac:dyDescent="0.3">
      <c r="B223" s="8"/>
      <c r="C223" s="11">
        <f>IF(ISTEXT(D223),MAX($C$10:C222)+1,"")</f>
        <v>121</v>
      </c>
      <c r="D223" s="66" t="s">
        <v>764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 t="s">
        <v>22</v>
      </c>
      <c r="W223" s="14"/>
      <c r="X223" s="14"/>
      <c r="Y223" s="14"/>
      <c r="Z223" s="14"/>
    </row>
    <row r="224" spans="2:26" s="15" customFormat="1" ht="16.149999999999999" customHeight="1" thickBot="1" x14ac:dyDescent="0.3">
      <c r="B224" s="8"/>
      <c r="C224" s="11">
        <f>IF(ISTEXT(D224),MAX($C$10:C223)+1,"")</f>
        <v>122</v>
      </c>
      <c r="D224" s="66" t="s">
        <v>765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 t="s">
        <v>22</v>
      </c>
      <c r="W224" s="14"/>
      <c r="X224" s="14"/>
      <c r="Y224" s="14"/>
      <c r="Z224" s="14"/>
    </row>
    <row r="225" spans="2:26" s="15" customFormat="1" ht="16.149999999999999" customHeight="1" thickBot="1" x14ac:dyDescent="0.3">
      <c r="B225" s="8"/>
      <c r="C225" s="11">
        <f>IF(ISTEXT(D225),MAX($C$10:C224)+1,"")</f>
        <v>123</v>
      </c>
      <c r="D225" s="66" t="s">
        <v>766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 t="s">
        <v>52</v>
      </c>
      <c r="W225" s="14"/>
      <c r="X225" s="14"/>
      <c r="Y225" s="14"/>
      <c r="Z225" s="14"/>
    </row>
    <row r="226" spans="2:26" s="15" customFormat="1" ht="16.149999999999999" customHeight="1" thickBot="1" x14ac:dyDescent="0.3">
      <c r="B226" s="8"/>
      <c r="C226" s="11">
        <f>IF(ISTEXT(D226),MAX($C$10:C225)+1,"")</f>
        <v>124</v>
      </c>
      <c r="D226" s="66" t="s">
        <v>767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 t="s">
        <v>72</v>
      </c>
      <c r="W226" s="14"/>
      <c r="X226" s="14"/>
      <c r="Y226" s="14"/>
      <c r="Z226" s="14"/>
    </row>
    <row r="227" spans="2:26" s="15" customFormat="1" ht="16.149999999999999" customHeight="1" thickBot="1" x14ac:dyDescent="0.3">
      <c r="B227" s="8"/>
      <c r="C227" s="11">
        <f>IF(ISTEXT(D227),MAX($C$10:C226)+1,"")</f>
        <v>125</v>
      </c>
      <c r="D227" s="66" t="s">
        <v>439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 t="s">
        <v>76</v>
      </c>
      <c r="W227" s="14"/>
      <c r="X227" s="14"/>
      <c r="Y227" s="14"/>
      <c r="Z227" s="14"/>
    </row>
    <row r="228" spans="2:26" s="15" customFormat="1" ht="16.149999999999999" customHeight="1" thickBot="1" x14ac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/>
      <c r="W228" s="14"/>
      <c r="X228" s="14"/>
      <c r="Y228" s="14"/>
      <c r="Z228" s="14"/>
    </row>
    <row r="229" spans="2:26" s="15" customFormat="1" ht="16.149999999999999" customHeight="1" thickBot="1" x14ac:dyDescent="0.3">
      <c r="B229" s="8"/>
      <c r="C229" s="11"/>
      <c r="D229" s="150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2"/>
      <c r="V229" s="10"/>
      <c r="W229" s="14"/>
      <c r="X229" s="14"/>
      <c r="Y229" s="14"/>
      <c r="Z229" s="14"/>
    </row>
    <row r="230" spans="2:26" s="15" customFormat="1" ht="16.149999999999999" customHeight="1" thickBot="1" x14ac:dyDescent="0.3">
      <c r="B230" s="8"/>
      <c r="C230" s="11"/>
      <c r="D230" s="66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8"/>
      <c r="V230" s="10"/>
      <c r="W230" s="14"/>
      <c r="X230" s="14"/>
      <c r="Y230" s="14"/>
      <c r="Z230" s="14"/>
    </row>
    <row r="231" spans="2:26" s="15" customFormat="1" ht="16.149999999999999" customHeight="1" thickBot="1" x14ac:dyDescent="0.3">
      <c r="B231" s="8"/>
      <c r="C231" s="11"/>
      <c r="D231" s="70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2"/>
      <c r="V231" s="14"/>
      <c r="W231" s="14"/>
      <c r="X231" s="14"/>
      <c r="Y231" s="14"/>
      <c r="Z231" s="14"/>
    </row>
    <row r="232" spans="2:26" ht="15" customHeight="1" x14ac:dyDescent="0.25">
      <c r="B232" s="69" t="s">
        <v>60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</row>
    <row r="233" spans="2:26" x14ac:dyDescent="0.25">
      <c r="B233" s="20"/>
      <c r="C233" s="21"/>
      <c r="O233" s="22"/>
      <c r="P233" s="22"/>
      <c r="Q233" s="23"/>
      <c r="R233" s="23"/>
      <c r="S233" s="22"/>
      <c r="T233" s="22"/>
    </row>
    <row r="234" spans="2:26" ht="15.75" thickBot="1" x14ac:dyDescent="0.3">
      <c r="B234" s="57" t="s">
        <v>61</v>
      </c>
      <c r="C234" s="57"/>
      <c r="D234" s="57"/>
      <c r="E234" s="57"/>
      <c r="F234" s="57"/>
      <c r="G234" s="57"/>
      <c r="H234" s="57"/>
      <c r="I234" s="57"/>
      <c r="J234" s="57"/>
      <c r="K234" s="64">
        <f ca="1">$K$65</f>
        <v>45832</v>
      </c>
      <c r="L234" s="62"/>
      <c r="M234" s="62"/>
      <c r="N234" s="62"/>
      <c r="O234" s="59"/>
      <c r="P234" s="59"/>
      <c r="Q234" s="60"/>
      <c r="R234" s="60"/>
      <c r="S234" s="65"/>
      <c r="T234" s="65"/>
    </row>
    <row r="235" spans="2:26" ht="15" customHeight="1" x14ac:dyDescent="0.25">
      <c r="C235" s="29"/>
      <c r="I235" s="30"/>
      <c r="K235" s="4"/>
      <c r="L235" s="4"/>
      <c r="M235" s="4"/>
      <c r="N235" s="4"/>
      <c r="O235" s="27"/>
      <c r="P235" s="27"/>
      <c r="Q235" s="60"/>
      <c r="R235" s="60"/>
      <c r="S235" s="65"/>
      <c r="T235" s="65"/>
    </row>
    <row r="236" spans="2:26" ht="18" customHeight="1" thickBot="1" x14ac:dyDescent="0.3">
      <c r="B236" s="57" t="s">
        <v>62</v>
      </c>
      <c r="C236" s="57"/>
      <c r="D236" s="57"/>
      <c r="E236" s="57"/>
      <c r="F236" s="57"/>
      <c r="G236" s="57"/>
      <c r="H236" s="57"/>
      <c r="I236" s="57"/>
      <c r="J236" s="57"/>
      <c r="K236" s="58" t="s">
        <v>532</v>
      </c>
      <c r="L236" s="58"/>
      <c r="M236" s="58"/>
      <c r="N236" s="58"/>
      <c r="O236" s="59"/>
      <c r="P236" s="59"/>
      <c r="Q236" s="60"/>
      <c r="R236" s="60"/>
      <c r="S236" s="61" t="s">
        <v>63</v>
      </c>
      <c r="T236" s="61"/>
      <c r="U236" s="61"/>
      <c r="V236" s="62"/>
      <c r="W236" s="63"/>
      <c r="X236" s="62"/>
      <c r="Y236" s="62"/>
    </row>
    <row r="237" spans="2:26" ht="18" customHeight="1" thickBot="1" x14ac:dyDescent="0.3">
      <c r="B237" s="24"/>
      <c r="C237" s="24"/>
      <c r="D237" s="24"/>
      <c r="E237" s="24"/>
      <c r="F237" s="24"/>
      <c r="G237" s="24"/>
      <c r="H237" s="24"/>
      <c r="I237" s="24"/>
      <c r="J237" s="24"/>
      <c r="K237" s="31"/>
      <c r="L237" s="31"/>
      <c r="M237" s="31"/>
      <c r="N237" s="31"/>
      <c r="O237" s="26"/>
      <c r="P237" s="26"/>
      <c r="Q237" s="23"/>
      <c r="R237" s="23"/>
      <c r="S237" s="40"/>
      <c r="T237" s="40"/>
      <c r="U237" s="40"/>
      <c r="V237" s="25"/>
      <c r="W237" s="1"/>
      <c r="X237" s="4"/>
      <c r="Y237" s="4"/>
    </row>
    <row r="238" spans="2:26" ht="18" customHeight="1" thickBot="1" x14ac:dyDescent="0.3">
      <c r="B238" s="24"/>
      <c r="C238" s="24"/>
      <c r="D238" s="24"/>
      <c r="E238" s="24"/>
      <c r="F238" s="24"/>
      <c r="G238" s="24"/>
      <c r="H238" s="24"/>
      <c r="I238" s="24"/>
      <c r="J238" s="24"/>
      <c r="K238" s="31"/>
      <c r="L238" s="31"/>
      <c r="M238" s="31"/>
      <c r="N238" s="31"/>
      <c r="O238" s="26"/>
      <c r="P238" s="26"/>
      <c r="Q238" s="23"/>
      <c r="R238" s="23"/>
      <c r="S238" s="40"/>
      <c r="T238" s="40"/>
      <c r="U238" s="40"/>
      <c r="V238" s="25"/>
      <c r="W238" s="1"/>
      <c r="X238" s="4"/>
      <c r="Y238" s="4"/>
    </row>
    <row r="239" spans="2:26" ht="15" customHeight="1" x14ac:dyDescent="0.25">
      <c r="E239" s="88" t="s">
        <v>64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2" t="s">
        <v>159</v>
      </c>
      <c r="X239" s="79"/>
      <c r="Y239" s="79"/>
      <c r="Z239" s="79"/>
    </row>
    <row r="240" spans="2:26" ht="15" customHeight="1" thickBot="1" x14ac:dyDescent="0.3">
      <c r="E240" s="90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</row>
    <row r="241" spans="2:26" ht="10.5" customHeight="1" thickBot="1" x14ac:dyDescent="0.3"/>
    <row r="242" spans="2:26" ht="15" customHeight="1" thickBot="1" x14ac:dyDescent="0.3">
      <c r="J242" s="79" t="s">
        <v>2</v>
      </c>
      <c r="K242" s="79"/>
      <c r="L242" s="79"/>
      <c r="M242" s="80" t="str">
        <f>M4</f>
        <v>C1006</v>
      </c>
      <c r="N242" s="80"/>
      <c r="O242" s="80"/>
      <c r="P242" s="80"/>
    </row>
    <row r="243" spans="2:26" s="15" customFormat="1" ht="15" customHeight="1" thickBot="1" x14ac:dyDescent="0.3">
      <c r="I243" s="79" t="s">
        <v>4</v>
      </c>
      <c r="J243" s="79"/>
      <c r="K243" s="79"/>
      <c r="L243" s="79"/>
      <c r="M243" s="80"/>
      <c r="N243" s="80"/>
      <c r="O243" s="80"/>
      <c r="P243" s="80"/>
      <c r="Q243" s="81"/>
      <c r="R243" s="82"/>
      <c r="S243" s="82"/>
      <c r="T243" s="82"/>
      <c r="U243" s="82"/>
      <c r="V243" s="82"/>
    </row>
    <row r="244" spans="2:26" s="15" customFormat="1" ht="8.25" customHeight="1" thickBot="1" x14ac:dyDescent="0.3">
      <c r="M244" s="38"/>
      <c r="N244" s="38"/>
      <c r="O244" s="38"/>
      <c r="P244" s="38"/>
    </row>
    <row r="245" spans="2:26" s="15" customFormat="1" ht="15" customHeight="1" thickBot="1" x14ac:dyDescent="0.3">
      <c r="C245" s="83" t="s">
        <v>66</v>
      </c>
      <c r="D245" s="83"/>
      <c r="E245" s="83"/>
      <c r="F245" s="83"/>
      <c r="G245" s="83"/>
      <c r="H245" s="83"/>
      <c r="I245" s="83"/>
      <c r="J245" s="83"/>
      <c r="K245" s="83"/>
      <c r="L245" s="84"/>
      <c r="M245" s="85" t="s">
        <v>532</v>
      </c>
      <c r="N245" s="86"/>
      <c r="O245" s="86"/>
      <c r="P245" s="86"/>
      <c r="Q245" s="86"/>
      <c r="R245" s="86"/>
      <c r="S245" s="87"/>
      <c r="T245" s="60"/>
      <c r="U245" s="60"/>
      <c r="V245" s="60"/>
      <c r="W245" s="60"/>
      <c r="X245" s="23"/>
    </row>
    <row r="246" spans="2:26" s="15" customFormat="1" ht="10.5" customHeight="1" thickBot="1" x14ac:dyDescent="0.3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2:26" s="15" customFormat="1" ht="21" customHeight="1" thickBot="1" x14ac:dyDescent="0.3">
      <c r="B247" s="76" t="s">
        <v>67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8"/>
      <c r="V247" s="35" t="s">
        <v>8</v>
      </c>
      <c r="W247" s="35" t="s">
        <v>9</v>
      </c>
      <c r="X247" s="35" t="s">
        <v>10</v>
      </c>
      <c r="Y247" s="7" t="s">
        <v>11</v>
      </c>
      <c r="Z247" s="35" t="s">
        <v>12</v>
      </c>
    </row>
    <row r="248" spans="2:26" s="15" customFormat="1" ht="16.149999999999999" customHeight="1" thickBot="1" x14ac:dyDescent="0.3">
      <c r="B248" s="8"/>
      <c r="C248" s="11" t="str">
        <f>IF(ISTEXT(#REF!),MAX($C$10:C246)+1,"")</f>
        <v/>
      </c>
      <c r="D248" s="73" t="s">
        <v>160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4"/>
      <c r="W248" s="14"/>
      <c r="X248" s="14"/>
      <c r="Y248" s="14"/>
      <c r="Z248" s="14"/>
    </row>
    <row r="249" spans="2:26" s="15" customFormat="1" ht="16.149999999999999" customHeight="1" thickBot="1" x14ac:dyDescent="0.3">
      <c r="B249" s="8"/>
      <c r="C249" s="11">
        <f>IF(ISTEXT(D249),MAX($C$10:C248)+1,"")</f>
        <v>126</v>
      </c>
      <c r="D249" s="66" t="s">
        <v>768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 t="s">
        <v>22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8"/>
      <c r="C250" s="11">
        <f>IF(ISTEXT(D250),MAX($C$10:C249)+1,"")</f>
        <v>127</v>
      </c>
      <c r="D250" s="66" t="s">
        <v>769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">
        <v>22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11">
        <f>IF(ISTEXT(D251),MAX($C$10:C250)+1,"")</f>
        <v>128</v>
      </c>
      <c r="D251" s="66" t="s">
        <v>770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 t="s">
        <v>52</v>
      </c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11">
        <f>IF(ISTEXT(D252),MAX($C$10:C251)+1,"")</f>
        <v>129</v>
      </c>
      <c r="D252" s="66" t="s">
        <v>771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 t="s">
        <v>52</v>
      </c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130</v>
      </c>
      <c r="D253" s="66" t="s">
        <v>772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 t="s">
        <v>22</v>
      </c>
      <c r="W253" s="14"/>
      <c r="X253" s="14"/>
      <c r="Y253" s="14"/>
      <c r="Z253" s="14"/>
    </row>
    <row r="254" spans="2:26" s="15" customFormat="1" ht="16.149999999999999" customHeight="1" thickBot="1" x14ac:dyDescent="0.3">
      <c r="B254" s="8"/>
      <c r="C254" s="44">
        <f>IF(ISTEXT(D254),MAX($C$10:C253)+1,"")</f>
        <v>131</v>
      </c>
      <c r="D254" s="66" t="s">
        <v>773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 t="s">
        <v>72</v>
      </c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 t="str">
        <f>IF(ISTEXT(D255),MAX($C$10:C254)+1,"")</f>
        <v/>
      </c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/>
      <c r="W255" s="14"/>
      <c r="X255" s="14"/>
      <c r="Y255" s="14"/>
      <c r="Z255" s="14"/>
    </row>
    <row r="256" spans="2:26" ht="16.149999999999999" customHeight="1" thickBot="1" x14ac:dyDescent="0.3">
      <c r="B256" s="8"/>
      <c r="C256" s="44" t="str">
        <f>IF(ISTEXT(D256),MAX($C$10:C255)+1,"")</f>
        <v/>
      </c>
      <c r="D256" s="66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0"/>
      <c r="W256" s="14"/>
      <c r="X256" s="14"/>
      <c r="Y256" s="14"/>
      <c r="Z256" s="14"/>
    </row>
    <row r="257" spans="2:26" s="15" customFormat="1" ht="16.149999999999999" customHeight="1" thickBot="1" x14ac:dyDescent="0.3">
      <c r="B257" s="8"/>
      <c r="C257" s="44" t="str">
        <f>IF(ISTEXT(D257),MAX($C$10:C256)+1,"")</f>
        <v/>
      </c>
      <c r="D257" s="66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8"/>
      <c r="V257" s="10"/>
      <c r="W257" s="14"/>
      <c r="X257" s="14"/>
      <c r="Y257" s="14"/>
      <c r="Z257" s="14"/>
    </row>
    <row r="258" spans="2:26" s="15" customFormat="1" ht="16.149999999999999" customHeight="1" thickBot="1" x14ac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/>
      <c r="W258" s="14"/>
      <c r="X258" s="14"/>
      <c r="Y258" s="14"/>
      <c r="Z258" s="14"/>
    </row>
    <row r="259" spans="2:26" s="15" customFormat="1" ht="16.149999999999999" customHeight="1" thickBot="1" x14ac:dyDescent="0.3">
      <c r="B259" s="13"/>
      <c r="C259" s="44" t="str">
        <f>IF(ISTEXT(D259),MAX($C$10:C258)+1,"")</f>
        <v/>
      </c>
      <c r="D259" s="70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8"/>
      <c r="W259" s="14"/>
      <c r="X259" s="14"/>
      <c r="Y259" s="14"/>
      <c r="Z259" s="14"/>
    </row>
    <row r="260" spans="2:26" s="15" customFormat="1" ht="15.95" customHeight="1" thickBot="1" x14ac:dyDescent="0.3">
      <c r="B260" s="13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8"/>
      <c r="W260" s="14"/>
      <c r="X260" s="14"/>
      <c r="Y260" s="14"/>
      <c r="Z260" s="14"/>
    </row>
    <row r="261" spans="2:26" s="15" customFormat="1" ht="16.149999999999999" customHeight="1" thickBot="1" x14ac:dyDescent="0.3">
      <c r="B261" s="13"/>
      <c r="C261" s="44" t="str">
        <f>IF(ISTEXT(D261),MAX($C$10:C260)+1,"")</f>
        <v/>
      </c>
      <c r="D261" s="66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8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44" t="str">
        <f>IF(ISTEXT(D262),MAX($C$10:C261)+1,"")</f>
        <v/>
      </c>
      <c r="D262" s="66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8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/>
      <c r="D263" s="73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5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11"/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/>
      <c r="D265" s="66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8"/>
      <c r="V265" s="10"/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45"/>
      <c r="D266" s="73" t="s">
        <v>168</v>
      </c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5"/>
      <c r="V266" s="10"/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>
        <f>IF(ISTEXT(D267),MAX($C$10:C266)+1,"")</f>
        <v>132</v>
      </c>
      <c r="D267" s="70" t="s">
        <v>774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 t="s">
        <v>129</v>
      </c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>
        <f>IF(ISTEXT(D268),MAX($C$10:C267)+1,"")</f>
        <v>133</v>
      </c>
      <c r="D268" s="66" t="s">
        <v>775</v>
      </c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8"/>
      <c r="V268" s="10" t="s">
        <v>129</v>
      </c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/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 t="str">
        <f>IF(ISTEXT(D270),MAX($C$10:C269)+1,"")</f>
        <v/>
      </c>
      <c r="D270" s="70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/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 t="str">
        <f>IF(ISTEXT(D271),MAX($C$10:C270)+1,"")</f>
        <v/>
      </c>
      <c r="D271" s="70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/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 t="str">
        <f>IF(ISTEXT(D272),MAX($C$10:C271)+1,"")</f>
        <v/>
      </c>
      <c r="D272" s="70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/>
      <c r="W272" s="14"/>
      <c r="X272" s="14"/>
      <c r="Y272" s="14"/>
      <c r="Z272" s="14"/>
    </row>
    <row r="273" spans="2:26" s="15" customFormat="1" ht="16.149999999999999" customHeight="1" thickBot="1" x14ac:dyDescent="0.3">
      <c r="B273" s="8"/>
      <c r="C273" s="11" t="str">
        <f>IF(ISTEXT(D273),MAX($C$10:C272)+1,"")</f>
        <v/>
      </c>
      <c r="D273" s="70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10"/>
      <c r="W273" s="14"/>
      <c r="X273" s="14"/>
      <c r="Y273" s="14"/>
      <c r="Z273" s="14"/>
    </row>
    <row r="274" spans="2:26" s="15" customFormat="1" ht="16.149999999999999" customHeight="1" thickBot="1" x14ac:dyDescent="0.3">
      <c r="B274" s="8"/>
      <c r="C274" s="11" t="str">
        <f>IF(ISTEXT(D274),MAX($C$10:C273)+1,"")</f>
        <v/>
      </c>
      <c r="D274" s="70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2"/>
      <c r="V274" s="10"/>
      <c r="W274" s="14"/>
      <c r="X274" s="14"/>
      <c r="Y274" s="14"/>
      <c r="Z274" s="14"/>
    </row>
    <row r="275" spans="2:26" s="15" customFormat="1" ht="16.149999999999999" customHeight="1" thickBot="1" x14ac:dyDescent="0.3">
      <c r="B275" s="8"/>
      <c r="C275" s="11" t="str">
        <f>IF(ISTEXT(D275),MAX($C$10:C274)+1,"")</f>
        <v/>
      </c>
      <c r="D275" s="66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/>
      <c r="W275" s="14"/>
      <c r="X275" s="14"/>
      <c r="Y275" s="14"/>
      <c r="Z275" s="14"/>
    </row>
    <row r="276" spans="2:26" s="15" customFormat="1" ht="16.149999999999999" customHeight="1" thickBot="1" x14ac:dyDescent="0.3">
      <c r="B276" s="8"/>
      <c r="C276" s="11"/>
      <c r="D276" s="73" t="s">
        <v>181</v>
      </c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5"/>
      <c r="V276" s="10"/>
      <c r="W276" s="14"/>
      <c r="X276" s="14"/>
      <c r="Y276" s="14"/>
      <c r="Z276" s="14"/>
    </row>
    <row r="277" spans="2:26" s="15" customFormat="1" ht="16.149999999999999" customHeight="1" thickBot="1" x14ac:dyDescent="0.3">
      <c r="B277" s="8"/>
      <c r="C277" s="11">
        <f>IF(ISTEXT(D277),MAX($C$10:C276)+1,"")</f>
        <v>134</v>
      </c>
      <c r="D277" s="137" t="s">
        <v>776</v>
      </c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0"/>
      <c r="W277" s="14"/>
      <c r="X277" s="14"/>
      <c r="Y277" s="14"/>
      <c r="Z277" s="14"/>
    </row>
    <row r="278" spans="2:26" s="15" customFormat="1" ht="16.149999999999999" customHeight="1" thickBot="1" x14ac:dyDescent="0.3">
      <c r="B278" s="8"/>
      <c r="C278" s="11" t="str">
        <f>IF(ISTEXT(D278),MAX($C$10:C277)+1,"")</f>
        <v/>
      </c>
      <c r="D278" s="70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10"/>
      <c r="W278" s="14"/>
      <c r="X278" s="14"/>
      <c r="Y278" s="14"/>
      <c r="Z278" s="14"/>
    </row>
    <row r="279" spans="2:26" s="15" customFormat="1" ht="16.149999999999999" customHeight="1" thickBot="1" x14ac:dyDescent="0.3">
      <c r="B279" s="8"/>
      <c r="C279" s="11" t="str">
        <f>IF(ISTEXT(D279),MAX($C$10:C278)+1,"")</f>
        <v/>
      </c>
      <c r="D279" s="66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8"/>
      <c r="V279" s="10"/>
      <c r="W279" s="14"/>
      <c r="X279" s="14"/>
      <c r="Y279" s="14"/>
      <c r="Z279" s="14"/>
    </row>
    <row r="280" spans="2:26" s="15" customFormat="1" ht="16.149999999999999" customHeight="1" thickBot="1" x14ac:dyDescent="0.3">
      <c r="B280" s="8"/>
      <c r="C280" s="11" t="str">
        <f>IF(ISTEXT(D280),MAX($C$10:C279)+1,"")</f>
        <v/>
      </c>
      <c r="D280" s="156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8"/>
      <c r="V280" s="10"/>
      <c r="W280" s="14"/>
      <c r="X280" s="14"/>
      <c r="Y280" s="14"/>
      <c r="Z280" s="14"/>
    </row>
    <row r="281" spans="2:26" s="15" customFormat="1" ht="16.149999999999999" customHeight="1" thickBot="1" x14ac:dyDescent="0.3">
      <c r="B281" s="8"/>
      <c r="C281" s="11" t="str">
        <f>IF(ISTEXT(D281),MAX($C$10:C280)+1,"")</f>
        <v/>
      </c>
      <c r="D281" s="159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1"/>
      <c r="V281" s="10"/>
      <c r="W281" s="14"/>
      <c r="X281" s="14"/>
      <c r="Y281" s="14"/>
      <c r="Z281" s="14"/>
    </row>
    <row r="282" spans="2:26" s="15" customFormat="1" ht="16.149999999999999" customHeight="1" thickBot="1" x14ac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/>
      <c r="W282" s="14"/>
      <c r="X282" s="14"/>
      <c r="Y282" s="14"/>
      <c r="Z282" s="14"/>
    </row>
    <row r="283" spans="2:26" s="15" customFormat="1" ht="16.149999999999999" customHeight="1" thickBot="1" x14ac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/>
      <c r="W283" s="14"/>
      <c r="X283" s="14"/>
      <c r="Y283" s="14"/>
      <c r="Z283" s="14"/>
    </row>
    <row r="284" spans="2:26" s="15" customFormat="1" ht="16.149999999999999" customHeight="1" thickBot="1" x14ac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/>
      <c r="W284" s="14"/>
      <c r="X284" s="14"/>
      <c r="Y284" s="14"/>
      <c r="Z284" s="14"/>
    </row>
    <row r="285" spans="2:26" s="15" customFormat="1" ht="16.149999999999999" customHeight="1" thickBot="1" x14ac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0"/>
      <c r="W285" s="14"/>
      <c r="X285" s="14"/>
      <c r="Y285" s="14"/>
      <c r="Z285" s="14"/>
    </row>
    <row r="286" spans="2:26" s="15" customFormat="1" ht="16.149999999999999" customHeight="1" thickBot="1" x14ac:dyDescent="0.3">
      <c r="B286" s="8"/>
      <c r="C286" s="11" t="str">
        <f>IF(ISTEXT(D286),MAX($C$10:C285)+1,"")</f>
        <v/>
      </c>
      <c r="D286" s="66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8"/>
      <c r="V286" s="10"/>
      <c r="W286" s="14"/>
      <c r="X286" s="14"/>
      <c r="Y286" s="14"/>
      <c r="Z286" s="14"/>
    </row>
    <row r="287" spans="2:26" s="15" customFormat="1" ht="16.149999999999999" customHeight="1" thickBot="1" x14ac:dyDescent="0.3">
      <c r="B287" s="8"/>
      <c r="C287" s="11" t="str">
        <f>IF(ISTEXT(D287),MAX($C$10:C286)+1,"")</f>
        <v/>
      </c>
      <c r="D287" s="66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8"/>
      <c r="V287" s="14"/>
      <c r="W287" s="14"/>
      <c r="X287" s="14"/>
      <c r="Y287" s="14"/>
      <c r="Z287" s="14"/>
    </row>
    <row r="288" spans="2:26" ht="15" customHeight="1" x14ac:dyDescent="0.25">
      <c r="B288" s="69" t="s">
        <v>60</v>
      </c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</row>
    <row r="289" spans="2:256" x14ac:dyDescent="0.25">
      <c r="B289" s="20"/>
      <c r="C289" s="21"/>
      <c r="O289" s="22"/>
      <c r="P289" s="22"/>
      <c r="Q289" s="23"/>
      <c r="R289" s="23"/>
      <c r="S289" s="22"/>
      <c r="T289" s="22"/>
    </row>
    <row r="290" spans="2:256" ht="15.75" thickBot="1" x14ac:dyDescent="0.3">
      <c r="B290" s="57" t="s">
        <v>61</v>
      </c>
      <c r="C290" s="57"/>
      <c r="D290" s="57"/>
      <c r="E290" s="57"/>
      <c r="F290" s="57"/>
      <c r="G290" s="57"/>
      <c r="H290" s="57"/>
      <c r="I290" s="57"/>
      <c r="J290" s="57"/>
      <c r="K290" s="64">
        <f ca="1">$K$65</f>
        <v>45832</v>
      </c>
      <c r="L290" s="62"/>
      <c r="M290" s="62"/>
      <c r="N290" s="62"/>
      <c r="O290" s="59"/>
      <c r="P290" s="59"/>
      <c r="Q290" s="60"/>
      <c r="R290" s="60"/>
      <c r="S290" s="65"/>
      <c r="T290" s="65"/>
    </row>
    <row r="291" spans="2:256" ht="15" customHeight="1" x14ac:dyDescent="0.25">
      <c r="C291" s="29"/>
      <c r="I291" s="30"/>
      <c r="K291" s="4"/>
      <c r="L291" s="4"/>
      <c r="M291" s="4"/>
      <c r="N291" s="4"/>
      <c r="O291" s="27"/>
      <c r="P291" s="27"/>
      <c r="Q291" s="60"/>
      <c r="R291" s="60"/>
      <c r="S291" s="65"/>
      <c r="T291" s="65"/>
    </row>
    <row r="292" spans="2:256" ht="18" customHeight="1" thickBot="1" x14ac:dyDescent="0.3">
      <c r="B292" s="57" t="s">
        <v>62</v>
      </c>
      <c r="C292" s="57"/>
      <c r="D292" s="57"/>
      <c r="E292" s="57"/>
      <c r="F292" s="57"/>
      <c r="G292" s="57"/>
      <c r="H292" s="57"/>
      <c r="I292" s="57"/>
      <c r="J292" s="57"/>
      <c r="K292" s="58" t="s">
        <v>532</v>
      </c>
      <c r="L292" s="58"/>
      <c r="M292" s="58"/>
      <c r="N292" s="58"/>
      <c r="O292" s="59"/>
      <c r="P292" s="59"/>
      <c r="Q292" s="60"/>
      <c r="R292" s="60"/>
      <c r="S292" s="61" t="s">
        <v>63</v>
      </c>
      <c r="T292" s="61"/>
      <c r="U292" s="61"/>
      <c r="V292" s="62"/>
      <c r="W292" s="63"/>
      <c r="X292" s="62"/>
      <c r="Y292" s="62"/>
    </row>
    <row r="293" spans="2:256" ht="20.100000000000001" customHeight="1" x14ac:dyDescent="0.25">
      <c r="B293" s="15"/>
      <c r="C293" s="15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x14ac:dyDescent="0.25">
      <c r="B294" s="15"/>
      <c r="C294" s="15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18" customHeight="1" x14ac:dyDescent="0.25">
      <c r="B295" s="15"/>
      <c r="C295" s="1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15" customHeight="1" x14ac:dyDescent="0.25">
      <c r="B296" s="15"/>
      <c r="C296" s="15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21.95" customHeight="1" x14ac:dyDescent="0.25">
      <c r="B297" s="15"/>
      <c r="C297" s="15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21" customHeight="1" x14ac:dyDescent="0.25">
      <c r="B298" s="15"/>
      <c r="C298" s="15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8.95" customHeight="1" x14ac:dyDescent="0.25">
      <c r="B299" s="15"/>
      <c r="C299" s="15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ht="15.95" customHeight="1" x14ac:dyDescent="0.25">
      <c r="B300" s="15"/>
      <c r="C300" s="15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</row>
    <row r="301" spans="2:256" ht="15.95" customHeight="1" x14ac:dyDescent="0.25">
      <c r="B301" s="15"/>
      <c r="C301" s="15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</row>
    <row r="302" spans="2:256" s="15" customFormat="1" ht="15" customHeight="1" x14ac:dyDescent="0.25"/>
    <row r="303" spans="2:256" s="15" customFormat="1" ht="15.95" customHeight="1" x14ac:dyDescent="0.25"/>
    <row r="304" spans="2:256" s="15" customFormat="1" ht="17.100000000000001" customHeight="1" x14ac:dyDescent="0.25"/>
    <row r="305" spans="2:256" s="15" customFormat="1" ht="18.95" customHeight="1" x14ac:dyDescent="0.25"/>
    <row r="306" spans="2:256" s="15" customFormat="1" ht="21" customHeight="1" x14ac:dyDescent="0.25"/>
    <row r="307" spans="2:256" s="15" customFormat="1" ht="16.149999999999999" customHeight="1" x14ac:dyDescent="0.25"/>
    <row r="308" spans="2:256" s="15" customFormat="1" ht="16.149999999999999" customHeight="1" x14ac:dyDescent="0.25"/>
    <row r="309" spans="2:256" s="15" customFormat="1" ht="16.149999999999999" customHeight="1" x14ac:dyDescent="0.25"/>
    <row r="310" spans="2:256" s="15" customFormat="1" ht="16.149999999999999" customHeight="1" x14ac:dyDescent="0.25"/>
    <row r="311" spans="2:256" s="15" customFormat="1" ht="16.149999999999999" customHeight="1" x14ac:dyDescent="0.25"/>
    <row r="312" spans="2:256" s="15" customFormat="1" ht="16.149999999999999" customHeight="1" x14ac:dyDescent="0.25"/>
    <row r="313" spans="2:256" s="15" customFormat="1" ht="16.149999999999999" customHeight="1" x14ac:dyDescent="0.25"/>
    <row r="314" spans="2:256" ht="16.149999999999999" customHeight="1" x14ac:dyDescent="0.25">
      <c r="B314" s="15"/>
      <c r="C314" s="15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2:256" s="15" customFormat="1" ht="16.149999999999999" customHeight="1" x14ac:dyDescent="0.25"/>
    <row r="316" spans="2:256" s="15" customFormat="1" ht="16.149999999999999" customHeight="1" x14ac:dyDescent="0.25"/>
    <row r="317" spans="2:256" s="15" customFormat="1" ht="16.149999999999999" customHeight="1" x14ac:dyDescent="0.25"/>
    <row r="318" spans="2:256" s="15" customFormat="1" ht="16.149999999999999" customHeight="1" x14ac:dyDescent="0.25"/>
    <row r="319" spans="2:256" s="15" customFormat="1" ht="16.149999999999999" customHeight="1" x14ac:dyDescent="0.25"/>
    <row r="320" spans="2:256" s="15" customFormat="1" ht="16.149999999999999" customHeight="1" x14ac:dyDescent="0.25"/>
    <row r="321" s="15" customFormat="1" ht="16.149999999999999" customHeight="1" x14ac:dyDescent="0.25"/>
    <row r="322" s="15" customFormat="1" ht="16.149999999999999" customHeight="1" x14ac:dyDescent="0.25"/>
    <row r="323" s="15" customFormat="1" ht="16.149999999999999" customHeight="1" x14ac:dyDescent="0.25"/>
    <row r="324" s="15" customFormat="1" ht="16.149999999999999" customHeight="1" x14ac:dyDescent="0.25"/>
    <row r="325" s="15" customFormat="1" ht="16.149999999999999" customHeight="1" x14ac:dyDescent="0.25"/>
    <row r="326" s="15" customFormat="1" ht="16.149999999999999" customHeight="1" x14ac:dyDescent="0.25"/>
    <row r="327" s="15" customFormat="1" ht="16.149999999999999" customHeight="1" x14ac:dyDescent="0.25"/>
    <row r="328" s="15" customFormat="1" ht="16.149999999999999" customHeight="1" x14ac:dyDescent="0.25"/>
    <row r="329" s="15" customFormat="1" ht="16.149999999999999" customHeight="1" x14ac:dyDescent="0.25"/>
    <row r="330" s="15" customFormat="1" ht="16.149999999999999" customHeight="1" x14ac:dyDescent="0.25"/>
    <row r="331" s="15" customFormat="1" ht="16.149999999999999" customHeight="1" x14ac:dyDescent="0.25"/>
    <row r="332" s="15" customFormat="1" ht="16.149999999999999" customHeight="1" x14ac:dyDescent="0.25"/>
    <row r="333" s="15" customFormat="1" ht="16.149999999999999" customHeight="1" x14ac:dyDescent="0.25"/>
    <row r="334" s="15" customFormat="1" ht="16.149999999999999" customHeight="1" x14ac:dyDescent="0.25"/>
    <row r="335" s="15" customFormat="1" ht="16.149999999999999" customHeight="1" x14ac:dyDescent="0.25"/>
    <row r="336" s="15" customFormat="1" ht="16.149999999999999" customHeight="1" x14ac:dyDescent="0.25"/>
    <row r="337" spans="2:256" s="15" customFormat="1" ht="16.149999999999999" customHeight="1" x14ac:dyDescent="0.25"/>
    <row r="338" spans="2:256" s="15" customFormat="1" ht="16.149999999999999" customHeight="1" x14ac:dyDescent="0.25"/>
    <row r="339" spans="2:256" s="15" customFormat="1" ht="16.149999999999999" customHeight="1" x14ac:dyDescent="0.25"/>
    <row r="340" spans="2:256" s="15" customFormat="1" ht="16.149999999999999" customHeight="1" x14ac:dyDescent="0.25"/>
    <row r="341" spans="2:256" s="15" customFormat="1" ht="16.149999999999999" customHeight="1" x14ac:dyDescent="0.25"/>
    <row r="342" spans="2:256" s="15" customFormat="1" ht="16.149999999999999" customHeight="1" x14ac:dyDescent="0.25"/>
    <row r="343" spans="2:256" s="15" customFormat="1" ht="16.149999999999999" customHeight="1" x14ac:dyDescent="0.25"/>
    <row r="344" spans="2:256" s="15" customFormat="1" ht="16.149999999999999" customHeight="1" x14ac:dyDescent="0.25"/>
    <row r="345" spans="2:256" ht="15" customHeight="1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ht="12.95" customHeight="1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8" customHeight="1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2.95" customHeight="1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ht="15" customHeight="1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ht="15" customHeight="1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ht="15" customHeight="1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x14ac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x14ac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x14ac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x14ac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x14ac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x14ac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x14ac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x14ac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0.100000000000001" customHeight="1" x14ac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 spans="2:256" x14ac:dyDescent="0.25">
      <c r="B401" s="15"/>
      <c r="C401" s="15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</row>
    <row r="402" spans="2:256" ht="21" customHeight="1" x14ac:dyDescent="0.25">
      <c r="B402" s="15"/>
      <c r="C402" s="15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</row>
  </sheetData>
  <sheetProtection algorithmName="SHA-512" hashValue="2tbGiu5SCQz+7sCXeHdDTRCpjbWk/7STEGA4Q+kydKMkBOr5U6viituJy36hB9ERz1Xm5ll/N4Q1n0P/HKCzSg==" saltValue="CcBaQ5gDDinoQzTp3vDqcg==" spinCount="100000" sheet="1" formatCells="0" formatColumns="0" formatRows="0" insertColumns="0" insertRows="0" insertHyperlinks="0" deleteColumns="0" deleteRows="0" sort="0" autoFilter="0" pivotTables="0"/>
  <mergeCells count="333">
    <mergeCell ref="D283:U283"/>
    <mergeCell ref="D284:U284"/>
    <mergeCell ref="D285:U285"/>
    <mergeCell ref="D286:U286"/>
    <mergeCell ref="D287:U287"/>
    <mergeCell ref="B288:T288"/>
    <mergeCell ref="D277:U277"/>
    <mergeCell ref="D278:U278"/>
    <mergeCell ref="D279:U279"/>
    <mergeCell ref="D280:U280"/>
    <mergeCell ref="D281:U281"/>
    <mergeCell ref="D282:U282"/>
    <mergeCell ref="B292:J292"/>
    <mergeCell ref="K292:P292"/>
    <mergeCell ref="Q292:R292"/>
    <mergeCell ref="S292:U292"/>
    <mergeCell ref="V292:Y292"/>
    <mergeCell ref="B290:J290"/>
    <mergeCell ref="K290:P290"/>
    <mergeCell ref="Q290:R290"/>
    <mergeCell ref="S290:T290"/>
    <mergeCell ref="Q291:R291"/>
    <mergeCell ref="S291:T291"/>
    <mergeCell ref="D271:U271"/>
    <mergeCell ref="D272:U272"/>
    <mergeCell ref="D273:U273"/>
    <mergeCell ref="D274:U274"/>
    <mergeCell ref="D275:U275"/>
    <mergeCell ref="D276:U276"/>
    <mergeCell ref="D265:U265"/>
    <mergeCell ref="D266:U266"/>
    <mergeCell ref="D267:U267"/>
    <mergeCell ref="D268:U268"/>
    <mergeCell ref="D269:U269"/>
    <mergeCell ref="D270:U270"/>
    <mergeCell ref="D259:U259"/>
    <mergeCell ref="D260:U260"/>
    <mergeCell ref="D261:U261"/>
    <mergeCell ref="D262:U262"/>
    <mergeCell ref="D263:U263"/>
    <mergeCell ref="D264:U264"/>
    <mergeCell ref="D253:U253"/>
    <mergeCell ref="D254:U254"/>
    <mergeCell ref="D255:U255"/>
    <mergeCell ref="D256:U256"/>
    <mergeCell ref="D257:U257"/>
    <mergeCell ref="D258:U258"/>
    <mergeCell ref="B247:U247"/>
    <mergeCell ref="D248:U248"/>
    <mergeCell ref="D249:U249"/>
    <mergeCell ref="D250:U250"/>
    <mergeCell ref="D251:U251"/>
    <mergeCell ref="D252:U252"/>
    <mergeCell ref="J242:L242"/>
    <mergeCell ref="M242:P242"/>
    <mergeCell ref="I243:L243"/>
    <mergeCell ref="M243:P243"/>
    <mergeCell ref="Q243:V243"/>
    <mergeCell ref="C245:L245"/>
    <mergeCell ref="M245:S245"/>
    <mergeCell ref="T245:W245"/>
    <mergeCell ref="B236:J236"/>
    <mergeCell ref="K236:P236"/>
    <mergeCell ref="Q236:R236"/>
    <mergeCell ref="S236:U236"/>
    <mergeCell ref="V236:Y236"/>
    <mergeCell ref="E239:V240"/>
    <mergeCell ref="W239:Z239"/>
    <mergeCell ref="B234:J234"/>
    <mergeCell ref="K234:P234"/>
    <mergeCell ref="Q234:R234"/>
    <mergeCell ref="S234:T234"/>
    <mergeCell ref="Q235:R235"/>
    <mergeCell ref="S235:T235"/>
    <mergeCell ref="D227:U227"/>
    <mergeCell ref="D228:U228"/>
    <mergeCell ref="D229:U229"/>
    <mergeCell ref="D230:U230"/>
    <mergeCell ref="D231:U231"/>
    <mergeCell ref="B232:T232"/>
    <mergeCell ref="D221:U221"/>
    <mergeCell ref="D222:U222"/>
    <mergeCell ref="D223:U223"/>
    <mergeCell ref="D224:U224"/>
    <mergeCell ref="D225:U225"/>
    <mergeCell ref="D226:U226"/>
    <mergeCell ref="D215:U215"/>
    <mergeCell ref="D216:U216"/>
    <mergeCell ref="D217:U217"/>
    <mergeCell ref="D218:U218"/>
    <mergeCell ref="D219:U219"/>
    <mergeCell ref="D220:U220"/>
    <mergeCell ref="D209:U209"/>
    <mergeCell ref="D210:U210"/>
    <mergeCell ref="D211:U211"/>
    <mergeCell ref="D212:U212"/>
    <mergeCell ref="D213:U213"/>
    <mergeCell ref="D214:U214"/>
    <mergeCell ref="D203:U203"/>
    <mergeCell ref="D204:U204"/>
    <mergeCell ref="D205:U205"/>
    <mergeCell ref="D206:U206"/>
    <mergeCell ref="D207:U207"/>
    <mergeCell ref="D208:U208"/>
    <mergeCell ref="D197:U197"/>
    <mergeCell ref="D198:U198"/>
    <mergeCell ref="D199:U199"/>
    <mergeCell ref="D200:U200"/>
    <mergeCell ref="D201:U201"/>
    <mergeCell ref="D202:U202"/>
    <mergeCell ref="C192:L192"/>
    <mergeCell ref="M192:S192"/>
    <mergeCell ref="T192:W192"/>
    <mergeCell ref="B194:U194"/>
    <mergeCell ref="D195:U195"/>
    <mergeCell ref="D196:U196"/>
    <mergeCell ref="V183:Y183"/>
    <mergeCell ref="E186:V187"/>
    <mergeCell ref="W186:Z186"/>
    <mergeCell ref="J189:L189"/>
    <mergeCell ref="M189:P189"/>
    <mergeCell ref="I190:L190"/>
    <mergeCell ref="M190:P190"/>
    <mergeCell ref="Q190:V190"/>
    <mergeCell ref="O182:P182"/>
    <mergeCell ref="Q182:R182"/>
    <mergeCell ref="S182:T182"/>
    <mergeCell ref="B183:J183"/>
    <mergeCell ref="K183:P183"/>
    <mergeCell ref="Q183:R183"/>
    <mergeCell ref="S183:U183"/>
    <mergeCell ref="D178:U178"/>
    <mergeCell ref="B179:T179"/>
    <mergeCell ref="B181:J181"/>
    <mergeCell ref="K181:P181"/>
    <mergeCell ref="Q181:R181"/>
    <mergeCell ref="S181:T181"/>
    <mergeCell ref="D173:U173"/>
    <mergeCell ref="D174:U174"/>
    <mergeCell ref="D175:U175"/>
    <mergeCell ref="D176:U176"/>
    <mergeCell ref="D177:U177"/>
    <mergeCell ref="D166:U166"/>
    <mergeCell ref="D167:U167"/>
    <mergeCell ref="D168:U168"/>
    <mergeCell ref="D169:U169"/>
    <mergeCell ref="D170:U170"/>
    <mergeCell ref="D171:U171"/>
    <mergeCell ref="D164:U164"/>
    <mergeCell ref="D165:U165"/>
    <mergeCell ref="D154:U154"/>
    <mergeCell ref="D155:U155"/>
    <mergeCell ref="D156:U156"/>
    <mergeCell ref="D157:U157"/>
    <mergeCell ref="D158:U158"/>
    <mergeCell ref="D159:U159"/>
    <mergeCell ref="D172:U172"/>
    <mergeCell ref="D160:U160"/>
    <mergeCell ref="D161:U161"/>
    <mergeCell ref="D162:U162"/>
    <mergeCell ref="D148:U148"/>
    <mergeCell ref="D149:U149"/>
    <mergeCell ref="D152:U152"/>
    <mergeCell ref="D153:U153"/>
    <mergeCell ref="D141:U141"/>
    <mergeCell ref="D163:U163"/>
    <mergeCell ref="C131:L131"/>
    <mergeCell ref="M131:S131"/>
    <mergeCell ref="T131:W131"/>
    <mergeCell ref="B133:U133"/>
    <mergeCell ref="D150:U150"/>
    <mergeCell ref="D151:U151"/>
    <mergeCell ref="D142:U142"/>
    <mergeCell ref="D143:U143"/>
    <mergeCell ref="D144:U144"/>
    <mergeCell ref="D145:U145"/>
    <mergeCell ref="D146:U146"/>
    <mergeCell ref="D147:U147"/>
    <mergeCell ref="D135:U135"/>
    <mergeCell ref="D136:U136"/>
    <mergeCell ref="D137:U137"/>
    <mergeCell ref="D138:U138"/>
    <mergeCell ref="D139:U139"/>
    <mergeCell ref="D140:U140"/>
    <mergeCell ref="V122:Y122"/>
    <mergeCell ref="E125:V126"/>
    <mergeCell ref="W125:Z125"/>
    <mergeCell ref="J128:L128"/>
    <mergeCell ref="M128:P128"/>
    <mergeCell ref="I129:L129"/>
    <mergeCell ref="M129:P129"/>
    <mergeCell ref="Q129:V129"/>
    <mergeCell ref="D134:U134"/>
    <mergeCell ref="O121:P121"/>
    <mergeCell ref="Q121:R121"/>
    <mergeCell ref="S121:T121"/>
    <mergeCell ref="B122:J122"/>
    <mergeCell ref="K122:P122"/>
    <mergeCell ref="Q122:R122"/>
    <mergeCell ref="S122:U122"/>
    <mergeCell ref="D110:U110"/>
    <mergeCell ref="D103:U103"/>
    <mergeCell ref="D116:U116"/>
    <mergeCell ref="D117:U117"/>
    <mergeCell ref="B118:T118"/>
    <mergeCell ref="B120:J120"/>
    <mergeCell ref="K120:P120"/>
    <mergeCell ref="Q120:R120"/>
    <mergeCell ref="S120:T120"/>
    <mergeCell ref="D111:U111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C75:L75"/>
    <mergeCell ref="M75:S75"/>
    <mergeCell ref="T75:W75"/>
    <mergeCell ref="B77:U77"/>
    <mergeCell ref="D92:U92"/>
    <mergeCell ref="D93:U93"/>
    <mergeCell ref="D94:U94"/>
    <mergeCell ref="D95:U95"/>
    <mergeCell ref="D96:U96"/>
    <mergeCell ref="D97:U97"/>
    <mergeCell ref="D91:U91"/>
    <mergeCell ref="D89:U89"/>
    <mergeCell ref="D90:U90"/>
    <mergeCell ref="D86:U86"/>
    <mergeCell ref="D87:U87"/>
    <mergeCell ref="D88:U88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62:U62"/>
    <mergeCell ref="B63:T63"/>
    <mergeCell ref="B65:J65"/>
    <mergeCell ref="K65:P65"/>
    <mergeCell ref="Q65:R65"/>
    <mergeCell ref="S65:T65"/>
    <mergeCell ref="D83:U83"/>
    <mergeCell ref="D84:U84"/>
    <mergeCell ref="D85:U85"/>
    <mergeCell ref="D48:U48"/>
    <mergeCell ref="D78:U78"/>
    <mergeCell ref="D79:U79"/>
    <mergeCell ref="D80:U80"/>
    <mergeCell ref="D81:U81"/>
    <mergeCell ref="D82:U82"/>
    <mergeCell ref="D42:U42"/>
    <mergeCell ref="D43:U43"/>
    <mergeCell ref="D44:U44"/>
    <mergeCell ref="D45:U45"/>
    <mergeCell ref="D46:U46"/>
    <mergeCell ref="D47:U47"/>
    <mergeCell ref="D49:U49"/>
    <mergeCell ref="D50:U50"/>
    <mergeCell ref="D51:U51"/>
    <mergeCell ref="D52:U52"/>
    <mergeCell ref="D53:U53"/>
    <mergeCell ref="D54:U54"/>
    <mergeCell ref="D55:U55"/>
    <mergeCell ref="D56:U56"/>
    <mergeCell ref="D57:U57"/>
    <mergeCell ref="D58:U58"/>
    <mergeCell ref="D59:U59"/>
    <mergeCell ref="D60:U60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4:U34"/>
    <mergeCell ref="D35:U35"/>
    <mergeCell ref="D33:U33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24:U24"/>
    <mergeCell ref="D61:U61"/>
    <mergeCell ref="D102:U102"/>
    <mergeCell ref="D112:U112"/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5:U25"/>
    <mergeCell ref="D26:U26"/>
  </mergeCells>
  <dataValidations count="1">
    <dataValidation type="list" allowBlank="1" showInputMessage="1" sqref="D102:U102" xr:uid="{6AA8565B-1E9A-4F3E-8E8C-251E50DAC086}">
      <formula1>#REF!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3" max="16383" man="1"/>
    <brk id="184" max="16383" man="1"/>
    <brk id="23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7DCE52A1-B67A-4E78-A233-B4286F8ED7F4}">
          <x14:formula1>
            <xm:f>Common_Defect_List!$B$2:$B$5</xm:f>
          </x14:formula1>
          <xm:sqref>V249:V287 V79:V97 V11:V62 V99:V117 V134:V178 V196:V231</xm:sqref>
        </x14:dataValidation>
        <x14:dataValidation type="list" allowBlank="1" showInputMessage="1" showErrorMessage="1" xr:uid="{59F5A01B-47F3-430C-859E-D44E0671E19C}">
          <x14:formula1>
            <xm:f>Common_Defect_List!$A:$A</xm:f>
          </x14:formula1>
          <xm:sqref>D156:U156 D141:U141 D117:U117 D113:U115 D110:U111</xm:sqref>
        </x14:dataValidation>
        <x14:dataValidation type="list" allowBlank="1" showInputMessage="1" xr:uid="{A16A925C-7725-4B16-AA03-EF8AB1976ADC}">
          <x14:formula1>
            <xm:f>Common_Defect_List!$A:$A</xm:f>
          </x14:formula1>
          <xm:sqref>D165:U167 D157:U159 E255:U265 D169:U178 D196:U213 E225:U231 E79:U98 D267:U275 D277:U287 D34:U48 D62:U62 D103:U109 D11:D32 E11:U23 E25:U32 D134:U141 D215:D231 E215:U215 D79:D100 D249:D265 D143:U147 D151:U155 D161:U163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6EDE-E796-4933-80B6-F2883C682AFF}">
  <sheetPr>
    <pageSetUpPr fitToPage="1"/>
  </sheetPr>
  <dimension ref="A1:IV402"/>
  <sheetViews>
    <sheetView view="pageBreakPreview" topLeftCell="A207" zoomScale="85" zoomScaleNormal="100" zoomScaleSheetLayoutView="85" workbookViewId="0">
      <selection activeCell="D208" sqref="D208:U208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x14ac:dyDescent="0.2">
      <c r="E1" s="111" t="s">
        <v>64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x14ac:dyDescent="0.25"/>
    <row r="4" spans="2:26" s="1" customFormat="1" ht="15" customHeight="1" thickBot="1" x14ac:dyDescent="0.25">
      <c r="J4" s="79" t="s">
        <v>2</v>
      </c>
      <c r="K4" s="79"/>
      <c r="L4" s="79"/>
      <c r="M4" s="80" t="s">
        <v>777</v>
      </c>
      <c r="N4" s="80"/>
      <c r="O4" s="80"/>
      <c r="P4" s="80"/>
    </row>
    <row r="5" spans="2:26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x14ac:dyDescent="0.25"/>
    <row r="7" spans="2:26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6.899999999999999" customHeight="1" thickBot="1" x14ac:dyDescent="0.25">
      <c r="B11" s="8"/>
      <c r="C11" s="11">
        <v>1</v>
      </c>
      <c r="D11" s="162" t="s">
        <v>778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0" t="s">
        <v>22</v>
      </c>
      <c r="W11" s="10"/>
      <c r="X11" s="10"/>
      <c r="Y11" s="10"/>
      <c r="Z11" s="10"/>
    </row>
    <row r="12" spans="2:26" s="4" customFormat="1" ht="16.350000000000001" customHeight="1" thickBot="1" x14ac:dyDescent="0.25">
      <c r="B12" s="8"/>
      <c r="C12" s="11">
        <f>IF(ISTEXT(D12),MAX($C$10:C11)+1,"")</f>
        <v>2</v>
      </c>
      <c r="D12" s="162" t="s">
        <v>779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0" t="s">
        <v>22</v>
      </c>
      <c r="W12" s="10"/>
      <c r="X12" s="10"/>
      <c r="Y12" s="10"/>
      <c r="Z12" s="10"/>
    </row>
    <row r="13" spans="2:26" s="4" customFormat="1" ht="16.350000000000001" customHeight="1" thickBot="1" x14ac:dyDescent="0.25">
      <c r="B13" s="8"/>
      <c r="C13" s="11">
        <f>IF(ISTEXT(D13),MAX($C$10:C12)+1,"")</f>
        <v>3</v>
      </c>
      <c r="D13" s="162" t="s">
        <v>780</v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0" t="s">
        <v>22</v>
      </c>
      <c r="W13" s="10"/>
      <c r="X13" s="10"/>
      <c r="Y13" s="10"/>
      <c r="Z13" s="10"/>
    </row>
    <row r="14" spans="2:26" s="4" customFormat="1" ht="15.75" customHeight="1" thickBot="1" x14ac:dyDescent="0.25">
      <c r="B14" s="8"/>
      <c r="C14" s="11">
        <f>IF(ISTEXT(D14),MAX($C$10:C13)+1,"")</f>
        <v>4</v>
      </c>
      <c r="D14" s="162" t="s">
        <v>654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0" t="s">
        <v>22</v>
      </c>
      <c r="W14" s="10"/>
      <c r="X14" s="10"/>
      <c r="Y14" s="10"/>
      <c r="Z14" s="10"/>
    </row>
    <row r="15" spans="2:26" s="4" customFormat="1" ht="16.350000000000001" customHeight="1" thickBot="1" x14ac:dyDescent="0.25">
      <c r="B15" s="8"/>
      <c r="C15" s="11">
        <f>IF(ISTEXT(D15),MAX($C$10:C14)+1,"")</f>
        <v>5</v>
      </c>
      <c r="D15" s="162" t="s">
        <v>781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0" t="s">
        <v>22</v>
      </c>
      <c r="W15" s="10"/>
      <c r="X15" s="10"/>
      <c r="Y15" s="10"/>
      <c r="Z15" s="10"/>
    </row>
    <row r="16" spans="2:26" s="4" customFormat="1" ht="16.350000000000001" customHeight="1" thickBot="1" x14ac:dyDescent="0.25">
      <c r="B16" s="8"/>
      <c r="C16" s="11">
        <f>IF(ISTEXT(D16),MAX($C$10:C15)+1,"")</f>
        <v>6</v>
      </c>
      <c r="D16" s="162" t="s">
        <v>782</v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0" t="s">
        <v>22</v>
      </c>
      <c r="W16" s="10"/>
      <c r="X16" s="10"/>
      <c r="Y16" s="10"/>
      <c r="Z16" s="10"/>
    </row>
    <row r="17" spans="2:26" s="4" customFormat="1" ht="16.350000000000001" customHeight="1" thickBot="1" x14ac:dyDescent="0.25">
      <c r="B17" s="8"/>
      <c r="C17" s="11">
        <f>IF(ISTEXT(D17),MAX($C$10:C16)+1,"")</f>
        <v>7</v>
      </c>
      <c r="D17" s="95" t="s">
        <v>783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0" t="s">
        <v>22</v>
      </c>
      <c r="W17" s="10"/>
      <c r="X17" s="10"/>
      <c r="Y17" s="10"/>
      <c r="Z17" s="10"/>
    </row>
    <row r="18" spans="2:26" s="4" customFormat="1" ht="16.350000000000001" customHeight="1" thickBot="1" x14ac:dyDescent="0.25">
      <c r="B18" s="8"/>
      <c r="C18" s="11">
        <f>IF(ISTEXT(D18),MAX($C$10:C17)+1,"")</f>
        <v>8</v>
      </c>
      <c r="D18" s="95" t="s">
        <v>784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10" t="s">
        <v>22</v>
      </c>
      <c r="W18" s="10"/>
      <c r="X18" s="10"/>
      <c r="Y18" s="10"/>
      <c r="Z18" s="10"/>
    </row>
    <row r="19" spans="2:26" s="4" customFormat="1" ht="16.350000000000001" customHeight="1" thickBot="1" x14ac:dyDescent="0.25">
      <c r="B19" s="8"/>
      <c r="C19" s="11">
        <f>IF(ISTEXT(D19),MAX($C$10:C18)+1,"")</f>
        <v>9</v>
      </c>
      <c r="D19" s="95" t="s">
        <v>785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10" t="s">
        <v>22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f>IF(ISTEXT(D20),MAX($C$10:C19)+1,"")</f>
        <v>10</v>
      </c>
      <c r="D20" s="95" t="s">
        <v>786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10" t="s">
        <v>22</v>
      </c>
      <c r="W20" s="10"/>
      <c r="X20" s="10"/>
      <c r="Y20" s="10"/>
      <c r="Z20" s="10"/>
    </row>
    <row r="21" spans="2:26" s="4" customFormat="1" ht="16.350000000000001" customHeight="1" thickBot="1" x14ac:dyDescent="0.25">
      <c r="B21" s="8"/>
      <c r="C21" s="11">
        <f>IF(ISTEXT(D21),MAX($C$10:C20)+1,"")</f>
        <v>11</v>
      </c>
      <c r="D21" s="95" t="s">
        <v>787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10" t="s">
        <v>22</v>
      </c>
      <c r="W21" s="10"/>
      <c r="X21" s="10"/>
      <c r="Y21" s="10"/>
      <c r="Z21" s="10"/>
    </row>
    <row r="22" spans="2:26" s="4" customFormat="1" ht="16.350000000000001" customHeight="1" thickBot="1" x14ac:dyDescent="0.25">
      <c r="B22" s="8"/>
      <c r="C22" s="11">
        <f>IF(ISTEXT(D22),MAX($C$10:C21)+1,"")</f>
        <v>12</v>
      </c>
      <c r="D22" s="95" t="s">
        <v>788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10" t="s">
        <v>22</v>
      </c>
      <c r="W22" s="10"/>
      <c r="X22" s="10"/>
      <c r="Y22" s="10"/>
      <c r="Z22" s="10"/>
    </row>
    <row r="23" spans="2:26" s="4" customFormat="1" ht="16.350000000000001" customHeight="1" thickBot="1" x14ac:dyDescent="0.25">
      <c r="B23" s="8"/>
      <c r="C23" s="11">
        <f>IF(ISTEXT(D23),MAX($C$10:C22)+1,"")</f>
        <v>13</v>
      </c>
      <c r="D23" s="162" t="s">
        <v>789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0" t="s">
        <v>76</v>
      </c>
      <c r="W23" s="10"/>
      <c r="X23" s="10"/>
      <c r="Y23" s="10"/>
      <c r="Z23" s="10"/>
    </row>
    <row r="24" spans="2:26" s="4" customFormat="1" ht="16.350000000000001" customHeight="1" thickBot="1" x14ac:dyDescent="0.25">
      <c r="B24" s="13"/>
      <c r="C24" s="11">
        <f>IF(ISTEXT(D24),MAX($C$10:C23)+1,"")</f>
        <v>14</v>
      </c>
      <c r="D24" s="162" t="s">
        <v>790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0" t="s">
        <v>22</v>
      </c>
      <c r="W24" s="10"/>
      <c r="X24" s="10"/>
      <c r="Y24" s="10"/>
      <c r="Z24" s="10"/>
    </row>
    <row r="25" spans="2:26" s="4" customFormat="1" ht="16.350000000000001" customHeight="1" thickBot="1" x14ac:dyDescent="0.25">
      <c r="B25" s="8"/>
      <c r="C25" s="11">
        <f>IF(ISTEXT(D25),MAX($C$10:C24)+1,"")</f>
        <v>15</v>
      </c>
      <c r="D25" s="162" t="s">
        <v>791</v>
      </c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0" t="s">
        <v>22</v>
      </c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f>IF(ISTEXT(D26),MAX($C$10:C25)+1,"")</f>
        <v>16</v>
      </c>
      <c r="D26" s="70" t="s">
        <v>792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  <c r="V26" s="10" t="s">
        <v>76</v>
      </c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f>IF(ISTEXT(D27),MAX($C$10:C26)+1,"")</f>
        <v>17</v>
      </c>
      <c r="D27" s="70" t="s">
        <v>793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2"/>
      <c r="V27" s="10" t="s">
        <v>22</v>
      </c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f>IF(ISTEXT(D28),MAX($C$10:C27)+1,"")</f>
        <v>18</v>
      </c>
      <c r="D28" s="70" t="s">
        <v>794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2"/>
      <c r="V28" s="10" t="s">
        <v>22</v>
      </c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f>IF(ISTEXT(D29),MAX($C$10:C28)+1,"")</f>
        <v>19</v>
      </c>
      <c r="D29" s="70" t="s">
        <v>795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2"/>
      <c r="V29" s="10" t="s">
        <v>22</v>
      </c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f>IF(ISTEXT(D30),MAX($C$10:C29)+1,"")</f>
        <v>20</v>
      </c>
      <c r="D30" s="159" t="s">
        <v>796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1"/>
      <c r="V30" s="10" t="s">
        <v>22</v>
      </c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f>IF(ISTEXT(D31),MAX($C$10:C30)+1,"")</f>
        <v>21</v>
      </c>
      <c r="D31" s="159" t="s">
        <v>797</v>
      </c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1"/>
      <c r="V31" s="10" t="s">
        <v>22</v>
      </c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f>IF(ISTEXT(D32),MAX($C$10:C31)+1,"")</f>
        <v>22</v>
      </c>
      <c r="D32" s="70" t="s">
        <v>798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2"/>
      <c r="V32" s="10" t="s">
        <v>22</v>
      </c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f>IF(ISTEXT(D33),MAX($C$10:C32)+1,"")</f>
        <v>23</v>
      </c>
      <c r="D33" s="70" t="s">
        <v>799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  <c r="V33" s="10" t="s">
        <v>22</v>
      </c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>
        <f>IF(ISTEXT(D34),MAX($C$10:C33)+1,"")</f>
        <v>24</v>
      </c>
      <c r="D34" s="70" t="s">
        <v>800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/>
      <c r="V34" s="10" t="s">
        <v>22</v>
      </c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>
        <f>IF(ISTEXT(D35),MAX($C$10:C34)+1,"")</f>
        <v>25</v>
      </c>
      <c r="D35" s="70" t="s">
        <v>801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/>
      <c r="V35" s="10" t="s">
        <v>22</v>
      </c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>
        <f>IF(ISTEXT(D36),MAX($C$10:C35)+1,"")</f>
        <v>26</v>
      </c>
      <c r="D36" s="70" t="s">
        <v>802</v>
      </c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/>
      <c r="V36" s="10" t="s">
        <v>76</v>
      </c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>
        <f>IF(ISTEXT(D37),MAX($C$10:C36)+1,"")</f>
        <v>27</v>
      </c>
      <c r="D37" s="70" t="s">
        <v>803</v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/>
      <c r="V37" s="10" t="s">
        <v>22</v>
      </c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>
        <f>IF(ISTEXT(D38),MAX($C$10:C37)+1,"")</f>
        <v>28</v>
      </c>
      <c r="D38" s="70" t="s">
        <v>804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/>
      <c r="V38" s="10" t="s">
        <v>22</v>
      </c>
      <c r="W38" s="10"/>
      <c r="X38" s="10"/>
      <c r="Y38" s="10"/>
      <c r="Z38" s="10"/>
    </row>
    <row r="39" spans="2:26" s="4" customFormat="1" ht="16.350000000000001" customHeight="1" thickBot="1" x14ac:dyDescent="0.25">
      <c r="B39" s="8"/>
      <c r="C39" s="11">
        <f>IF(ISTEXT(D39),MAX($C$10:C38)+1,"")</f>
        <v>29</v>
      </c>
      <c r="D39" s="95" t="s">
        <v>805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10" t="s">
        <v>22</v>
      </c>
      <c r="W39" s="10"/>
      <c r="X39" s="10"/>
      <c r="Y39" s="10"/>
      <c r="Z39" s="10"/>
    </row>
    <row r="40" spans="2:26" s="4" customFormat="1" ht="15" customHeight="1" thickBot="1" x14ac:dyDescent="0.3">
      <c r="B40" s="8"/>
      <c r="C40" s="11">
        <f>IF(ISTEXT(D40),MAX($C$10:C39)+1,"")</f>
        <v>30</v>
      </c>
      <c r="D40" s="70" t="s">
        <v>806</v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/>
      <c r="V40" s="10" t="s">
        <v>22</v>
      </c>
      <c r="W40" s="10"/>
      <c r="X40" s="10"/>
      <c r="Y40" s="10"/>
      <c r="Z40" s="10"/>
    </row>
    <row r="41" spans="2:26" s="4" customFormat="1" ht="12.75" customHeight="1" thickBot="1" x14ac:dyDescent="0.3">
      <c r="B41" s="8"/>
      <c r="C41" s="11">
        <f>IF(ISTEXT(D41),MAX($C$10:C40)+1,"")</f>
        <v>31</v>
      </c>
      <c r="D41" s="70" t="s">
        <v>807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/>
      <c r="V41" s="10" t="s">
        <v>22</v>
      </c>
      <c r="W41" s="10"/>
      <c r="X41" s="10"/>
      <c r="Y41" s="10"/>
      <c r="Z41" s="10"/>
    </row>
    <row r="42" spans="2:26" s="4" customFormat="1" ht="15.95" customHeight="1" thickBot="1" x14ac:dyDescent="0.3">
      <c r="B42" s="10"/>
      <c r="C42" s="11">
        <f>IF(ISTEXT(D42),MAX($C$10:C41)+1,"")</f>
        <v>32</v>
      </c>
      <c r="D42" s="70" t="s">
        <v>808</v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/>
      <c r="V42" s="10" t="s">
        <v>22</v>
      </c>
      <c r="W42" s="10"/>
      <c r="X42" s="10"/>
      <c r="Y42" s="10"/>
      <c r="Z42" s="10"/>
    </row>
    <row r="43" spans="2:26" s="4" customFormat="1" ht="15.95" customHeight="1" thickBot="1" x14ac:dyDescent="0.3">
      <c r="B43" s="8"/>
      <c r="C43" s="11">
        <f>IF(ISTEXT(D43),MAX($C$10:C42)+1,"")</f>
        <v>33</v>
      </c>
      <c r="D43" s="70" t="s">
        <v>809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/>
      <c r="V43" s="10" t="s">
        <v>22</v>
      </c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>
        <f>IF(ISTEXT(D44),MAX($C$10:C43)+1,"")</f>
        <v>34</v>
      </c>
      <c r="D44" s="70" t="s">
        <v>810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/>
      <c r="V44" s="10" t="s">
        <v>52</v>
      </c>
      <c r="W44" s="10"/>
      <c r="X44" s="10"/>
      <c r="Y44" s="10"/>
      <c r="Z44" s="10"/>
    </row>
    <row r="45" spans="2:26" s="4" customFormat="1" ht="16.350000000000001" customHeight="1" thickBot="1" x14ac:dyDescent="0.3">
      <c r="B45" s="8"/>
      <c r="C45" s="11"/>
      <c r="D45" s="73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5"/>
      <c r="V45" s="10"/>
      <c r="W45" s="10"/>
      <c r="X45" s="10"/>
      <c r="Y45" s="10"/>
      <c r="Z45" s="10"/>
    </row>
    <row r="46" spans="2:26" s="15" customFormat="1" ht="16.350000000000001" customHeight="1" thickBot="1" x14ac:dyDescent="0.25">
      <c r="B46" s="8"/>
      <c r="C46" s="11"/>
      <c r="D46" s="95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10"/>
      <c r="W46" s="14"/>
      <c r="X46" s="14"/>
      <c r="Y46" s="14"/>
      <c r="Z46" s="14"/>
    </row>
    <row r="47" spans="2:26" s="4" customFormat="1" ht="16.350000000000001" customHeight="1" thickBot="1" x14ac:dyDescent="0.3">
      <c r="B47" s="8"/>
      <c r="C47" s="11"/>
      <c r="D47" s="70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/>
      <c r="D48" s="70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/>
      <c r="D49" s="73" t="s">
        <v>68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5"/>
      <c r="V49" s="10"/>
      <c r="W49" s="10"/>
      <c r="X49" s="10"/>
      <c r="Y49" s="10"/>
      <c r="Z49" s="10"/>
    </row>
    <row r="50" spans="2:26" s="4" customFormat="1" ht="16.350000000000001" customHeight="1" thickBot="1" x14ac:dyDescent="0.25">
      <c r="B50" s="8"/>
      <c r="C50" s="11">
        <f>IF(ISTEXT(D50),MAX($C$10:C49)+1,"")</f>
        <v>35</v>
      </c>
      <c r="D50" s="95" t="s">
        <v>787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10" t="s">
        <v>22</v>
      </c>
      <c r="W50" s="10"/>
      <c r="X50" s="10"/>
      <c r="Y50" s="10"/>
      <c r="Z50" s="10"/>
    </row>
    <row r="51" spans="2:26" s="4" customFormat="1" ht="16.350000000000001" customHeight="1" thickBot="1" x14ac:dyDescent="0.3">
      <c r="B51" s="8"/>
      <c r="C51" s="11">
        <f>IF(ISTEXT(D51),MAX($C$10:C50)+1,"")</f>
        <v>36</v>
      </c>
      <c r="D51" s="70" t="s">
        <v>811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/>
      <c r="V51" s="10" t="s">
        <v>22</v>
      </c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>
        <f>IF(ISTEXT(D52),MAX($C$10:C51)+1,"")</f>
        <v>37</v>
      </c>
      <c r="D52" s="70" t="s">
        <v>812</v>
      </c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/>
      <c r="V52" s="10" t="s">
        <v>22</v>
      </c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>
        <f>IF(ISTEXT(D53),MAX($C$10:C52)+1,"")</f>
        <v>38</v>
      </c>
      <c r="D53" s="70" t="s">
        <v>813</v>
      </c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/>
      <c r="V53" s="10" t="s">
        <v>76</v>
      </c>
      <c r="W53" s="10"/>
      <c r="X53" s="10"/>
      <c r="Y53" s="10"/>
      <c r="Z53" s="10"/>
    </row>
    <row r="54" spans="2:26" s="4" customFormat="1" ht="16.350000000000001" customHeight="1" thickBot="1" x14ac:dyDescent="0.3">
      <c r="B54" s="8"/>
      <c r="C54" s="11">
        <f>IF(ISTEXT(D54),MAX($C$10:C53)+1,"")</f>
        <v>39</v>
      </c>
      <c r="D54" s="70" t="s">
        <v>814</v>
      </c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/>
      <c r="V54" s="10" t="s">
        <v>22</v>
      </c>
      <c r="W54" s="10"/>
      <c r="X54" s="10"/>
      <c r="Y54" s="10"/>
      <c r="Z54" s="10"/>
    </row>
    <row r="55" spans="2:26" s="4" customFormat="1" ht="16.350000000000001" customHeight="1" thickBot="1" x14ac:dyDescent="0.3">
      <c r="B55" s="8"/>
      <c r="C55" s="11">
        <f>IF(ISTEXT(D55),MAX($C$10:C54)+1,"")</f>
        <v>40</v>
      </c>
      <c r="D55" s="70" t="s">
        <v>815</v>
      </c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/>
      <c r="V55" s="16" t="s">
        <v>22</v>
      </c>
      <c r="W55" s="10"/>
      <c r="X55" s="10"/>
      <c r="Y55" s="10"/>
      <c r="Z55" s="10"/>
    </row>
    <row r="56" spans="2:26" s="4" customFormat="1" ht="16.350000000000001" customHeight="1" thickBot="1" x14ac:dyDescent="0.3">
      <c r="B56" s="8"/>
      <c r="C56" s="11">
        <f>IF(ISTEXT(D56),MAX($C$10:C55)+1,"")</f>
        <v>41</v>
      </c>
      <c r="D56" s="70" t="s">
        <v>816</v>
      </c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146"/>
      <c r="V56" s="17" t="s">
        <v>76</v>
      </c>
      <c r="W56" s="18"/>
      <c r="X56" s="10"/>
      <c r="Y56" s="10"/>
      <c r="Z56" s="10"/>
    </row>
    <row r="57" spans="2:26" s="4" customFormat="1" ht="16.350000000000001" customHeight="1" thickBot="1" x14ac:dyDescent="0.3">
      <c r="B57" s="8"/>
      <c r="C57" s="11">
        <f>IF(ISTEXT(D57),MAX($C$10:C56)+1,"")</f>
        <v>42</v>
      </c>
      <c r="D57" s="70" t="s">
        <v>817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146"/>
      <c r="V57" s="17" t="s">
        <v>818</v>
      </c>
      <c r="W57" s="18"/>
      <c r="X57" s="10"/>
      <c r="Y57" s="10"/>
      <c r="Z57" s="10"/>
    </row>
    <row r="58" spans="2:26" s="15" customFormat="1" ht="15" customHeight="1" thickBot="1" x14ac:dyDescent="0.3">
      <c r="B58" s="8"/>
      <c r="C58" s="11">
        <f>IF(ISTEXT(D58),MAX($C$10:C57)+1,"")</f>
        <v>43</v>
      </c>
      <c r="D58" s="143" t="s">
        <v>819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5"/>
      <c r="V58" s="19" t="s">
        <v>22</v>
      </c>
      <c r="W58" s="14"/>
      <c r="X58" s="14"/>
      <c r="Y58" s="14"/>
      <c r="Z58" s="14"/>
    </row>
    <row r="59" spans="2:26" s="4" customFormat="1" ht="15.95" customHeight="1" thickBot="1" x14ac:dyDescent="0.3">
      <c r="B59" s="3"/>
      <c r="C59" s="11">
        <f>IF(ISTEXT(D59),MAX($C$10:C58)+1,"")</f>
        <v>44</v>
      </c>
      <c r="D59" s="143" t="s">
        <v>820</v>
      </c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5"/>
      <c r="V59" s="10" t="s">
        <v>72</v>
      </c>
      <c r="W59" s="10"/>
      <c r="X59" s="10"/>
      <c r="Y59" s="10"/>
      <c r="Z59" s="10"/>
    </row>
    <row r="60" spans="2:26" s="4" customFormat="1" ht="15.95" customHeight="1" thickBot="1" x14ac:dyDescent="0.3">
      <c r="B60" s="8"/>
      <c r="C60" s="11">
        <f>IF(ISTEXT(D60),MAX($C$10:C59)+1,"")</f>
        <v>45</v>
      </c>
      <c r="D60" s="143" t="s">
        <v>821</v>
      </c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5"/>
      <c r="V60" s="10" t="s">
        <v>76</v>
      </c>
      <c r="W60" s="10"/>
      <c r="X60" s="10"/>
      <c r="Y60" s="10"/>
      <c r="Z60" s="10"/>
    </row>
    <row r="61" spans="2:26" s="4" customFormat="1" ht="16.350000000000001" customHeight="1" thickBot="1" x14ac:dyDescent="0.3">
      <c r="B61" s="8"/>
      <c r="C61" s="11"/>
      <c r="D61" s="143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5"/>
      <c r="V61" s="10"/>
      <c r="W61" s="10"/>
      <c r="X61" s="10"/>
      <c r="Y61" s="10"/>
      <c r="Z61" s="10"/>
    </row>
    <row r="62" spans="2:26" s="4" customFormat="1" ht="16.350000000000001" customHeight="1" thickBot="1" x14ac:dyDescent="0.3">
      <c r="B62" s="8"/>
      <c r="C62" s="11"/>
      <c r="D62" s="70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/>
      <c r="V62" s="10"/>
      <c r="W62" s="10"/>
      <c r="X62" s="10"/>
      <c r="Y62" s="10"/>
      <c r="Z62" s="10"/>
    </row>
    <row r="63" spans="2:26" s="1" customFormat="1" ht="15" customHeight="1" x14ac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</row>
    <row r="64" spans="2:26" x14ac:dyDescent="0.25">
      <c r="B64" s="20"/>
      <c r="C64" s="21"/>
      <c r="O64" s="22"/>
      <c r="P64" s="22"/>
      <c r="Q64" s="23"/>
      <c r="R64" s="23"/>
      <c r="S64" s="22"/>
      <c r="T64" s="22"/>
    </row>
    <row r="65" spans="2:26" s="1" customFormat="1" ht="13.5" thickBot="1" x14ac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</row>
    <row r="66" spans="2:26" ht="15" customHeight="1" x14ac:dyDescent="0.25">
      <c r="C66" s="29"/>
      <c r="I66" s="30"/>
      <c r="O66" s="65"/>
      <c r="P66" s="65"/>
      <c r="Q66" s="60"/>
      <c r="R66" s="60"/>
      <c r="S66" s="65"/>
      <c r="T66" s="65"/>
    </row>
    <row r="67" spans="2:26" ht="18" customHeight="1" thickBot="1" x14ac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">
        <v>532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/>
      <c r="W67" s="62"/>
      <c r="X67" s="62"/>
      <c r="Y67" s="62"/>
    </row>
    <row r="68" spans="2:26" ht="15" customHeight="1" thickBot="1" x14ac:dyDescent="0.3"/>
    <row r="69" spans="2:26" ht="15" customHeight="1" x14ac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2" t="s">
        <v>65</v>
      </c>
      <c r="X69" s="79"/>
      <c r="Y69" s="79"/>
      <c r="Z69" s="79"/>
    </row>
    <row r="70" spans="2:26" ht="15" customHeight="1" thickBot="1" x14ac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2:26" ht="10.5" customHeight="1" thickBot="1" x14ac:dyDescent="0.3"/>
    <row r="72" spans="2:26" ht="15" customHeight="1" thickBot="1" x14ac:dyDescent="0.3">
      <c r="J72" s="79" t="s">
        <v>2</v>
      </c>
      <c r="K72" s="79"/>
      <c r="L72" s="79"/>
      <c r="M72" s="80" t="str">
        <f>M4</f>
        <v>C1005</v>
      </c>
      <c r="N72" s="80"/>
      <c r="O72" s="80"/>
      <c r="P72" s="80"/>
    </row>
    <row r="73" spans="2:26" s="15" customFormat="1" ht="15" customHeight="1" thickBot="1" x14ac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/>
    </row>
    <row r="74" spans="2:26" s="15" customFormat="1" ht="15.95" customHeight="1" thickBot="1" x14ac:dyDescent="0.3"/>
    <row r="75" spans="2:26" s="15" customFormat="1" ht="15" customHeight="1" thickBot="1" x14ac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/>
      <c r="W75" s="60"/>
      <c r="X75" s="23"/>
    </row>
    <row r="76" spans="2:26" s="15" customFormat="1" ht="15" customHeight="1" thickBot="1" x14ac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s="15" customFormat="1" ht="22.5" customHeight="1" thickBot="1" x14ac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 t="s">
        <v>8</v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x14ac:dyDescent="0.3">
      <c r="B78" s="8"/>
      <c r="C78" s="11"/>
      <c r="D78" s="70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/>
      <c r="V78" s="10"/>
      <c r="W78" s="14"/>
      <c r="X78" s="14"/>
      <c r="Y78" s="14"/>
      <c r="Z78" s="14"/>
    </row>
    <row r="79" spans="2:26" s="15" customFormat="1" ht="15.6" customHeight="1" thickBot="1" x14ac:dyDescent="0.3">
      <c r="B79" s="8"/>
      <c r="C79" s="11"/>
      <c r="D79" s="70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/>
      <c r="V79" s="10"/>
      <c r="W79" s="14"/>
      <c r="X79" s="14"/>
      <c r="Y79" s="14"/>
      <c r="Z79" s="14"/>
    </row>
    <row r="80" spans="2:26" s="15" customFormat="1" ht="15.6" customHeight="1" thickBot="1" x14ac:dyDescent="0.3">
      <c r="B80" s="8"/>
      <c r="C80" s="11"/>
      <c r="D80" s="70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/>
      <c r="W80" s="14"/>
      <c r="X80" s="14"/>
      <c r="Y80" s="14"/>
      <c r="Z80" s="14"/>
    </row>
    <row r="81" spans="1:26" s="15" customFormat="1" ht="15.6" customHeight="1" thickBot="1" x14ac:dyDescent="0.25">
      <c r="B81" s="8"/>
      <c r="C81" s="11"/>
      <c r="D81" s="95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/>
      <c r="W81" s="14"/>
      <c r="X81" s="14"/>
      <c r="Y81" s="14"/>
      <c r="Z81" s="14"/>
    </row>
    <row r="82" spans="1:26" s="15" customFormat="1" ht="16.149999999999999" customHeight="1" thickBot="1" x14ac:dyDescent="0.3">
      <c r="B82" s="8"/>
      <c r="C82" s="11"/>
      <c r="D82" s="70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/>
      <c r="W82" s="14"/>
      <c r="X82" s="14"/>
      <c r="Y82" s="14"/>
      <c r="Z82" s="14"/>
    </row>
    <row r="83" spans="1:26" s="15" customFormat="1" ht="16.149999999999999" customHeight="1" thickBot="1" x14ac:dyDescent="0.3">
      <c r="B83" s="8"/>
      <c r="C83" s="11"/>
      <c r="D83" s="73" t="s">
        <v>476</v>
      </c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5"/>
      <c r="V83" s="10"/>
      <c r="W83" s="14"/>
      <c r="X83" s="14"/>
      <c r="Y83" s="14"/>
      <c r="Z83" s="14"/>
    </row>
    <row r="84" spans="1:26" s="15" customFormat="1" ht="16.149999999999999" customHeight="1" thickBot="1" x14ac:dyDescent="0.3">
      <c r="B84" s="8"/>
      <c r="C84" s="11">
        <f>IF(ISTEXT(D84),MAX($C$10:C82)+1,"")</f>
        <v>46</v>
      </c>
      <c r="D84" s="143" t="s">
        <v>822</v>
      </c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64"/>
      <c r="V84" s="10" t="s">
        <v>823</v>
      </c>
      <c r="W84" s="14"/>
      <c r="X84" s="14"/>
      <c r="Y84" s="14"/>
      <c r="Z84" s="14"/>
    </row>
    <row r="85" spans="1:26" s="15" customFormat="1" ht="16.149999999999999" customHeight="1" thickBot="1" x14ac:dyDescent="0.3">
      <c r="B85" s="8"/>
      <c r="C85" s="11">
        <f>IF(ISTEXT(D85),MAX($C$10:C84)+1,"")</f>
        <v>47</v>
      </c>
      <c r="D85" s="143" t="s">
        <v>824</v>
      </c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64"/>
      <c r="V85" s="10" t="s">
        <v>825</v>
      </c>
      <c r="W85" s="14"/>
      <c r="X85" s="14"/>
      <c r="Y85" s="14"/>
      <c r="Z85" s="14"/>
    </row>
    <row r="86" spans="1:26" s="15" customFormat="1" ht="16.149999999999999" customHeight="1" thickBot="1" x14ac:dyDescent="0.3">
      <c r="B86" s="8"/>
      <c r="C86" s="11">
        <f>IF(ISTEXT(D86),MAX($C$10:C85)+1,"")</f>
        <v>48</v>
      </c>
      <c r="D86" s="143" t="s">
        <v>826</v>
      </c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5"/>
      <c r="V86" s="10" t="s">
        <v>76</v>
      </c>
      <c r="W86" s="14"/>
      <c r="X86" s="14"/>
      <c r="Y86" s="14"/>
      <c r="Z86" s="14"/>
    </row>
    <row r="87" spans="1:26" ht="16.149999999999999" customHeight="1" thickBot="1" x14ac:dyDescent="0.3">
      <c r="B87" s="8"/>
      <c r="C87" s="11">
        <f>IF(ISTEXT(D87),MAX($C$10:C86)+1,"")</f>
        <v>49</v>
      </c>
      <c r="D87" s="143" t="s">
        <v>827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 t="s">
        <v>22</v>
      </c>
      <c r="W87" s="14"/>
      <c r="X87" s="14"/>
      <c r="Y87" s="14"/>
      <c r="Z87" s="14"/>
    </row>
    <row r="88" spans="1:26" s="15" customFormat="1" ht="16.149999999999999" customHeight="1" thickBot="1" x14ac:dyDescent="0.3">
      <c r="A88" s="36"/>
      <c r="B88" s="37"/>
      <c r="C88" s="11">
        <f>IF(ISTEXT(D88),MAX($C$10:C87)+1,"")</f>
        <v>50</v>
      </c>
      <c r="D88" s="70" t="s">
        <v>828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 t="s">
        <v>76</v>
      </c>
      <c r="W88" s="14"/>
      <c r="X88" s="14"/>
      <c r="Y88" s="14"/>
      <c r="Z88" s="14"/>
    </row>
    <row r="89" spans="1:26" s="15" customFormat="1" ht="16.149999999999999" customHeight="1" thickBot="1" x14ac:dyDescent="0.3">
      <c r="B89" s="8"/>
      <c r="C89" s="11">
        <f>IF(ISTEXT(D89),MAX($C$10:C88)+1,"")</f>
        <v>51</v>
      </c>
      <c r="D89" s="70" t="s">
        <v>829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 t="s">
        <v>22</v>
      </c>
      <c r="W89" s="14"/>
      <c r="X89" s="14"/>
      <c r="Y89" s="14"/>
      <c r="Z89" s="14"/>
    </row>
    <row r="90" spans="1:26" s="15" customFormat="1" ht="16.149999999999999" customHeight="1" thickBot="1" x14ac:dyDescent="0.3">
      <c r="B90" s="8"/>
      <c r="C90" s="11">
        <f>IF(ISTEXT(D90),MAX($C$10:C89)+1,"")</f>
        <v>52</v>
      </c>
      <c r="D90" s="70" t="s">
        <v>830</v>
      </c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2"/>
      <c r="V90" s="10" t="s">
        <v>22</v>
      </c>
      <c r="W90" s="14"/>
      <c r="X90" s="14"/>
      <c r="Y90" s="14"/>
      <c r="Z90" s="14"/>
    </row>
    <row r="91" spans="1:26" s="15" customFormat="1" ht="16.149999999999999" customHeight="1" thickBot="1" x14ac:dyDescent="0.3">
      <c r="B91" s="8"/>
      <c r="C91" s="11">
        <f>IF(ISTEXT(D91),MAX($C$10:C90)+1,"")</f>
        <v>53</v>
      </c>
      <c r="D91" s="70" t="s">
        <v>831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 t="s">
        <v>22</v>
      </c>
      <c r="W91" s="14"/>
      <c r="X91" s="14"/>
      <c r="Y91" s="14"/>
      <c r="Z91" s="14"/>
    </row>
    <row r="92" spans="1:26" s="15" customFormat="1" ht="16.149999999999999" customHeight="1" thickBot="1" x14ac:dyDescent="0.25">
      <c r="B92" s="8"/>
      <c r="C92" s="11">
        <f>IF(ISTEXT(D92),MAX($C$10:C91)+1,"")</f>
        <v>54</v>
      </c>
      <c r="D92" s="95" t="s">
        <v>832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 t="s">
        <v>76</v>
      </c>
      <c r="W92" s="14"/>
      <c r="X92" s="14"/>
      <c r="Y92" s="14"/>
      <c r="Z92" s="14"/>
    </row>
    <row r="93" spans="1:26" s="15" customFormat="1" ht="16.149999999999999" customHeight="1" thickBot="1" x14ac:dyDescent="0.3">
      <c r="B93" s="8"/>
      <c r="C93" s="11">
        <f>IF(ISTEXT(D93),MAX($C$10:C92)+1,"")</f>
        <v>55</v>
      </c>
      <c r="D93" s="70" t="s">
        <v>833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 t="s">
        <v>834</v>
      </c>
      <c r="W93" s="14"/>
      <c r="X93" s="14"/>
      <c r="Y93" s="14"/>
      <c r="Z93" s="14"/>
    </row>
    <row r="94" spans="1:26" s="15" customFormat="1" ht="16.149999999999999" customHeight="1" thickBot="1" x14ac:dyDescent="0.3">
      <c r="B94" s="8"/>
      <c r="C94" s="11">
        <f>IF(ISTEXT(D94),MAX($C$10:C93)+1,"")</f>
        <v>56</v>
      </c>
      <c r="D94" s="66" t="s">
        <v>835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 t="s">
        <v>76</v>
      </c>
      <c r="W94" s="14"/>
      <c r="X94" s="14"/>
      <c r="Y94" s="14"/>
      <c r="Z94" s="14"/>
    </row>
    <row r="95" spans="1:26" s="15" customFormat="1" ht="16.149999999999999" customHeight="1" thickBot="1" x14ac:dyDescent="0.3">
      <c r="B95" s="8"/>
      <c r="C95" s="11"/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/>
      <c r="W95" s="14"/>
      <c r="X95" s="14"/>
      <c r="Y95" s="14"/>
      <c r="Z95" s="14"/>
    </row>
    <row r="96" spans="1:26" s="15" customFormat="1" ht="16.149999999999999" customHeight="1" thickBot="1" x14ac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/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/>
      <c r="W97" s="14"/>
      <c r="X97" s="14"/>
      <c r="Y97" s="14"/>
      <c r="Z97" s="14"/>
    </row>
    <row r="98" spans="2:26" s="15" customFormat="1" ht="16.149999999999999" customHeight="1" thickBot="1" x14ac:dyDescent="0.3">
      <c r="B98" s="8"/>
      <c r="C98" s="11"/>
      <c r="D98" s="73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5"/>
      <c r="V98" s="10"/>
      <c r="W98" s="14"/>
      <c r="X98" s="14"/>
      <c r="Y98" s="14"/>
      <c r="Z98" s="14"/>
    </row>
    <row r="99" spans="2:26" s="15" customFormat="1" ht="15.95" customHeight="1" thickBot="1" x14ac:dyDescent="0.25">
      <c r="B99" s="8"/>
      <c r="C99" s="11"/>
      <c r="D99" s="95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10"/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/>
      <c r="D100" s="70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/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/>
      <c r="D101" s="70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/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2"/>
      <c r="D102" s="73" t="s">
        <v>214</v>
      </c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5"/>
      <c r="V102" s="10"/>
      <c r="W102" s="14"/>
      <c r="X102" s="14"/>
      <c r="Y102" s="14"/>
      <c r="Z102" s="14"/>
    </row>
    <row r="103" spans="2:26" s="15" customFormat="1" ht="16.149999999999999" customHeight="1" thickBot="1" x14ac:dyDescent="0.25">
      <c r="B103" s="8"/>
      <c r="C103" s="11">
        <f>IF(ISTEXT(D103),MAX($C$10:C102)+1,"")</f>
        <v>57</v>
      </c>
      <c r="D103" s="95" t="s">
        <v>787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10" t="s">
        <v>834</v>
      </c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58</v>
      </c>
      <c r="D104" s="70" t="s">
        <v>836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 t="s">
        <v>22</v>
      </c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>
        <f>IF(ISTEXT(D105),MAX($C$10:C104)+1,"")</f>
        <v>59</v>
      </c>
      <c r="D105" s="70" t="s">
        <v>837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 t="s">
        <v>22</v>
      </c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>
        <f>IF(ISTEXT(D106),MAX($C$10:C105)+1,"")</f>
        <v>60</v>
      </c>
      <c r="D106" s="70" t="s">
        <v>838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 t="s">
        <v>76</v>
      </c>
      <c r="W106" s="14"/>
      <c r="X106" s="14"/>
      <c r="Y106" s="14"/>
      <c r="Z106" s="14"/>
    </row>
    <row r="107" spans="2:26" s="15" customFormat="1" ht="19.149999999999999" customHeight="1" thickBot="1" x14ac:dyDescent="0.3">
      <c r="B107" s="8"/>
      <c r="C107" s="11">
        <f>IF(ISTEXT(D107),MAX($C$10:C106)+1,"")</f>
        <v>61</v>
      </c>
      <c r="D107" s="70" t="s">
        <v>828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 t="s">
        <v>76</v>
      </c>
      <c r="W107" s="14"/>
      <c r="X107" s="14"/>
      <c r="Y107" s="14"/>
      <c r="Z107" s="14"/>
    </row>
    <row r="108" spans="2:26" s="15" customFormat="1" ht="16.149999999999999" customHeight="1" thickBot="1" x14ac:dyDescent="0.3">
      <c r="B108" s="8"/>
      <c r="C108" s="11">
        <f>IF(ISTEXT(D108),MAX($C$10:C107)+1,"")</f>
        <v>62</v>
      </c>
      <c r="D108" s="70" t="s">
        <v>839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 t="s">
        <v>76</v>
      </c>
      <c r="W108" s="14"/>
      <c r="X108" s="14"/>
      <c r="Y108" s="14"/>
      <c r="Z108" s="14"/>
    </row>
    <row r="109" spans="2:26" s="15" customFormat="1" ht="16.149999999999999" customHeight="1" thickBot="1" x14ac:dyDescent="0.25">
      <c r="B109" s="8"/>
      <c r="C109" s="11">
        <f>IF(ISTEXT(D109),MAX($C$10:C108)+1,"")</f>
        <v>63</v>
      </c>
      <c r="D109" s="95" t="s">
        <v>840</v>
      </c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10" t="s">
        <v>76</v>
      </c>
      <c r="W109" s="14"/>
      <c r="X109" s="14"/>
      <c r="Y109" s="14"/>
      <c r="Z109" s="14"/>
    </row>
    <row r="110" spans="2:26" s="15" customFormat="1" ht="16.149999999999999" customHeight="1" thickBot="1" x14ac:dyDescent="0.3">
      <c r="B110" s="8"/>
      <c r="C110" s="11">
        <f>IF(ISTEXT(D110),MAX($C$10:C109)+1,"")</f>
        <v>64</v>
      </c>
      <c r="D110" s="70" t="s">
        <v>812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2"/>
      <c r="V110" s="10" t="s">
        <v>841</v>
      </c>
      <c r="W110" s="14"/>
      <c r="X110" s="14"/>
      <c r="Y110" s="14"/>
      <c r="Z110" s="14"/>
    </row>
    <row r="111" spans="2:26" s="15" customFormat="1" ht="16.149999999999999" customHeight="1" thickBot="1" x14ac:dyDescent="0.3">
      <c r="B111" s="8"/>
      <c r="C111" s="11">
        <f>IF(ISTEXT(D111),MAX($C$10:C110)+1,"")</f>
        <v>65</v>
      </c>
      <c r="D111" s="70" t="s">
        <v>842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 t="s">
        <v>22</v>
      </c>
      <c r="W111" s="14"/>
      <c r="X111" s="14"/>
      <c r="Y111" s="14"/>
      <c r="Z111" s="14"/>
    </row>
    <row r="112" spans="2:26" s="15" customFormat="1" ht="16.149999999999999" customHeight="1" thickBot="1" x14ac:dyDescent="0.3">
      <c r="B112" s="8"/>
      <c r="C112" s="11">
        <f>IF(ISTEXT(D112),MAX($C$10:C111)+1,"")</f>
        <v>66</v>
      </c>
      <c r="D112" s="70" t="s">
        <v>843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2"/>
      <c r="V112" s="10" t="s">
        <v>22</v>
      </c>
      <c r="W112" s="14"/>
      <c r="X112" s="14"/>
      <c r="Y112" s="14"/>
      <c r="Z112" s="14"/>
    </row>
    <row r="113" spans="2:26" s="15" customFormat="1" ht="16.149999999999999" customHeight="1" thickBot="1" x14ac:dyDescent="0.3">
      <c r="B113" s="8"/>
      <c r="C113" s="11"/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/>
      <c r="W113" s="14"/>
      <c r="X113" s="14"/>
      <c r="Y113" s="14"/>
      <c r="Z113" s="14"/>
    </row>
    <row r="114" spans="2:26" s="15" customFormat="1" ht="16.149999999999999" customHeight="1" thickBot="1" x14ac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/>
      <c r="W114" s="14"/>
      <c r="X114" s="14"/>
      <c r="Y114" s="14"/>
      <c r="Z114" s="14"/>
    </row>
    <row r="115" spans="2:26" s="15" customFormat="1" ht="16.149999999999999" customHeight="1" thickBot="1" x14ac:dyDescent="0.3">
      <c r="B115" s="8"/>
      <c r="C115" s="11" t="str">
        <f>IF(ISTEXT(D115),MAX($C$10:C114)+1,"")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/>
      <c r="W115" s="14"/>
      <c r="X115" s="14"/>
      <c r="Y115" s="14"/>
      <c r="Z115" s="14"/>
    </row>
    <row r="116" spans="2:26" s="15" customFormat="1" ht="16.149999999999999" customHeight="1" thickBot="1" x14ac:dyDescent="0.3">
      <c r="B116" s="8"/>
      <c r="C116" s="11" t="str">
        <f>IF(ISTEXT(D116),MAX($C$10:C115)+1,"")</f>
        <v/>
      </c>
      <c r="D116" s="70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2"/>
      <c r="V116" s="10"/>
      <c r="W116" s="14"/>
      <c r="X116" s="14"/>
      <c r="Y116" s="14"/>
      <c r="Z116" s="14"/>
    </row>
    <row r="117" spans="2:26" s="15" customFormat="1" ht="16.149999999999999" customHeight="1" thickBot="1" x14ac:dyDescent="0.3">
      <c r="B117" s="8"/>
      <c r="C117" s="11" t="str">
        <f>IF(ISTEXT(D117),MAX($C$10:C116)+1,"")</f>
        <v/>
      </c>
      <c r="D117" s="66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8"/>
      <c r="V117" s="9"/>
      <c r="W117" s="14"/>
      <c r="X117" s="14"/>
      <c r="Y117" s="14"/>
      <c r="Z117" s="14"/>
    </row>
    <row r="118" spans="2:26" ht="15" customHeight="1" x14ac:dyDescent="0.25">
      <c r="B118" s="69" t="s">
        <v>98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</row>
    <row r="119" spans="2:26" x14ac:dyDescent="0.25">
      <c r="B119" s="20"/>
      <c r="C119" s="21"/>
      <c r="O119" s="22"/>
      <c r="P119" s="22"/>
      <c r="Q119" s="23"/>
      <c r="R119" s="23"/>
      <c r="S119" s="22"/>
      <c r="T119" s="22"/>
    </row>
    <row r="120" spans="2:26" ht="15.75" thickBot="1" x14ac:dyDescent="0.3">
      <c r="B120" s="57" t="s">
        <v>61</v>
      </c>
      <c r="C120" s="57"/>
      <c r="D120" s="57"/>
      <c r="E120" s="57"/>
      <c r="F120" s="57"/>
      <c r="G120" s="57"/>
      <c r="H120" s="57"/>
      <c r="I120" s="57"/>
      <c r="J120" s="57"/>
      <c r="K120" s="64">
        <f ca="1">$K$65</f>
        <v>45832</v>
      </c>
      <c r="L120" s="62"/>
      <c r="M120" s="62"/>
      <c r="N120" s="62"/>
      <c r="O120" s="59"/>
      <c r="P120" s="59"/>
      <c r="Q120" s="60"/>
      <c r="R120" s="60"/>
      <c r="S120" s="65"/>
      <c r="T120" s="65"/>
    </row>
    <row r="121" spans="2:26" ht="15" customHeight="1" x14ac:dyDescent="0.25">
      <c r="C121" s="29"/>
      <c r="I121" s="30"/>
      <c r="O121" s="65"/>
      <c r="P121" s="65"/>
      <c r="Q121" s="60"/>
      <c r="R121" s="60"/>
      <c r="S121" s="65"/>
      <c r="T121" s="65"/>
    </row>
    <row r="122" spans="2:26" ht="18" customHeight="1" thickBot="1" x14ac:dyDescent="0.3">
      <c r="B122" s="57" t="s">
        <v>62</v>
      </c>
      <c r="C122" s="57"/>
      <c r="D122" s="57"/>
      <c r="E122" s="57"/>
      <c r="F122" s="57"/>
      <c r="G122" s="57"/>
      <c r="H122" s="57"/>
      <c r="I122" s="57"/>
      <c r="J122" s="57"/>
      <c r="K122" s="58" t="s">
        <v>532</v>
      </c>
      <c r="L122" s="58"/>
      <c r="M122" s="58"/>
      <c r="N122" s="58"/>
      <c r="O122" s="59"/>
      <c r="P122" s="59"/>
      <c r="Q122" s="60"/>
      <c r="R122" s="60"/>
      <c r="S122" s="97" t="s">
        <v>63</v>
      </c>
      <c r="T122" s="97"/>
      <c r="U122" s="97"/>
      <c r="V122" s="62"/>
      <c r="W122" s="62"/>
      <c r="X122" s="62"/>
      <c r="Y122" s="62"/>
    </row>
    <row r="123" spans="2:26" ht="15" customHeight="1" x14ac:dyDescent="0.25"/>
    <row r="124" spans="2:26" ht="15" customHeight="1" thickBot="1" x14ac:dyDescent="0.3"/>
    <row r="125" spans="2:26" ht="15" customHeight="1" x14ac:dyDescent="0.25">
      <c r="E125" s="88" t="s">
        <v>64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2" t="s">
        <v>99</v>
      </c>
      <c r="X125" s="79"/>
      <c r="Y125" s="79"/>
      <c r="Z125" s="79"/>
    </row>
    <row r="126" spans="2:26" ht="15" customHeight="1" thickBot="1" x14ac:dyDescent="0.3">
      <c r="E126" s="90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</row>
    <row r="127" spans="2:26" ht="10.5" customHeight="1" thickBot="1" x14ac:dyDescent="0.3"/>
    <row r="128" spans="2:26" ht="15" customHeight="1" thickBot="1" x14ac:dyDescent="0.3">
      <c r="J128" s="79" t="s">
        <v>2</v>
      </c>
      <c r="K128" s="79"/>
      <c r="L128" s="79"/>
      <c r="M128" s="80" t="str">
        <f>M4</f>
        <v>C1005</v>
      </c>
      <c r="N128" s="80"/>
      <c r="O128" s="80"/>
      <c r="P128" s="80"/>
    </row>
    <row r="129" spans="2:26" s="15" customFormat="1" ht="15" customHeight="1" thickBot="1" x14ac:dyDescent="0.3">
      <c r="I129" s="79" t="s">
        <v>4</v>
      </c>
      <c r="J129" s="79"/>
      <c r="K129" s="79"/>
      <c r="L129" s="79"/>
      <c r="M129" s="80"/>
      <c r="N129" s="80"/>
      <c r="O129" s="80"/>
      <c r="P129" s="80"/>
      <c r="Q129" s="81"/>
      <c r="R129" s="82"/>
      <c r="S129" s="82"/>
      <c r="T129" s="82"/>
      <c r="U129" s="82"/>
      <c r="V129" s="82"/>
    </row>
    <row r="130" spans="2:26" s="15" customFormat="1" ht="17.100000000000001" customHeight="1" thickBot="1" x14ac:dyDescent="0.3"/>
    <row r="131" spans="2:26" s="15" customFormat="1" ht="15" customHeight="1" thickBot="1" x14ac:dyDescent="0.3">
      <c r="C131" s="83" t="s">
        <v>66</v>
      </c>
      <c r="D131" s="83"/>
      <c r="E131" s="83"/>
      <c r="F131" s="83"/>
      <c r="G131" s="83"/>
      <c r="H131" s="83"/>
      <c r="I131" s="83"/>
      <c r="J131" s="83"/>
      <c r="K131" s="83"/>
      <c r="L131" s="84"/>
      <c r="M131" s="85" t="s">
        <v>532</v>
      </c>
      <c r="N131" s="86"/>
      <c r="O131" s="86"/>
      <c r="P131" s="86"/>
      <c r="Q131" s="86"/>
      <c r="R131" s="86"/>
      <c r="S131" s="87"/>
      <c r="T131" s="60"/>
      <c r="U131" s="60"/>
      <c r="V131" s="60"/>
      <c r="W131" s="60"/>
      <c r="X131" s="23"/>
    </row>
    <row r="132" spans="2:26" s="15" customFormat="1" ht="10.5" customHeight="1" thickBot="1" x14ac:dyDescent="0.3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2:26" s="15" customFormat="1" ht="21" customHeight="1" thickBot="1" x14ac:dyDescent="0.3">
      <c r="B133" s="76" t="s">
        <v>67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  <c r="V133" s="35" t="s">
        <v>8</v>
      </c>
      <c r="W133" s="35" t="s">
        <v>9</v>
      </c>
      <c r="X133" s="35" t="s">
        <v>10</v>
      </c>
      <c r="Y133" s="7" t="s">
        <v>11</v>
      </c>
      <c r="Z133" s="35" t="s">
        <v>12</v>
      </c>
    </row>
    <row r="134" spans="2:26" s="15" customFormat="1" ht="16.149999999999999" customHeight="1" thickBot="1" x14ac:dyDescent="0.3">
      <c r="B134" s="8"/>
      <c r="C134" s="12"/>
      <c r="D134" s="73" t="s">
        <v>120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5"/>
      <c r="V134" s="14"/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>
        <f>IF(ISTEXT(D135),MAX($C$10:C134)+1,"")</f>
        <v>67</v>
      </c>
      <c r="D135" s="70" t="s">
        <v>844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 t="s">
        <v>22</v>
      </c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>
        <f>IF(ISTEXT(D136),MAX($C$10:C135)+1,"")</f>
        <v>68</v>
      </c>
      <c r="D136" s="70" t="s">
        <v>845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 t="s">
        <v>22</v>
      </c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>
        <f>IF(ISTEXT(D137),MAX($C$10:C136)+1,"")</f>
        <v>69</v>
      </c>
      <c r="D137" s="70" t="s">
        <v>846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 t="s">
        <v>22</v>
      </c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>
        <f>IF(ISTEXT(D138),MAX($C$10:C137)+1,"")</f>
        <v>70</v>
      </c>
      <c r="D138" s="70" t="s">
        <v>847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 t="s">
        <v>76</v>
      </c>
      <c r="W138" s="14"/>
      <c r="X138" s="14"/>
      <c r="Y138" s="14"/>
      <c r="Z138" s="14"/>
    </row>
    <row r="139" spans="2:26" s="15" customFormat="1" ht="16.149999999999999" customHeight="1" thickBot="1" x14ac:dyDescent="0.3">
      <c r="B139" s="8"/>
      <c r="C139" s="11" t="str">
        <f>IF(ISTEXT(D139),MAX($C$10:C138)+1,"")</f>
        <v/>
      </c>
      <c r="D139" s="70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/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/>
      <c r="W140" s="14"/>
      <c r="X140" s="14"/>
      <c r="Y140" s="14"/>
      <c r="Z140" s="14"/>
    </row>
    <row r="141" spans="2:26" ht="16.149999999999999" customHeight="1" thickBot="1" x14ac:dyDescent="0.3">
      <c r="B141" s="8"/>
      <c r="C141" s="11" t="str">
        <f>IF(ISTEXT(D141),MAX($C$10:C140)+1,"")</f>
        <v/>
      </c>
      <c r="D141" s="70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9"/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/>
      <c r="D142" s="73" t="s">
        <v>848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5"/>
      <c r="V142" s="9"/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71</v>
      </c>
      <c r="D143" s="70" t="s">
        <v>787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9" t="s">
        <v>22</v>
      </c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72</v>
      </c>
      <c r="D144" s="70" t="s">
        <v>849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 t="s">
        <v>22</v>
      </c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>
        <f>IF(ISTEXT(D145),MAX($C$10:C144)+1,"")</f>
        <v>73</v>
      </c>
      <c r="D145" s="70" t="s">
        <v>850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 t="s">
        <v>22</v>
      </c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>
        <f>IF(ISTEXT(D146),MAX($C$10:C145)+1,"")</f>
        <v>74</v>
      </c>
      <c r="D146" s="70" t="s">
        <v>851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 t="s">
        <v>22</v>
      </c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>
        <f>IF(ISTEXT(D147),MAX($C$10:C146)+1,"")</f>
        <v>75</v>
      </c>
      <c r="D147" s="70" t="s">
        <v>852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 t="s">
        <v>22</v>
      </c>
      <c r="W147" s="14"/>
      <c r="X147" s="14"/>
      <c r="Y147" s="14"/>
      <c r="Z147" s="14"/>
    </row>
    <row r="148" spans="2:26" s="15" customFormat="1" ht="16.149999999999999" customHeight="1" thickBot="1" x14ac:dyDescent="0.3">
      <c r="B148" s="8"/>
      <c r="C148" s="11">
        <f>IF(ISTEXT(D148),MAX($C$10:C147)+1,"")</f>
        <v>76</v>
      </c>
      <c r="D148" s="70" t="s">
        <v>853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9" t="s">
        <v>22</v>
      </c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>
        <f>IF(ISTEXT(D149),MAX($C$10:C148)+1,"")</f>
        <v>77</v>
      </c>
      <c r="D149" s="70" t="s">
        <v>854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 t="s">
        <v>76</v>
      </c>
      <c r="W149" s="14"/>
      <c r="X149" s="14"/>
      <c r="Y149" s="14"/>
      <c r="Z149" s="14"/>
    </row>
    <row r="150" spans="2:26" ht="15.75" thickBot="1" x14ac:dyDescent="0.3">
      <c r="B150" s="8"/>
      <c r="C150" s="11">
        <f>IF(ISTEXT(D150),MAX($C$10:C149)+1,"")</f>
        <v>78</v>
      </c>
      <c r="D150" s="70" t="s">
        <v>820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 t="s">
        <v>72</v>
      </c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>
        <f>IF(ISTEXT(D151),MAX($C$10:C150)+1,"")</f>
        <v>79</v>
      </c>
      <c r="D151" s="70" t="s">
        <v>821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 t="s">
        <v>76</v>
      </c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/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/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/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/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/>
      <c r="D154" s="73" t="s">
        <v>855</v>
      </c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5"/>
      <c r="V154" s="9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>
        <f>IF(ISTEXT(D155),MAX($C$10:C154)+1,"")</f>
        <v>80</v>
      </c>
      <c r="D155" s="70" t="s">
        <v>813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 t="s">
        <v>76</v>
      </c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>
        <f>IF(ISTEXT(D156),MAX($C$10:C155)+1,"")</f>
        <v>81</v>
      </c>
      <c r="D156" s="70" t="s">
        <v>588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 t="s">
        <v>76</v>
      </c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/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/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/>
      <c r="D158" s="73" t="s">
        <v>856</v>
      </c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5"/>
      <c r="V158" s="9"/>
      <c r="W158" s="14"/>
      <c r="X158" s="14"/>
      <c r="Y158" s="14"/>
      <c r="Z158" s="14"/>
    </row>
    <row r="159" spans="2:26" s="15" customFormat="1" ht="16.149999999999999" customHeight="1" thickBot="1" x14ac:dyDescent="0.25">
      <c r="B159" s="8"/>
      <c r="C159" s="11">
        <f>IF(ISTEXT(D159),MAX($C$10:C158)+1,"")</f>
        <v>82</v>
      </c>
      <c r="D159" s="95" t="s">
        <v>787</v>
      </c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" t="s">
        <v>22</v>
      </c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>
        <f>IF(ISTEXT(D160),MAX($C$10:C159)+1,"")</f>
        <v>83</v>
      </c>
      <c r="D160" s="70" t="s">
        <v>857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 t="s">
        <v>76</v>
      </c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>
        <f>IF(ISTEXT(D161),MAX($C$10:C160)+1,"")</f>
        <v>84</v>
      </c>
      <c r="D161" s="70" t="s">
        <v>858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 t="s">
        <v>22</v>
      </c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>
        <f>IF(ISTEXT(D162),MAX($C$10:C161)+1,"")</f>
        <v>85</v>
      </c>
      <c r="D162" s="70" t="s">
        <v>859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 t="s">
        <v>22</v>
      </c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>
        <f>IF(ISTEXT(D163),MAX($C$10:C162)+1,"")</f>
        <v>86</v>
      </c>
      <c r="D163" s="70" t="s">
        <v>860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 t="s">
        <v>22</v>
      </c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>
        <f>IF(ISTEXT(D164),MAX($C$10:C163)+1,"")</f>
        <v>87</v>
      </c>
      <c r="D164" s="70" t="s">
        <v>861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 t="s">
        <v>22</v>
      </c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>
        <f>IF(ISTEXT(D165),MAX($C$10:C164)+1,"")</f>
        <v>88</v>
      </c>
      <c r="D165" s="70" t="s">
        <v>862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 t="s">
        <v>863</v>
      </c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/>
      <c r="W167" s="14"/>
      <c r="X167" s="14"/>
      <c r="Y167" s="14"/>
      <c r="Z167" s="14"/>
    </row>
    <row r="168" spans="2:26" s="15" customFormat="1" ht="16.149999999999999" customHeight="1" thickBot="1" x14ac:dyDescent="0.3">
      <c r="B168" s="8"/>
      <c r="C168" s="11"/>
      <c r="D168" s="73" t="s">
        <v>864</v>
      </c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5"/>
      <c r="V168" s="9"/>
      <c r="W168" s="14"/>
      <c r="X168" s="14"/>
      <c r="Y168" s="14"/>
      <c r="Z168" s="14"/>
    </row>
    <row r="169" spans="2:26" s="15" customFormat="1" ht="16.149999999999999" customHeight="1" thickBot="1" x14ac:dyDescent="0.3">
      <c r="B169" s="8"/>
      <c r="C169" s="11">
        <f>IF(ISTEXT(D169),MAX($C$10:C168)+1,"")</f>
        <v>89</v>
      </c>
      <c r="D169" s="70" t="s">
        <v>865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 t="s">
        <v>76</v>
      </c>
      <c r="W169" s="14"/>
      <c r="X169" s="14"/>
      <c r="Y169" s="14"/>
      <c r="Z169" s="14"/>
    </row>
    <row r="170" spans="2:26" s="15" customFormat="1" ht="16.149999999999999" customHeight="1" thickBot="1" x14ac:dyDescent="0.3">
      <c r="B170" s="8"/>
      <c r="C170" s="11">
        <f>IF(ISTEXT(D170),MAX($C$10:C169)+1,"")</f>
        <v>90</v>
      </c>
      <c r="D170" s="70" t="s">
        <v>866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 t="s">
        <v>76</v>
      </c>
      <c r="W170" s="14"/>
      <c r="X170" s="14"/>
      <c r="Y170" s="14"/>
      <c r="Z170" s="14"/>
    </row>
    <row r="171" spans="2:26" s="15" customFormat="1" ht="16.149999999999999" customHeight="1" thickBot="1" x14ac:dyDescent="0.3">
      <c r="B171" s="8"/>
      <c r="C171" s="11">
        <f>IF(ISTEXT(D171),MAX($C$10:C170)+1,"")</f>
        <v>91</v>
      </c>
      <c r="D171" s="70" t="s">
        <v>867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 t="s">
        <v>76</v>
      </c>
      <c r="W171" s="14"/>
      <c r="X171" s="14"/>
      <c r="Y171" s="14"/>
      <c r="Z171" s="14"/>
    </row>
    <row r="172" spans="2:26" s="15" customFormat="1" ht="16.149999999999999" customHeight="1" thickBot="1" x14ac:dyDescent="0.3">
      <c r="B172" s="8"/>
      <c r="C172" s="11">
        <f>IF(ISTEXT(D172),MAX($C$10:C171)+1,"")</f>
        <v>92</v>
      </c>
      <c r="D172" s="70" t="s">
        <v>868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 t="s">
        <v>22</v>
      </c>
      <c r="W172" s="14"/>
      <c r="X172" s="14"/>
      <c r="Y172" s="14"/>
      <c r="Z172" s="14"/>
    </row>
    <row r="173" spans="2:26" s="15" customFormat="1" ht="16.149999999999999" customHeight="1" thickBot="1" x14ac:dyDescent="0.3">
      <c r="B173" s="8"/>
      <c r="C173" s="11">
        <f>IF(ISTEXT(D173),MAX($C$10:C172)+1,"")</f>
        <v>93</v>
      </c>
      <c r="D173" s="70" t="s">
        <v>869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 t="s">
        <v>76</v>
      </c>
      <c r="W173" s="14"/>
      <c r="X173" s="14"/>
      <c r="Y173" s="14"/>
      <c r="Z173" s="14"/>
    </row>
    <row r="174" spans="2:26" s="15" customFormat="1" ht="16.149999999999999" customHeight="1" thickBot="1" x14ac:dyDescent="0.3">
      <c r="B174" s="8"/>
      <c r="C174" s="11" t="str">
        <f>IF(ISTEXT(D174),MAX($C$10:C173)+1,"")</f>
        <v/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/>
      <c r="W174" s="14"/>
      <c r="X174" s="14"/>
      <c r="Y174" s="14"/>
      <c r="Z174" s="14"/>
    </row>
    <row r="175" spans="2:26" s="15" customFormat="1" ht="16.149999999999999" customHeight="1" thickBot="1" x14ac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/>
      <c r="W175" s="14"/>
      <c r="X175" s="14"/>
      <c r="Y175" s="14"/>
      <c r="Z175" s="14"/>
    </row>
    <row r="176" spans="2:26" s="15" customFormat="1" ht="16.149999999999999" customHeight="1" thickBot="1" x14ac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9"/>
      <c r="W176" s="14"/>
      <c r="X176" s="14"/>
      <c r="Y176" s="14"/>
      <c r="Z176" s="14"/>
    </row>
    <row r="177" spans="2:26" s="15" customFormat="1" ht="16.149999999999999" customHeight="1" thickBot="1" x14ac:dyDescent="0.3">
      <c r="B177" s="8"/>
      <c r="C177" s="11" t="str">
        <f>IF(ISTEXT(D177),MAX($C$10:C176)+1,"")</f>
        <v/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2"/>
      <c r="V177" s="9"/>
      <c r="W177" s="14"/>
      <c r="X177" s="14"/>
      <c r="Y177" s="14"/>
      <c r="Z177" s="14"/>
    </row>
    <row r="178" spans="2:26" s="15" customFormat="1" ht="16.149999999999999" customHeight="1" thickBot="1" x14ac:dyDescent="0.3">
      <c r="B178" s="8"/>
      <c r="C178" s="11" t="str">
        <f>IF(ISTEXT(D178),MAX($C$10:C177)+1,"")</f>
        <v/>
      </c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8"/>
      <c r="V178" s="14"/>
      <c r="W178" s="14"/>
      <c r="X178" s="14"/>
      <c r="Y178" s="14"/>
      <c r="Z178" s="14"/>
    </row>
    <row r="179" spans="2:26" ht="15" customHeight="1" x14ac:dyDescent="0.25">
      <c r="B179" s="69" t="s">
        <v>98</v>
      </c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</row>
    <row r="180" spans="2:26" x14ac:dyDescent="0.25">
      <c r="B180" s="20"/>
      <c r="C180" s="21"/>
      <c r="O180" s="22"/>
      <c r="P180" s="22"/>
      <c r="Q180" s="23"/>
      <c r="R180" s="23"/>
      <c r="S180" s="22"/>
      <c r="T180" s="22"/>
    </row>
    <row r="181" spans="2:26" ht="15.75" thickBot="1" x14ac:dyDescent="0.3">
      <c r="B181" s="57" t="s">
        <v>61</v>
      </c>
      <c r="C181" s="57"/>
      <c r="D181" s="57"/>
      <c r="E181" s="57"/>
      <c r="F181" s="57"/>
      <c r="G181" s="57"/>
      <c r="H181" s="57"/>
      <c r="I181" s="57"/>
      <c r="J181" s="57"/>
      <c r="K181" s="64">
        <f ca="1">$K$65</f>
        <v>45832</v>
      </c>
      <c r="L181" s="62"/>
      <c r="M181" s="62"/>
      <c r="N181" s="62"/>
      <c r="O181" s="59"/>
      <c r="P181" s="59"/>
      <c r="Q181" s="60"/>
      <c r="R181" s="60"/>
      <c r="S181" s="65"/>
      <c r="T181" s="65"/>
    </row>
    <row r="182" spans="2:26" ht="15" customHeight="1" x14ac:dyDescent="0.25">
      <c r="C182" s="29"/>
      <c r="I182" s="30"/>
      <c r="O182" s="65"/>
      <c r="P182" s="65"/>
      <c r="Q182" s="60"/>
      <c r="R182" s="60"/>
      <c r="S182" s="65"/>
      <c r="T182" s="65"/>
    </row>
    <row r="183" spans="2:26" ht="15.75" thickBot="1" x14ac:dyDescent="0.3">
      <c r="B183" s="57" t="s">
        <v>62</v>
      </c>
      <c r="C183" s="57"/>
      <c r="D183" s="79"/>
      <c r="E183" s="79"/>
      <c r="F183" s="79"/>
      <c r="G183" s="79"/>
      <c r="H183" s="79"/>
      <c r="I183" s="79"/>
      <c r="J183" s="79"/>
      <c r="K183" s="58" t="s">
        <v>532</v>
      </c>
      <c r="L183" s="58"/>
      <c r="M183" s="58"/>
      <c r="N183" s="58"/>
      <c r="O183" s="59"/>
      <c r="P183" s="59"/>
      <c r="Q183" s="94"/>
      <c r="R183" s="94"/>
      <c r="S183" s="79" t="s">
        <v>63</v>
      </c>
      <c r="T183" s="79"/>
      <c r="U183" s="79"/>
      <c r="V183" s="93"/>
      <c r="W183" s="93"/>
      <c r="X183" s="93"/>
      <c r="Y183" s="93"/>
    </row>
    <row r="184" spans="2:26" ht="15" customHeight="1" x14ac:dyDescent="0.25"/>
    <row r="185" spans="2:26" ht="15" customHeight="1" thickBot="1" x14ac:dyDescent="0.3"/>
    <row r="186" spans="2:26" ht="15" customHeight="1" x14ac:dyDescent="0.25">
      <c r="E186" s="88" t="s">
        <v>64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2" t="s">
        <v>126</v>
      </c>
      <c r="X186" s="79"/>
      <c r="Y186" s="79"/>
      <c r="Z186" s="79"/>
    </row>
    <row r="187" spans="2:26" ht="15" customHeight="1" thickBot="1" x14ac:dyDescent="0.3">
      <c r="E187" s="90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</row>
    <row r="188" spans="2:26" ht="10.5" customHeight="1" thickBot="1" x14ac:dyDescent="0.3"/>
    <row r="189" spans="2:26" ht="15" customHeight="1" thickBot="1" x14ac:dyDescent="0.3">
      <c r="J189" s="79" t="s">
        <v>2</v>
      </c>
      <c r="K189" s="79"/>
      <c r="L189" s="79"/>
      <c r="M189" s="80" t="str">
        <f>M4</f>
        <v>C1005</v>
      </c>
      <c r="N189" s="80"/>
      <c r="O189" s="80"/>
      <c r="P189" s="80"/>
    </row>
    <row r="190" spans="2:26" s="15" customFormat="1" ht="15" customHeight="1" thickBot="1" x14ac:dyDescent="0.3">
      <c r="I190" s="79" t="s">
        <v>4</v>
      </c>
      <c r="J190" s="79"/>
      <c r="K190" s="79"/>
      <c r="L190" s="79"/>
      <c r="M190" s="80"/>
      <c r="N190" s="80"/>
      <c r="O190" s="80"/>
      <c r="P190" s="80"/>
      <c r="Q190" s="81"/>
      <c r="R190" s="82"/>
      <c r="S190" s="82"/>
      <c r="T190" s="82"/>
      <c r="U190" s="82"/>
      <c r="V190" s="82"/>
    </row>
    <row r="191" spans="2:26" s="15" customFormat="1" ht="8.25" customHeight="1" thickBot="1" x14ac:dyDescent="0.3">
      <c r="M191" s="38"/>
      <c r="N191" s="38"/>
      <c r="O191" s="38"/>
      <c r="P191" s="38"/>
    </row>
    <row r="192" spans="2:26" s="15" customFormat="1" ht="15" customHeight="1" thickBot="1" x14ac:dyDescent="0.3">
      <c r="C192" s="83" t="s">
        <v>66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5" t="s">
        <v>532</v>
      </c>
      <c r="N192" s="86"/>
      <c r="O192" s="86"/>
      <c r="P192" s="86"/>
      <c r="Q192" s="86"/>
      <c r="R192" s="86"/>
      <c r="S192" s="87"/>
      <c r="T192" s="60"/>
      <c r="U192" s="60"/>
      <c r="V192" s="60"/>
      <c r="W192" s="60"/>
      <c r="X192" s="23"/>
    </row>
    <row r="193" spans="2:26" s="15" customFormat="1" ht="10.5" customHeight="1" thickBot="1" x14ac:dyDescent="0.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2:26" s="15" customFormat="1" ht="21" customHeight="1" thickBot="1" x14ac:dyDescent="0.3">
      <c r="B194" s="76" t="s">
        <v>67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8"/>
      <c r="V194" s="35" t="s">
        <v>8</v>
      </c>
      <c r="W194" s="35" t="s">
        <v>9</v>
      </c>
      <c r="X194" s="35" t="s">
        <v>10</v>
      </c>
      <c r="Y194" s="7" t="s">
        <v>11</v>
      </c>
      <c r="Z194" s="35" t="s">
        <v>12</v>
      </c>
    </row>
    <row r="195" spans="2:26" s="15" customFormat="1" ht="16.149999999999999" customHeight="1" thickBot="1" x14ac:dyDescent="0.3">
      <c r="B195" s="8"/>
      <c r="C195" s="39"/>
      <c r="D195" s="73" t="s">
        <v>127</v>
      </c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5"/>
      <c r="V195" s="14"/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IF(ISTEXT(D196),MAX($C$10:C195),"")</f>
        <v>93</v>
      </c>
      <c r="D196" s="70" t="s">
        <v>870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 t="s">
        <v>22</v>
      </c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>
        <f>IF(ISTEXT(D197),MAX($C$10:C196)+1,"")</f>
        <v>94</v>
      </c>
      <c r="D197" s="66" t="s">
        <v>871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 t="s">
        <v>72</v>
      </c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>
        <f>IF(ISTEXT(D198),MAX($C$10:C197)+1,"")</f>
        <v>95</v>
      </c>
      <c r="D198" s="66" t="s">
        <v>872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 t="s">
        <v>22</v>
      </c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>
        <f>IF(ISTEXT(D199),MAX($C$10:C198)+1,"")</f>
        <v>96</v>
      </c>
      <c r="D199" s="66" t="s">
        <v>584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 t="s">
        <v>22</v>
      </c>
      <c r="W199" s="14"/>
      <c r="X199" s="14"/>
      <c r="Y199" s="14"/>
      <c r="Z199" s="14"/>
    </row>
    <row r="200" spans="2:26" s="15" customFormat="1" ht="16.149999999999999" customHeight="1" thickBot="1" x14ac:dyDescent="0.3">
      <c r="B200" s="8"/>
      <c r="C200" s="11">
        <f>IF(ISTEXT(D200),MAX($C$10:C199)+1,"")</f>
        <v>97</v>
      </c>
      <c r="D200" s="66" t="s">
        <v>752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 t="s">
        <v>129</v>
      </c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>
        <f>IF(ISTEXT(D201),MAX($C$10:C200)+1,"")</f>
        <v>98</v>
      </c>
      <c r="D201" s="70" t="s">
        <v>754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 t="s">
        <v>129</v>
      </c>
      <c r="W201" s="14"/>
      <c r="X201" s="14"/>
      <c r="Y201" s="14"/>
      <c r="Z201" s="14"/>
    </row>
    <row r="202" spans="2:26" ht="16.149999999999999" customHeight="1" thickBot="1" x14ac:dyDescent="0.3">
      <c r="B202" s="8"/>
      <c r="C202" s="11">
        <f>IF(ISTEXT(D202),MAX($C$10:C201)+1,"")</f>
        <v>99</v>
      </c>
      <c r="D202" s="66" t="s">
        <v>873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 t="s">
        <v>22</v>
      </c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>
        <f>IF(ISTEXT(D203),MAX($C$10:C202)+1,"")</f>
        <v>100</v>
      </c>
      <c r="D203" s="66" t="s">
        <v>874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 t="s">
        <v>22</v>
      </c>
      <c r="W203" s="14"/>
      <c r="X203" s="14"/>
      <c r="Y203" s="14"/>
      <c r="Z203" s="14"/>
    </row>
    <row r="204" spans="2:26" s="15" customFormat="1" ht="16.149999999999999" customHeight="1" thickBot="1" x14ac:dyDescent="0.3">
      <c r="B204" s="8"/>
      <c r="C204" s="11">
        <f>IF(ISTEXT(D204),MAX($C$10:C203)+1,"")</f>
        <v>101</v>
      </c>
      <c r="D204" s="70" t="s">
        <v>610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 t="s">
        <v>22</v>
      </c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>
        <f>IF(ISTEXT(D205),MAX($C$10:C204)+1,"")</f>
        <v>102</v>
      </c>
      <c r="D205" s="70" t="s">
        <v>875</v>
      </c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 t="s">
        <v>76</v>
      </c>
      <c r="W205" s="14"/>
      <c r="X205" s="14"/>
      <c r="Y205" s="14"/>
      <c r="Z205" s="14"/>
    </row>
    <row r="206" spans="2:26" s="15" customFormat="1" ht="15.95" customHeight="1" thickBot="1" x14ac:dyDescent="0.3">
      <c r="B206" s="8"/>
      <c r="C206" s="11">
        <f>IF(ISTEXT(D206),MAX($C$10:C205)+1,"")</f>
        <v>103</v>
      </c>
      <c r="D206" s="70" t="s">
        <v>876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 t="s">
        <v>22</v>
      </c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>
        <f>IF(ISTEXT(D207),MAX($C$10:C206)+1,"")</f>
        <v>104</v>
      </c>
      <c r="D207" s="66" t="s">
        <v>877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 t="s">
        <v>22</v>
      </c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>
        <f>IF(ISTEXT(D208),MAX($C$10:C207)+1,"")</f>
        <v>105</v>
      </c>
      <c r="D208" s="70" t="s">
        <v>878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 t="s">
        <v>22</v>
      </c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>
        <f>IF(ISTEXT(D209),MAX($C$10:C208)+1,"")</f>
        <v>106</v>
      </c>
      <c r="D209" s="66" t="s">
        <v>879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 t="s">
        <v>22</v>
      </c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>
        <f>IF(ISTEXT(D210),MAX($C$10:C209)+1,"")</f>
        <v>107</v>
      </c>
      <c r="D210" s="66" t="s">
        <v>880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 t="s">
        <v>22</v>
      </c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>
        <f>IF(ISTEXT(D211),MAX($C$10:C210)+1,"")</f>
        <v>108</v>
      </c>
      <c r="D211" s="66" t="s">
        <v>881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 t="s">
        <v>882</v>
      </c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 t="str">
        <f>IF(ISTEXT(D212),MAX($C$10:C211)+1,"")</f>
        <v/>
      </c>
      <c r="D212" s="70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/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 t="str">
        <f>IF(ISTEXT(D213),MAX($C$10:C212)+1,"")</f>
        <v/>
      </c>
      <c r="D213" s="70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/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 t="str">
        <f>IF(ISTEXT(#REF!),MAX($C$10:C213)+1,"")</f>
        <v/>
      </c>
      <c r="D214" s="73" t="s">
        <v>148</v>
      </c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5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>
        <f>IF(ISTEXT(D215),MAX($C$10:C214)+1,"")</f>
        <v>109</v>
      </c>
      <c r="D215" s="66" t="s">
        <v>883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 t="s">
        <v>22</v>
      </c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110</v>
      </c>
      <c r="D216" s="66" t="s">
        <v>884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 t="s">
        <v>22</v>
      </c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111</v>
      </c>
      <c r="D217" s="66" t="s">
        <v>885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 t="s">
        <v>72</v>
      </c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112</v>
      </c>
      <c r="D218" s="150" t="s">
        <v>886</v>
      </c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2"/>
      <c r="V218" s="10" t="s">
        <v>22</v>
      </c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113</v>
      </c>
      <c r="D219" s="66" t="s">
        <v>887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 t="s">
        <v>22</v>
      </c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114</v>
      </c>
      <c r="D220" s="70" t="s">
        <v>888</v>
      </c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2"/>
      <c r="V220" s="10" t="s">
        <v>22</v>
      </c>
      <c r="W220" s="14"/>
      <c r="X220" s="14"/>
      <c r="Y220" s="14"/>
      <c r="Z220" s="14"/>
    </row>
    <row r="221" spans="2:26" s="15" customFormat="1" ht="16.149999999999999" customHeight="1" thickBot="1" x14ac:dyDescent="0.3">
      <c r="B221" s="8"/>
      <c r="C221" s="11">
        <f>IF(ISTEXT(D221),MAX($C$10:C220)+1,"")</f>
        <v>115</v>
      </c>
      <c r="D221" s="66" t="s">
        <v>889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 t="s">
        <v>882</v>
      </c>
      <c r="W221" s="14"/>
      <c r="X221" s="14"/>
      <c r="Y221" s="14"/>
      <c r="Z221" s="14"/>
    </row>
    <row r="222" spans="2:26" s="15" customFormat="1" ht="16.149999999999999" customHeight="1" thickBot="1" x14ac:dyDescent="0.3">
      <c r="B222" s="8"/>
      <c r="C222" s="11">
        <f>IF(ISTEXT(D222),MAX($C$10:C221)+1,"")</f>
        <v>116</v>
      </c>
      <c r="D222" s="66" t="s">
        <v>890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 t="s">
        <v>22</v>
      </c>
      <c r="W222" s="14"/>
      <c r="X222" s="14"/>
      <c r="Y222" s="14"/>
      <c r="Z222" s="14"/>
    </row>
    <row r="223" spans="2:26" s="15" customFormat="1" ht="16.149999999999999" customHeight="1" thickBot="1" x14ac:dyDescent="0.3">
      <c r="B223" s="8"/>
      <c r="C223" s="11">
        <f>IF(ISTEXT(D223),MAX($C$10:C222)+1,"")</f>
        <v>117</v>
      </c>
      <c r="D223" s="70" t="s">
        <v>891</v>
      </c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2"/>
      <c r="V223" s="10" t="s">
        <v>72</v>
      </c>
      <c r="W223" s="14"/>
      <c r="X223" s="14"/>
      <c r="Y223" s="14"/>
      <c r="Z223" s="14"/>
    </row>
    <row r="224" spans="2:26" s="15" customFormat="1" ht="16.149999999999999" customHeight="1" thickBot="1" x14ac:dyDescent="0.3">
      <c r="B224" s="8"/>
      <c r="C224" s="11">
        <f>IF(ISTEXT(D224),MAX($C$10:C223)+1,"")</f>
        <v>118</v>
      </c>
      <c r="D224" s="66" t="s">
        <v>892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 t="s">
        <v>72</v>
      </c>
      <c r="W224" s="14"/>
      <c r="X224" s="14"/>
      <c r="Y224" s="14"/>
      <c r="Z224" s="14"/>
    </row>
    <row r="225" spans="2:26" s="15" customFormat="1" ht="16.149999999999999" customHeight="1" thickBot="1" x14ac:dyDescent="0.3">
      <c r="B225" s="8"/>
      <c r="C225" s="11"/>
      <c r="D225" s="73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5"/>
      <c r="V225" s="10"/>
      <c r="W225" s="14"/>
      <c r="X225" s="14"/>
      <c r="Y225" s="14"/>
      <c r="Z225" s="14"/>
    </row>
    <row r="226" spans="2:26" s="15" customFormat="1" ht="16.149999999999999" customHeight="1" thickBot="1" x14ac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/>
      <c r="W226" s="14"/>
      <c r="X226" s="14"/>
      <c r="Y226" s="14"/>
      <c r="Z226" s="14"/>
    </row>
    <row r="227" spans="2:26" s="15" customFormat="1" ht="16.149999999999999" customHeight="1" thickBot="1" x14ac:dyDescent="0.3">
      <c r="B227" s="8"/>
      <c r="C227" s="11"/>
      <c r="D227" s="66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/>
      <c r="W227" s="14"/>
      <c r="X227" s="14"/>
      <c r="Y227" s="14"/>
      <c r="Z227" s="14"/>
    </row>
    <row r="228" spans="2:26" s="15" customFormat="1" ht="16.149999999999999" customHeight="1" thickBot="1" x14ac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/>
      <c r="W228" s="14"/>
      <c r="X228" s="14"/>
      <c r="Y228" s="14"/>
      <c r="Z228" s="14"/>
    </row>
    <row r="229" spans="2:26" s="15" customFormat="1" ht="16.149999999999999" customHeight="1" thickBot="1" x14ac:dyDescent="0.3">
      <c r="B229" s="8"/>
      <c r="C229" s="11"/>
      <c r="D229" s="150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2"/>
      <c r="V229" s="10"/>
      <c r="W229" s="14"/>
      <c r="X229" s="14"/>
      <c r="Y229" s="14"/>
      <c r="Z229" s="14"/>
    </row>
    <row r="230" spans="2:26" s="15" customFormat="1" ht="16.149999999999999" customHeight="1" thickBot="1" x14ac:dyDescent="0.3">
      <c r="B230" s="8"/>
      <c r="C230" s="11"/>
      <c r="D230" s="66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8"/>
      <c r="V230" s="10"/>
      <c r="W230" s="14"/>
      <c r="X230" s="14"/>
      <c r="Y230" s="14"/>
      <c r="Z230" s="14"/>
    </row>
    <row r="231" spans="2:26" s="15" customFormat="1" ht="16.149999999999999" customHeight="1" thickBot="1" x14ac:dyDescent="0.3">
      <c r="B231" s="8"/>
      <c r="C231" s="11"/>
      <c r="D231" s="70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2"/>
      <c r="V231" s="14"/>
      <c r="W231" s="14"/>
      <c r="X231" s="14"/>
      <c r="Y231" s="14"/>
      <c r="Z231" s="14"/>
    </row>
    <row r="232" spans="2:26" ht="15" customHeight="1" x14ac:dyDescent="0.25">
      <c r="B232" s="69" t="s">
        <v>60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</row>
    <row r="233" spans="2:26" x14ac:dyDescent="0.25">
      <c r="B233" s="20"/>
      <c r="C233" s="21"/>
      <c r="O233" s="22"/>
      <c r="P233" s="22"/>
      <c r="Q233" s="23"/>
      <c r="R233" s="23"/>
      <c r="S233" s="22"/>
      <c r="T233" s="22"/>
    </row>
    <row r="234" spans="2:26" ht="15.75" thickBot="1" x14ac:dyDescent="0.3">
      <c r="B234" s="57" t="s">
        <v>61</v>
      </c>
      <c r="C234" s="57"/>
      <c r="D234" s="57"/>
      <c r="E234" s="57"/>
      <c r="F234" s="57"/>
      <c r="G234" s="57"/>
      <c r="H234" s="57"/>
      <c r="I234" s="57"/>
      <c r="J234" s="57"/>
      <c r="K234" s="64">
        <f ca="1">$K$65</f>
        <v>45832</v>
      </c>
      <c r="L234" s="62"/>
      <c r="M234" s="62"/>
      <c r="N234" s="62"/>
      <c r="O234" s="59"/>
      <c r="P234" s="59"/>
      <c r="Q234" s="60"/>
      <c r="R234" s="60"/>
      <c r="S234" s="65"/>
      <c r="T234" s="65"/>
    </row>
    <row r="235" spans="2:26" ht="15" customHeight="1" x14ac:dyDescent="0.25">
      <c r="C235" s="29"/>
      <c r="I235" s="30"/>
      <c r="K235" s="4"/>
      <c r="L235" s="4"/>
      <c r="M235" s="4"/>
      <c r="N235" s="4"/>
      <c r="O235" s="27"/>
      <c r="P235" s="27"/>
      <c r="Q235" s="60"/>
      <c r="R235" s="60"/>
      <c r="S235" s="65"/>
      <c r="T235" s="65"/>
    </row>
    <row r="236" spans="2:26" ht="18" customHeight="1" thickBot="1" x14ac:dyDescent="0.3">
      <c r="B236" s="57" t="s">
        <v>62</v>
      </c>
      <c r="C236" s="57"/>
      <c r="D236" s="57"/>
      <c r="E236" s="57"/>
      <c r="F236" s="57"/>
      <c r="G236" s="57"/>
      <c r="H236" s="57"/>
      <c r="I236" s="57"/>
      <c r="J236" s="57"/>
      <c r="K236" s="58" t="s">
        <v>532</v>
      </c>
      <c r="L236" s="58"/>
      <c r="M236" s="58"/>
      <c r="N236" s="58"/>
      <c r="O236" s="59"/>
      <c r="P236" s="59"/>
      <c r="Q236" s="60"/>
      <c r="R236" s="60"/>
      <c r="S236" s="61" t="s">
        <v>63</v>
      </c>
      <c r="T236" s="61"/>
      <c r="U236" s="61"/>
      <c r="V236" s="62"/>
      <c r="W236" s="63"/>
      <c r="X236" s="62"/>
      <c r="Y236" s="62"/>
    </row>
    <row r="237" spans="2:26" ht="18" customHeight="1" thickBot="1" x14ac:dyDescent="0.3">
      <c r="B237" s="24"/>
      <c r="C237" s="24"/>
      <c r="D237" s="24"/>
      <c r="E237" s="24"/>
      <c r="F237" s="24"/>
      <c r="G237" s="24"/>
      <c r="H237" s="24"/>
      <c r="I237" s="24"/>
      <c r="J237" s="24"/>
      <c r="K237" s="31"/>
      <c r="L237" s="31"/>
      <c r="M237" s="31"/>
      <c r="N237" s="31"/>
      <c r="O237" s="26"/>
      <c r="P237" s="26"/>
      <c r="Q237" s="23"/>
      <c r="R237" s="23"/>
      <c r="S237" s="40"/>
      <c r="T237" s="40"/>
      <c r="U237" s="40"/>
      <c r="V237" s="25"/>
      <c r="W237" s="1"/>
      <c r="X237" s="4"/>
      <c r="Y237" s="4"/>
    </row>
    <row r="238" spans="2:26" ht="18" customHeight="1" thickBot="1" x14ac:dyDescent="0.3">
      <c r="B238" s="24"/>
      <c r="C238" s="24"/>
      <c r="D238" s="24"/>
      <c r="E238" s="24"/>
      <c r="F238" s="24"/>
      <c r="G238" s="24"/>
      <c r="H238" s="24"/>
      <c r="I238" s="24"/>
      <c r="J238" s="24"/>
      <c r="K238" s="31"/>
      <c r="L238" s="31"/>
      <c r="M238" s="31"/>
      <c r="N238" s="31"/>
      <c r="O238" s="26"/>
      <c r="P238" s="26"/>
      <c r="Q238" s="23"/>
      <c r="R238" s="23"/>
      <c r="S238" s="40"/>
      <c r="T238" s="40"/>
      <c r="U238" s="40"/>
      <c r="V238" s="25"/>
      <c r="W238" s="1"/>
      <c r="X238" s="4"/>
      <c r="Y238" s="4"/>
    </row>
    <row r="239" spans="2:26" ht="15" customHeight="1" x14ac:dyDescent="0.25">
      <c r="E239" s="88" t="s">
        <v>64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2" t="s">
        <v>159</v>
      </c>
      <c r="X239" s="79"/>
      <c r="Y239" s="79"/>
      <c r="Z239" s="79"/>
    </row>
    <row r="240" spans="2:26" ht="15" customHeight="1" thickBot="1" x14ac:dyDescent="0.3">
      <c r="E240" s="90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</row>
    <row r="241" spans="2:26" ht="10.5" customHeight="1" thickBot="1" x14ac:dyDescent="0.3"/>
    <row r="242" spans="2:26" ht="15" customHeight="1" thickBot="1" x14ac:dyDescent="0.3">
      <c r="J242" s="79" t="s">
        <v>2</v>
      </c>
      <c r="K242" s="79"/>
      <c r="L242" s="79"/>
      <c r="M242" s="80" t="str">
        <f>M4</f>
        <v>C1005</v>
      </c>
      <c r="N242" s="80"/>
      <c r="O242" s="80"/>
      <c r="P242" s="80"/>
    </row>
    <row r="243" spans="2:26" s="15" customFormat="1" ht="15" customHeight="1" thickBot="1" x14ac:dyDescent="0.3">
      <c r="I243" s="79" t="s">
        <v>4</v>
      </c>
      <c r="J243" s="79"/>
      <c r="K243" s="79"/>
      <c r="L243" s="79"/>
      <c r="M243" s="80"/>
      <c r="N243" s="80"/>
      <c r="O243" s="80"/>
      <c r="P243" s="80"/>
      <c r="Q243" s="81"/>
      <c r="R243" s="82"/>
      <c r="S243" s="82"/>
      <c r="T243" s="82"/>
      <c r="U243" s="82"/>
      <c r="V243" s="82"/>
    </row>
    <row r="244" spans="2:26" s="15" customFormat="1" ht="8.25" customHeight="1" thickBot="1" x14ac:dyDescent="0.3">
      <c r="M244" s="38"/>
      <c r="N244" s="38"/>
      <c r="O244" s="38"/>
      <c r="P244" s="38"/>
    </row>
    <row r="245" spans="2:26" s="15" customFormat="1" ht="15" customHeight="1" thickBot="1" x14ac:dyDescent="0.3">
      <c r="C245" s="83" t="s">
        <v>66</v>
      </c>
      <c r="D245" s="83"/>
      <c r="E245" s="83"/>
      <c r="F245" s="83"/>
      <c r="G245" s="83"/>
      <c r="H245" s="83"/>
      <c r="I245" s="83"/>
      <c r="J245" s="83"/>
      <c r="K245" s="83"/>
      <c r="L245" s="84"/>
      <c r="M245" s="85" t="s">
        <v>532</v>
      </c>
      <c r="N245" s="86"/>
      <c r="O245" s="86"/>
      <c r="P245" s="86"/>
      <c r="Q245" s="86"/>
      <c r="R245" s="86"/>
      <c r="S245" s="87"/>
      <c r="T245" s="60"/>
      <c r="U245" s="60"/>
      <c r="V245" s="60"/>
      <c r="W245" s="60"/>
      <c r="X245" s="23"/>
    </row>
    <row r="246" spans="2:26" s="15" customFormat="1" ht="10.5" customHeight="1" thickBot="1" x14ac:dyDescent="0.3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2:26" s="15" customFormat="1" ht="21" customHeight="1" thickBot="1" x14ac:dyDescent="0.3">
      <c r="B247" s="76" t="s">
        <v>67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8"/>
      <c r="V247" s="35" t="s">
        <v>8</v>
      </c>
      <c r="W247" s="35" t="s">
        <v>9</v>
      </c>
      <c r="X247" s="35" t="s">
        <v>10</v>
      </c>
      <c r="Y247" s="7" t="s">
        <v>11</v>
      </c>
      <c r="Z247" s="35" t="s">
        <v>12</v>
      </c>
    </row>
    <row r="248" spans="2:26" s="15" customFormat="1" ht="16.149999999999999" customHeight="1" thickBot="1" x14ac:dyDescent="0.3">
      <c r="B248" s="8"/>
      <c r="C248" s="11" t="str">
        <f>IF(ISTEXT(#REF!),MAX($C$10:C246)+1,"")</f>
        <v/>
      </c>
      <c r="D248" s="73" t="s">
        <v>160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4"/>
      <c r="W248" s="14"/>
      <c r="X248" s="14"/>
      <c r="Y248" s="14"/>
      <c r="Z248" s="14"/>
    </row>
    <row r="249" spans="2:26" s="15" customFormat="1" ht="16.149999999999999" customHeight="1" thickBot="1" x14ac:dyDescent="0.3">
      <c r="B249" s="8"/>
      <c r="C249" s="11">
        <f>IF(ISTEXT(D249),MAX($C$10:C248)+1,"")</f>
        <v>119</v>
      </c>
      <c r="D249" s="66" t="s">
        <v>883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 t="s">
        <v>22</v>
      </c>
      <c r="W249" s="14"/>
      <c r="X249" s="14"/>
      <c r="Y249" s="14"/>
      <c r="Z249" s="14"/>
    </row>
    <row r="250" spans="2:26" s="15" customFormat="1" ht="16.149999999999999" customHeight="1" thickBot="1" x14ac:dyDescent="0.3">
      <c r="B250" s="8"/>
      <c r="C250" s="11">
        <f>IF(ISTEXT(D250),MAX($C$10:C249)+1,"")</f>
        <v>120</v>
      </c>
      <c r="D250" s="66" t="s">
        <v>884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 t="s">
        <v>22</v>
      </c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11">
        <f>IF(ISTEXT(D251),MAX($C$10:C250)+1,"")</f>
        <v>121</v>
      </c>
      <c r="D251" s="70" t="s">
        <v>893</v>
      </c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2"/>
      <c r="V251" s="10" t="s">
        <v>72</v>
      </c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11">
        <f>IF(ISTEXT(D252),MAX($C$10:C251)+1,"")</f>
        <v>122</v>
      </c>
      <c r="D252" s="70" t="s">
        <v>894</v>
      </c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2"/>
      <c r="V252" s="10" t="s">
        <v>22</v>
      </c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44">
        <f>IF(ISTEXT(D253),MAX($C$10:C252)+1,"")</f>
        <v>123</v>
      </c>
      <c r="D253" s="70" t="s">
        <v>895</v>
      </c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2"/>
      <c r="V253" s="10" t="s">
        <v>22</v>
      </c>
      <c r="W253" s="14"/>
      <c r="X253" s="14"/>
      <c r="Y253" s="14"/>
      <c r="Z253" s="14"/>
    </row>
    <row r="254" spans="2:26" s="15" customFormat="1" ht="16.149999999999999" customHeight="1" thickBot="1" x14ac:dyDescent="0.3">
      <c r="B254" s="8"/>
      <c r="C254" s="44">
        <f>IF(ISTEXT(D254),MAX($C$10:C253)+1,"")</f>
        <v>124</v>
      </c>
      <c r="D254" s="70" t="s">
        <v>886</v>
      </c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  <c r="V254" s="10" t="s">
        <v>22</v>
      </c>
      <c r="W254" s="14"/>
      <c r="X254" s="14"/>
      <c r="Y254" s="14"/>
      <c r="Z254" s="14"/>
    </row>
    <row r="255" spans="2:26" s="15" customFormat="1" ht="16.149999999999999" customHeight="1" thickBot="1" x14ac:dyDescent="0.3">
      <c r="B255" s="8"/>
      <c r="C255" s="44">
        <f>IF(ISTEXT(D255),MAX($C$10:C254)+1,"")</f>
        <v>125</v>
      </c>
      <c r="D255" s="66" t="s">
        <v>887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 t="s">
        <v>22</v>
      </c>
      <c r="W255" s="14"/>
      <c r="X255" s="14"/>
      <c r="Y255" s="14"/>
      <c r="Z255" s="14"/>
    </row>
    <row r="256" spans="2:26" ht="16.149999999999999" customHeight="1" thickBot="1" x14ac:dyDescent="0.3">
      <c r="B256" s="8"/>
      <c r="C256" s="44">
        <f>IF(ISTEXT(D256),MAX($C$10:C255)+1,"")</f>
        <v>126</v>
      </c>
      <c r="D256" s="66" t="s">
        <v>896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0" t="s">
        <v>882</v>
      </c>
      <c r="W256" s="14"/>
      <c r="X256" s="14"/>
      <c r="Y256" s="14"/>
      <c r="Z256" s="14"/>
    </row>
    <row r="257" spans="2:26" s="15" customFormat="1" ht="16.149999999999999" customHeight="1" thickBot="1" x14ac:dyDescent="0.3">
      <c r="B257" s="8"/>
      <c r="C257" s="44">
        <f>IF(ISTEXT(D257),MAX($C$10:C256)+1,"")</f>
        <v>127</v>
      </c>
      <c r="D257" s="66" t="s">
        <v>897</v>
      </c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8"/>
      <c r="V257" s="10" t="s">
        <v>22</v>
      </c>
      <c r="W257" s="14"/>
      <c r="X257" s="14"/>
      <c r="Y257" s="14"/>
      <c r="Z257" s="14"/>
    </row>
    <row r="258" spans="2:26" s="15" customFormat="1" ht="16.149999999999999" customHeight="1" thickBot="1" x14ac:dyDescent="0.3">
      <c r="B258" s="13"/>
      <c r="C258" s="44">
        <f>IF(ISTEXT(D258),MAX($C$10:C257)+1,"")</f>
        <v>128</v>
      </c>
      <c r="D258" s="66" t="s">
        <v>890</v>
      </c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 t="s">
        <v>22</v>
      </c>
      <c r="W258" s="14"/>
      <c r="X258" s="14"/>
      <c r="Y258" s="14"/>
      <c r="Z258" s="14"/>
    </row>
    <row r="259" spans="2:26" s="15" customFormat="1" ht="16.149999999999999" customHeight="1" thickBot="1" x14ac:dyDescent="0.3">
      <c r="B259" s="13"/>
      <c r="C259" s="44">
        <f>IF(ISTEXT(D259),MAX($C$10:C258)+1,"")</f>
        <v>129</v>
      </c>
      <c r="D259" s="70" t="s">
        <v>888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8" t="s">
        <v>22</v>
      </c>
      <c r="W259" s="14"/>
      <c r="X259" s="14"/>
      <c r="Y259" s="14"/>
      <c r="Z259" s="14"/>
    </row>
    <row r="260" spans="2:26" s="15" customFormat="1" ht="15.95" customHeight="1" thickBot="1" x14ac:dyDescent="0.3">
      <c r="B260" s="13"/>
      <c r="C260" s="44">
        <f>IF(ISTEXT(D260),MAX($C$10:C259)+1,"")</f>
        <v>130</v>
      </c>
      <c r="D260" s="66" t="s">
        <v>898</v>
      </c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8" t="s">
        <v>22</v>
      </c>
      <c r="W260" s="14"/>
      <c r="X260" s="14"/>
      <c r="Y260" s="14"/>
      <c r="Z260" s="14"/>
    </row>
    <row r="261" spans="2:26" s="15" customFormat="1" ht="16.149999999999999" customHeight="1" thickBot="1" x14ac:dyDescent="0.3">
      <c r="B261" s="13"/>
      <c r="C261" s="44">
        <f>IF(ISTEXT(D261),MAX($C$10:C260)+1,"")</f>
        <v>131</v>
      </c>
      <c r="D261" s="66" t="s">
        <v>899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8" t="s">
        <v>72</v>
      </c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44">
        <f>IF(ISTEXT(D262),MAX($C$10:C261)+1,"")</f>
        <v>132</v>
      </c>
      <c r="D262" s="66" t="s">
        <v>900</v>
      </c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8"/>
      <c r="V262" s="10" t="s">
        <v>72</v>
      </c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/>
      <c r="D263" s="73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5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11"/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/>
      <c r="D265" s="66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8"/>
      <c r="V265" s="10"/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45"/>
      <c r="D266" s="73" t="s">
        <v>168</v>
      </c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5"/>
      <c r="V266" s="10"/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>
        <f>IF(ISTEXT(D267),MAX($C$10:C266)+1,"")</f>
        <v>133</v>
      </c>
      <c r="D267" s="70" t="s">
        <v>901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 t="s">
        <v>129</v>
      </c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>
        <f>IF(ISTEXT(D268),MAX($C$10:C267)+1,"")</f>
        <v>134</v>
      </c>
      <c r="D268" s="66" t="s">
        <v>902</v>
      </c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8"/>
      <c r="V268" s="10" t="s">
        <v>22</v>
      </c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>
        <f>IF(ISTEXT(D269),MAX($C$10:C268)+1,"")</f>
        <v>135</v>
      </c>
      <c r="D269" s="70" t="s">
        <v>903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 t="s">
        <v>22</v>
      </c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>
        <f>IF(ISTEXT(D270),MAX($C$10:C269)+1,"")</f>
        <v>136</v>
      </c>
      <c r="D270" s="70" t="s">
        <v>904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 t="s">
        <v>22</v>
      </c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>
        <f>IF(ISTEXT(D271),MAX($C$10:C270)+1,"")</f>
        <v>137</v>
      </c>
      <c r="D271" s="70" t="s">
        <v>905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 t="s">
        <v>22</v>
      </c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>
        <f>IF(ISTEXT(D272),MAX($C$10:C271)+1,"")</f>
        <v>138</v>
      </c>
      <c r="D272" s="70" t="s">
        <v>448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 t="s">
        <v>906</v>
      </c>
      <c r="W272" s="14"/>
      <c r="X272" s="14"/>
      <c r="Y272" s="14"/>
      <c r="Z272" s="14"/>
    </row>
    <row r="273" spans="2:26" s="15" customFormat="1" ht="16.149999999999999" customHeight="1" thickBot="1" x14ac:dyDescent="0.3">
      <c r="B273" s="8"/>
      <c r="C273" s="11">
        <f>IF(ISTEXT(D273),MAX($C$10:C272)+1,"")</f>
        <v>139</v>
      </c>
      <c r="D273" s="70" t="s">
        <v>907</v>
      </c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10" t="s">
        <v>22</v>
      </c>
      <c r="W273" s="14"/>
      <c r="X273" s="14"/>
      <c r="Y273" s="14"/>
      <c r="Z273" s="14"/>
    </row>
    <row r="274" spans="2:26" s="15" customFormat="1" ht="16.149999999999999" customHeight="1" thickBot="1" x14ac:dyDescent="0.3">
      <c r="B274" s="8"/>
      <c r="C274" s="11">
        <f>IF(ISTEXT(D274),MAX($C$10:C273)+1,"")</f>
        <v>140</v>
      </c>
      <c r="D274" s="70" t="s">
        <v>908</v>
      </c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2"/>
      <c r="V274" s="10" t="s">
        <v>22</v>
      </c>
      <c r="W274" s="14"/>
      <c r="X274" s="14"/>
      <c r="Y274" s="14"/>
      <c r="Z274" s="14"/>
    </row>
    <row r="275" spans="2:26" s="15" customFormat="1" ht="16.149999999999999" customHeight="1" thickBot="1" x14ac:dyDescent="0.3">
      <c r="B275" s="8"/>
      <c r="C275" s="11">
        <f>IF(ISTEXT(D275),MAX($C$10:C274)+1,"")</f>
        <v>141</v>
      </c>
      <c r="D275" s="66" t="s">
        <v>909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 t="s">
        <v>22</v>
      </c>
      <c r="W275" s="14"/>
      <c r="X275" s="14"/>
      <c r="Y275" s="14"/>
      <c r="Z275" s="14"/>
    </row>
    <row r="276" spans="2:26" s="15" customFormat="1" ht="16.149999999999999" customHeight="1" thickBot="1" x14ac:dyDescent="0.3">
      <c r="B276" s="8"/>
      <c r="C276" s="11"/>
      <c r="D276" s="73" t="s">
        <v>181</v>
      </c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5"/>
      <c r="V276" s="10"/>
      <c r="W276" s="14"/>
      <c r="X276" s="14"/>
      <c r="Y276" s="14"/>
      <c r="Z276" s="14"/>
    </row>
    <row r="277" spans="2:26" s="15" customFormat="1" ht="16.149999999999999" customHeight="1" thickBot="1" x14ac:dyDescent="0.3">
      <c r="B277" s="8"/>
      <c r="C277" s="11">
        <f>IF(ISTEXT(D277),MAX($C$10:C276)+1,"")</f>
        <v>142</v>
      </c>
      <c r="D277" s="137" t="s">
        <v>910</v>
      </c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0" t="s">
        <v>906</v>
      </c>
      <c r="W277" s="14"/>
      <c r="X277" s="14"/>
      <c r="Y277" s="14"/>
      <c r="Z277" s="14"/>
    </row>
    <row r="278" spans="2:26" s="15" customFormat="1" ht="16.149999999999999" customHeight="1" thickBot="1" x14ac:dyDescent="0.3">
      <c r="B278" s="8"/>
      <c r="C278" s="23">
        <v>143</v>
      </c>
      <c r="D278" s="70" t="s">
        <v>911</v>
      </c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10" t="s">
        <v>22</v>
      </c>
      <c r="W278" s="14"/>
      <c r="X278" s="14"/>
      <c r="Y278" s="14"/>
      <c r="Z278" s="14"/>
    </row>
    <row r="279" spans="2:26" s="15" customFormat="1" ht="16.149999999999999" customHeight="1" thickBot="1" x14ac:dyDescent="0.3">
      <c r="B279" s="8"/>
      <c r="C279" s="49">
        <v>144</v>
      </c>
      <c r="D279" s="66" t="s">
        <v>912</v>
      </c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8"/>
      <c r="V279" s="10" t="s">
        <v>22</v>
      </c>
      <c r="W279" s="14"/>
      <c r="X279" s="14"/>
      <c r="Y279" s="14"/>
      <c r="Z279" s="14"/>
    </row>
    <row r="280" spans="2:26" s="15" customFormat="1" ht="16.149999999999999" customHeight="1" thickBot="1" x14ac:dyDescent="0.3">
      <c r="B280" s="8"/>
      <c r="C280" s="11">
        <v>145</v>
      </c>
      <c r="D280" s="156" t="s">
        <v>913</v>
      </c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8"/>
      <c r="V280" s="10" t="s">
        <v>914</v>
      </c>
      <c r="W280" s="14"/>
      <c r="X280" s="14"/>
      <c r="Y280" s="14"/>
      <c r="Z280" s="14"/>
    </row>
    <row r="281" spans="2:26" s="15" customFormat="1" ht="16.149999999999999" customHeight="1" thickBot="1" x14ac:dyDescent="0.3">
      <c r="B281" s="8"/>
      <c r="C281" s="11">
        <v>146</v>
      </c>
      <c r="D281" s="159" t="s">
        <v>915</v>
      </c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1"/>
      <c r="V281" s="10"/>
      <c r="W281" s="14"/>
      <c r="X281" s="14"/>
      <c r="Y281" s="14"/>
      <c r="Z281" s="14"/>
    </row>
    <row r="282" spans="2:26" s="15" customFormat="1" ht="16.149999999999999" customHeight="1" thickBot="1" x14ac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/>
      <c r="W282" s="14"/>
      <c r="X282" s="14"/>
      <c r="Y282" s="14"/>
      <c r="Z282" s="14"/>
    </row>
    <row r="283" spans="2:26" s="15" customFormat="1" ht="16.149999999999999" customHeight="1" thickBot="1" x14ac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/>
      <c r="W283" s="14"/>
      <c r="X283" s="14"/>
      <c r="Y283" s="14"/>
      <c r="Z283" s="14"/>
    </row>
    <row r="284" spans="2:26" s="15" customFormat="1" ht="16.149999999999999" customHeight="1" thickBot="1" x14ac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/>
      <c r="W284" s="14"/>
      <c r="X284" s="14"/>
      <c r="Y284" s="14"/>
      <c r="Z284" s="14"/>
    </row>
    <row r="285" spans="2:26" s="15" customFormat="1" ht="16.149999999999999" customHeight="1" thickBot="1" x14ac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0"/>
      <c r="W285" s="14"/>
      <c r="X285" s="14"/>
      <c r="Y285" s="14"/>
      <c r="Z285" s="14"/>
    </row>
    <row r="286" spans="2:26" s="15" customFormat="1" ht="16.149999999999999" customHeight="1" thickBot="1" x14ac:dyDescent="0.3">
      <c r="B286" s="8"/>
      <c r="C286" s="11" t="str">
        <f>IF(ISTEXT(D286),MAX($C$10:C285)+1,"")</f>
        <v/>
      </c>
      <c r="D286" s="66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8"/>
      <c r="V286" s="10"/>
      <c r="W286" s="14"/>
      <c r="X286" s="14"/>
      <c r="Y286" s="14"/>
      <c r="Z286" s="14"/>
    </row>
    <row r="287" spans="2:26" s="15" customFormat="1" ht="16.149999999999999" customHeight="1" thickBot="1" x14ac:dyDescent="0.3">
      <c r="B287" s="8"/>
      <c r="C287" s="11" t="str">
        <f>IF(ISTEXT(D287),MAX($C$10:C286)+1,"")</f>
        <v/>
      </c>
      <c r="D287" s="66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8"/>
      <c r="V287" s="14"/>
      <c r="W287" s="14"/>
      <c r="X287" s="14"/>
      <c r="Y287" s="14"/>
      <c r="Z287" s="14"/>
    </row>
    <row r="288" spans="2:26" ht="15" customHeight="1" x14ac:dyDescent="0.25">
      <c r="B288" s="69" t="s">
        <v>60</v>
      </c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</row>
    <row r="289" spans="2:256" x14ac:dyDescent="0.25">
      <c r="B289" s="20"/>
      <c r="C289" s="21"/>
      <c r="O289" s="22"/>
      <c r="P289" s="22"/>
      <c r="Q289" s="23"/>
      <c r="R289" s="23"/>
      <c r="S289" s="22"/>
      <c r="T289" s="22"/>
    </row>
    <row r="290" spans="2:256" ht="15.75" thickBot="1" x14ac:dyDescent="0.3">
      <c r="B290" s="57" t="s">
        <v>61</v>
      </c>
      <c r="C290" s="57"/>
      <c r="D290" s="57"/>
      <c r="E290" s="57"/>
      <c r="F290" s="57"/>
      <c r="G290" s="57"/>
      <c r="H290" s="57"/>
      <c r="I290" s="57"/>
      <c r="J290" s="57"/>
      <c r="K290" s="64">
        <f ca="1">$K$65</f>
        <v>45832</v>
      </c>
      <c r="L290" s="62"/>
      <c r="M290" s="62"/>
      <c r="N290" s="62"/>
      <c r="O290" s="59"/>
      <c r="P290" s="59"/>
      <c r="Q290" s="60"/>
      <c r="R290" s="60"/>
      <c r="S290" s="65"/>
      <c r="T290" s="65"/>
    </row>
    <row r="291" spans="2:256" ht="15" customHeight="1" x14ac:dyDescent="0.25">
      <c r="C291" s="29"/>
      <c r="I291" s="30"/>
      <c r="K291" s="4"/>
      <c r="L291" s="4"/>
      <c r="M291" s="4"/>
      <c r="N291" s="4"/>
      <c r="O291" s="27"/>
      <c r="P291" s="27"/>
      <c r="Q291" s="60"/>
      <c r="R291" s="60"/>
      <c r="S291" s="65"/>
      <c r="T291" s="65"/>
    </row>
    <row r="292" spans="2:256" ht="18" customHeight="1" thickBot="1" x14ac:dyDescent="0.3">
      <c r="B292" s="57" t="s">
        <v>62</v>
      </c>
      <c r="C292" s="57"/>
      <c r="D292" s="57"/>
      <c r="E292" s="57"/>
      <c r="F292" s="57"/>
      <c r="G292" s="57"/>
      <c r="H292" s="57"/>
      <c r="I292" s="57"/>
      <c r="J292" s="57"/>
      <c r="K292" s="58" t="s">
        <v>532</v>
      </c>
      <c r="L292" s="58"/>
      <c r="M292" s="58"/>
      <c r="N292" s="58"/>
      <c r="O292" s="59"/>
      <c r="P292" s="59"/>
      <c r="Q292" s="60"/>
      <c r="R292" s="60"/>
      <c r="S292" s="61" t="s">
        <v>63</v>
      </c>
      <c r="T292" s="61"/>
      <c r="U292" s="61"/>
      <c r="V292" s="62"/>
      <c r="W292" s="63"/>
      <c r="X292" s="62"/>
      <c r="Y292" s="62"/>
    </row>
    <row r="293" spans="2:256" ht="20.100000000000001" customHeight="1" x14ac:dyDescent="0.25">
      <c r="B293" s="15"/>
      <c r="C293" s="15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x14ac:dyDescent="0.25">
      <c r="B294" s="15"/>
      <c r="C294" s="15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18" customHeight="1" x14ac:dyDescent="0.25">
      <c r="B295" s="15"/>
      <c r="C295" s="1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15" customHeight="1" x14ac:dyDescent="0.25">
      <c r="B296" s="15"/>
      <c r="C296" s="15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21.95" customHeight="1" x14ac:dyDescent="0.25">
      <c r="B297" s="15"/>
      <c r="C297" s="15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21" customHeight="1" x14ac:dyDescent="0.25">
      <c r="B298" s="15"/>
      <c r="C298" s="15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8.95" customHeight="1" x14ac:dyDescent="0.25">
      <c r="B299" s="15"/>
      <c r="C299" s="15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ht="15.95" customHeight="1" x14ac:dyDescent="0.25">
      <c r="B300" s="15"/>
      <c r="C300" s="15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</row>
    <row r="301" spans="2:256" ht="15.95" customHeight="1" x14ac:dyDescent="0.25">
      <c r="B301" s="15"/>
      <c r="C301" s="15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</row>
    <row r="302" spans="2:256" s="15" customFormat="1" ht="15" customHeight="1" x14ac:dyDescent="0.25"/>
    <row r="303" spans="2:256" s="15" customFormat="1" ht="15.95" customHeight="1" x14ac:dyDescent="0.25"/>
    <row r="304" spans="2:256" s="15" customFormat="1" ht="17.100000000000001" customHeight="1" x14ac:dyDescent="0.25"/>
    <row r="305" spans="2:256" s="15" customFormat="1" ht="18.95" customHeight="1" x14ac:dyDescent="0.25"/>
    <row r="306" spans="2:256" s="15" customFormat="1" ht="21" customHeight="1" x14ac:dyDescent="0.25"/>
    <row r="307" spans="2:256" s="15" customFormat="1" ht="16.149999999999999" customHeight="1" x14ac:dyDescent="0.25"/>
    <row r="308" spans="2:256" s="15" customFormat="1" ht="16.149999999999999" customHeight="1" x14ac:dyDescent="0.25"/>
    <row r="309" spans="2:256" s="15" customFormat="1" ht="16.149999999999999" customHeight="1" x14ac:dyDescent="0.25"/>
    <row r="310" spans="2:256" s="15" customFormat="1" ht="16.149999999999999" customHeight="1" x14ac:dyDescent="0.25"/>
    <row r="311" spans="2:256" s="15" customFormat="1" ht="16.149999999999999" customHeight="1" x14ac:dyDescent="0.25"/>
    <row r="312" spans="2:256" s="15" customFormat="1" ht="16.149999999999999" customHeight="1" x14ac:dyDescent="0.25"/>
    <row r="313" spans="2:256" s="15" customFormat="1" ht="16.149999999999999" customHeight="1" x14ac:dyDescent="0.25"/>
    <row r="314" spans="2:256" ht="16.149999999999999" customHeight="1" x14ac:dyDescent="0.25">
      <c r="B314" s="15"/>
      <c r="C314" s="15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2:256" s="15" customFormat="1" ht="16.149999999999999" customHeight="1" x14ac:dyDescent="0.25"/>
    <row r="316" spans="2:256" s="15" customFormat="1" ht="16.149999999999999" customHeight="1" x14ac:dyDescent="0.25"/>
    <row r="317" spans="2:256" s="15" customFormat="1" ht="16.149999999999999" customHeight="1" x14ac:dyDescent="0.25"/>
    <row r="318" spans="2:256" s="15" customFormat="1" ht="16.149999999999999" customHeight="1" x14ac:dyDescent="0.25"/>
    <row r="319" spans="2:256" s="15" customFormat="1" ht="16.149999999999999" customHeight="1" x14ac:dyDescent="0.25"/>
    <row r="320" spans="2:256" s="15" customFormat="1" ht="16.149999999999999" customHeight="1" x14ac:dyDescent="0.25"/>
    <row r="321" s="15" customFormat="1" ht="16.149999999999999" customHeight="1" x14ac:dyDescent="0.25"/>
    <row r="322" s="15" customFormat="1" ht="16.149999999999999" customHeight="1" x14ac:dyDescent="0.25"/>
    <row r="323" s="15" customFormat="1" ht="16.149999999999999" customHeight="1" x14ac:dyDescent="0.25"/>
    <row r="324" s="15" customFormat="1" ht="16.149999999999999" customHeight="1" x14ac:dyDescent="0.25"/>
    <row r="325" s="15" customFormat="1" ht="16.149999999999999" customHeight="1" x14ac:dyDescent="0.25"/>
    <row r="326" s="15" customFormat="1" ht="16.149999999999999" customHeight="1" x14ac:dyDescent="0.25"/>
    <row r="327" s="15" customFormat="1" ht="16.149999999999999" customHeight="1" x14ac:dyDescent="0.25"/>
    <row r="328" s="15" customFormat="1" ht="16.149999999999999" customHeight="1" x14ac:dyDescent="0.25"/>
    <row r="329" s="15" customFormat="1" ht="16.149999999999999" customHeight="1" x14ac:dyDescent="0.25"/>
    <row r="330" s="15" customFormat="1" ht="16.149999999999999" customHeight="1" x14ac:dyDescent="0.25"/>
    <row r="331" s="15" customFormat="1" ht="16.149999999999999" customHeight="1" x14ac:dyDescent="0.25"/>
    <row r="332" s="15" customFormat="1" ht="16.149999999999999" customHeight="1" x14ac:dyDescent="0.25"/>
    <row r="333" s="15" customFormat="1" ht="16.149999999999999" customHeight="1" x14ac:dyDescent="0.25"/>
    <row r="334" s="15" customFormat="1" ht="16.149999999999999" customHeight="1" x14ac:dyDescent="0.25"/>
    <row r="335" s="15" customFormat="1" ht="16.149999999999999" customHeight="1" x14ac:dyDescent="0.25"/>
    <row r="336" s="15" customFormat="1" ht="16.149999999999999" customHeight="1" x14ac:dyDescent="0.25"/>
    <row r="337" spans="2:256" s="15" customFormat="1" ht="16.149999999999999" customHeight="1" x14ac:dyDescent="0.25"/>
    <row r="338" spans="2:256" s="15" customFormat="1" ht="16.149999999999999" customHeight="1" x14ac:dyDescent="0.25"/>
    <row r="339" spans="2:256" s="15" customFormat="1" ht="16.149999999999999" customHeight="1" x14ac:dyDescent="0.25"/>
    <row r="340" spans="2:256" s="15" customFormat="1" ht="16.149999999999999" customHeight="1" x14ac:dyDescent="0.25"/>
    <row r="341" spans="2:256" s="15" customFormat="1" ht="16.149999999999999" customHeight="1" x14ac:dyDescent="0.25"/>
    <row r="342" spans="2:256" s="15" customFormat="1" ht="16.149999999999999" customHeight="1" x14ac:dyDescent="0.25"/>
    <row r="343" spans="2:256" s="15" customFormat="1" ht="16.149999999999999" customHeight="1" x14ac:dyDescent="0.25"/>
    <row r="344" spans="2:256" s="15" customFormat="1" ht="16.149999999999999" customHeight="1" x14ac:dyDescent="0.25"/>
    <row r="345" spans="2:256" ht="15" customHeight="1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ht="12.95" customHeight="1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8" customHeight="1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2.95" customHeight="1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ht="15" customHeight="1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ht="15" customHeight="1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ht="15" customHeight="1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x14ac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x14ac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x14ac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x14ac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x14ac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x14ac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x14ac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x14ac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0.100000000000001" customHeight="1" x14ac:dyDescent="0.25">
      <c r="B400" s="15"/>
      <c r="C400" s="15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 spans="2:256" x14ac:dyDescent="0.25">
      <c r="B401" s="15"/>
      <c r="C401" s="15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</row>
    <row r="402" spans="2:256" ht="21" customHeight="1" x14ac:dyDescent="0.25">
      <c r="B402" s="15"/>
      <c r="C402" s="15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</row>
  </sheetData>
  <sheetProtection algorithmName="SHA-512" hashValue="WeGA91mBZfRvtTAIrKuhbYaEjn9IASiVY6LtrbpI/U/APHhoetwyjmaoNUoZh/zYMRuHD7LuZisTbDKqtTW7OQ==" saltValue="C5yWnDOUg7i27F25XaPaRQ==" spinCount="100000" sheet="1" formatCells="0" formatColumns="0" formatRows="0" insertColumns="0" insertRows="0" insertHyperlinks="0" deleteColumns="0" deleteRows="0" sort="0" autoFilter="0" pivotTables="0"/>
  <mergeCells count="333">
    <mergeCell ref="D271:U271"/>
    <mergeCell ref="D272:U272"/>
    <mergeCell ref="D273:U273"/>
    <mergeCell ref="D274:U274"/>
    <mergeCell ref="D275:U275"/>
    <mergeCell ref="D36:U36"/>
    <mergeCell ref="D265:U265"/>
    <mergeCell ref="D266:U266"/>
    <mergeCell ref="D251:U251"/>
    <mergeCell ref="D60:U60"/>
    <mergeCell ref="D62:U62"/>
    <mergeCell ref="D61:U61"/>
    <mergeCell ref="D270:U270"/>
    <mergeCell ref="D268:U268"/>
    <mergeCell ref="D269:U269"/>
    <mergeCell ref="D267:U267"/>
    <mergeCell ref="D260:U260"/>
    <mergeCell ref="D261:U261"/>
    <mergeCell ref="D262:U262"/>
    <mergeCell ref="D263:U263"/>
    <mergeCell ref="D264:U264"/>
    <mergeCell ref="D254:U254"/>
    <mergeCell ref="D255:U255"/>
    <mergeCell ref="D256:U256"/>
    <mergeCell ref="V292:Y292"/>
    <mergeCell ref="Q291:R291"/>
    <mergeCell ref="S291:T291"/>
    <mergeCell ref="B292:J292"/>
    <mergeCell ref="K292:P292"/>
    <mergeCell ref="Q292:R292"/>
    <mergeCell ref="S292:U292"/>
    <mergeCell ref="D286:U286"/>
    <mergeCell ref="D287:U287"/>
    <mergeCell ref="B288:T288"/>
    <mergeCell ref="B290:J290"/>
    <mergeCell ref="K290:P290"/>
    <mergeCell ref="Q290:R290"/>
    <mergeCell ref="S290:T290"/>
    <mergeCell ref="D280:U280"/>
    <mergeCell ref="D281:U281"/>
    <mergeCell ref="D282:U282"/>
    <mergeCell ref="D283:U283"/>
    <mergeCell ref="D284:U284"/>
    <mergeCell ref="D285:U285"/>
    <mergeCell ref="D276:U276"/>
    <mergeCell ref="D277:U277"/>
    <mergeCell ref="D278:U278"/>
    <mergeCell ref="D279:U279"/>
    <mergeCell ref="D257:U257"/>
    <mergeCell ref="D258:U258"/>
    <mergeCell ref="D259:U259"/>
    <mergeCell ref="B247:U247"/>
    <mergeCell ref="D248:U248"/>
    <mergeCell ref="D249:U249"/>
    <mergeCell ref="D250:U250"/>
    <mergeCell ref="D252:U252"/>
    <mergeCell ref="D253:U253"/>
    <mergeCell ref="J242:L242"/>
    <mergeCell ref="M242:P242"/>
    <mergeCell ref="I243:L243"/>
    <mergeCell ref="M243:P243"/>
    <mergeCell ref="Q243:V243"/>
    <mergeCell ref="C245:L245"/>
    <mergeCell ref="M245:S245"/>
    <mergeCell ref="T245:W245"/>
    <mergeCell ref="B236:J236"/>
    <mergeCell ref="K236:P236"/>
    <mergeCell ref="Q236:R236"/>
    <mergeCell ref="S236:U236"/>
    <mergeCell ref="V236:Y236"/>
    <mergeCell ref="E239:V240"/>
    <mergeCell ref="W239:Z239"/>
    <mergeCell ref="B234:J234"/>
    <mergeCell ref="K234:P234"/>
    <mergeCell ref="Q234:R234"/>
    <mergeCell ref="S234:T234"/>
    <mergeCell ref="Q235:R235"/>
    <mergeCell ref="S235:T235"/>
    <mergeCell ref="D227:U227"/>
    <mergeCell ref="D228:U228"/>
    <mergeCell ref="D229:U229"/>
    <mergeCell ref="D230:U230"/>
    <mergeCell ref="D231:U231"/>
    <mergeCell ref="B232:T232"/>
    <mergeCell ref="D221:U221"/>
    <mergeCell ref="D222:U222"/>
    <mergeCell ref="D223:U223"/>
    <mergeCell ref="D224:U224"/>
    <mergeCell ref="D225:U225"/>
    <mergeCell ref="D226:U226"/>
    <mergeCell ref="D215:U215"/>
    <mergeCell ref="D216:U216"/>
    <mergeCell ref="D217:U217"/>
    <mergeCell ref="D218:U218"/>
    <mergeCell ref="D219:U219"/>
    <mergeCell ref="D220:U220"/>
    <mergeCell ref="D209:U209"/>
    <mergeCell ref="D210:U210"/>
    <mergeCell ref="D211:U211"/>
    <mergeCell ref="D212:U212"/>
    <mergeCell ref="D213:U213"/>
    <mergeCell ref="D214:U214"/>
    <mergeCell ref="D203:U203"/>
    <mergeCell ref="D204:U204"/>
    <mergeCell ref="D205:U205"/>
    <mergeCell ref="D206:U206"/>
    <mergeCell ref="D207:U207"/>
    <mergeCell ref="D208:U208"/>
    <mergeCell ref="D197:U197"/>
    <mergeCell ref="D198:U198"/>
    <mergeCell ref="D199:U199"/>
    <mergeCell ref="D200:U200"/>
    <mergeCell ref="D201:U201"/>
    <mergeCell ref="D202:U202"/>
    <mergeCell ref="C192:L192"/>
    <mergeCell ref="M192:S192"/>
    <mergeCell ref="T192:W192"/>
    <mergeCell ref="B194:U194"/>
    <mergeCell ref="D195:U195"/>
    <mergeCell ref="D196:U196"/>
    <mergeCell ref="V183:Y183"/>
    <mergeCell ref="E186:V187"/>
    <mergeCell ref="W186:Z186"/>
    <mergeCell ref="J189:L189"/>
    <mergeCell ref="M189:P189"/>
    <mergeCell ref="I190:L190"/>
    <mergeCell ref="M190:P190"/>
    <mergeCell ref="Q190:V190"/>
    <mergeCell ref="O182:P182"/>
    <mergeCell ref="Q182:R182"/>
    <mergeCell ref="S182:T182"/>
    <mergeCell ref="B183:J183"/>
    <mergeCell ref="K183:P183"/>
    <mergeCell ref="Q183:R183"/>
    <mergeCell ref="S183:U183"/>
    <mergeCell ref="D175:U175"/>
    <mergeCell ref="D176:U176"/>
    <mergeCell ref="D177:U177"/>
    <mergeCell ref="D178:U178"/>
    <mergeCell ref="B179:T179"/>
    <mergeCell ref="B181:J181"/>
    <mergeCell ref="K181:P181"/>
    <mergeCell ref="Q181:R181"/>
    <mergeCell ref="S181:T181"/>
    <mergeCell ref="D169:U169"/>
    <mergeCell ref="D170:U170"/>
    <mergeCell ref="D171:U171"/>
    <mergeCell ref="D172:U172"/>
    <mergeCell ref="D173:U173"/>
    <mergeCell ref="D174:U174"/>
    <mergeCell ref="D163:U163"/>
    <mergeCell ref="D164:U164"/>
    <mergeCell ref="D165:U165"/>
    <mergeCell ref="D166:U166"/>
    <mergeCell ref="D167:U167"/>
    <mergeCell ref="D168:U168"/>
    <mergeCell ref="D157:U157"/>
    <mergeCell ref="D158:U158"/>
    <mergeCell ref="D159:U159"/>
    <mergeCell ref="D160:U160"/>
    <mergeCell ref="D161:U161"/>
    <mergeCell ref="D162:U162"/>
    <mergeCell ref="D151:U151"/>
    <mergeCell ref="D152:U152"/>
    <mergeCell ref="D153:U153"/>
    <mergeCell ref="D154:U154"/>
    <mergeCell ref="D155:U155"/>
    <mergeCell ref="D156:U156"/>
    <mergeCell ref="D145:U145"/>
    <mergeCell ref="D146:U146"/>
    <mergeCell ref="D147:U147"/>
    <mergeCell ref="D148:U148"/>
    <mergeCell ref="D149:U149"/>
    <mergeCell ref="D150:U150"/>
    <mergeCell ref="D139:U139"/>
    <mergeCell ref="D140:U140"/>
    <mergeCell ref="D141:U141"/>
    <mergeCell ref="D142:U142"/>
    <mergeCell ref="D143:U143"/>
    <mergeCell ref="D144:U144"/>
    <mergeCell ref="B133:U133"/>
    <mergeCell ref="D134:U134"/>
    <mergeCell ref="D135:U135"/>
    <mergeCell ref="D136:U136"/>
    <mergeCell ref="D137:U137"/>
    <mergeCell ref="D138:U138"/>
    <mergeCell ref="J128:L128"/>
    <mergeCell ref="M128:P128"/>
    <mergeCell ref="I129:L129"/>
    <mergeCell ref="M129:P129"/>
    <mergeCell ref="Q129:V129"/>
    <mergeCell ref="C131:L131"/>
    <mergeCell ref="M131:S131"/>
    <mergeCell ref="T131:W131"/>
    <mergeCell ref="B122:J122"/>
    <mergeCell ref="K122:P122"/>
    <mergeCell ref="Q122:R122"/>
    <mergeCell ref="S122:U122"/>
    <mergeCell ref="V122:Y122"/>
    <mergeCell ref="E125:V126"/>
    <mergeCell ref="W125:Z125"/>
    <mergeCell ref="B118:T118"/>
    <mergeCell ref="B120:J120"/>
    <mergeCell ref="K120:P120"/>
    <mergeCell ref="Q120:R120"/>
    <mergeCell ref="S120:T120"/>
    <mergeCell ref="O121:P121"/>
    <mergeCell ref="Q121:R121"/>
    <mergeCell ref="S121:T121"/>
    <mergeCell ref="D112:U112"/>
    <mergeCell ref="D113:U113"/>
    <mergeCell ref="D114:U114"/>
    <mergeCell ref="D115:U115"/>
    <mergeCell ref="D116:U116"/>
    <mergeCell ref="D117:U117"/>
    <mergeCell ref="D106:U106"/>
    <mergeCell ref="D107:U107"/>
    <mergeCell ref="D108:U108"/>
    <mergeCell ref="D109:U109"/>
    <mergeCell ref="D110:U110"/>
    <mergeCell ref="D111:U111"/>
    <mergeCell ref="D100:U100"/>
    <mergeCell ref="D101:U101"/>
    <mergeCell ref="D102:U102"/>
    <mergeCell ref="D103:U103"/>
    <mergeCell ref="D104:U104"/>
    <mergeCell ref="D105:U105"/>
    <mergeCell ref="D94:U94"/>
    <mergeCell ref="D95:U95"/>
    <mergeCell ref="D96:U96"/>
    <mergeCell ref="D97:U97"/>
    <mergeCell ref="D98:U98"/>
    <mergeCell ref="D99:U99"/>
    <mergeCell ref="D88:U88"/>
    <mergeCell ref="D89:U89"/>
    <mergeCell ref="D90:U90"/>
    <mergeCell ref="D91:U91"/>
    <mergeCell ref="D92:U92"/>
    <mergeCell ref="D93:U93"/>
    <mergeCell ref="D82:U82"/>
    <mergeCell ref="D83:U83"/>
    <mergeCell ref="D84:U84"/>
    <mergeCell ref="D85:U85"/>
    <mergeCell ref="D86:U86"/>
    <mergeCell ref="D87:U87"/>
    <mergeCell ref="C75:L75"/>
    <mergeCell ref="M75:S75"/>
    <mergeCell ref="T75:W75"/>
    <mergeCell ref="B77:U77"/>
    <mergeCell ref="D80:U80"/>
    <mergeCell ref="D81:U81"/>
    <mergeCell ref="V67:Y67"/>
    <mergeCell ref="E69:V70"/>
    <mergeCell ref="W69:Z69"/>
    <mergeCell ref="J72:L72"/>
    <mergeCell ref="M72:P72"/>
    <mergeCell ref="I73:L73"/>
    <mergeCell ref="M73:P73"/>
    <mergeCell ref="Q73:V73"/>
    <mergeCell ref="D78:U78"/>
    <mergeCell ref="D79:U79"/>
    <mergeCell ref="O66:P66"/>
    <mergeCell ref="Q66:R66"/>
    <mergeCell ref="S66:T66"/>
    <mergeCell ref="B67:J67"/>
    <mergeCell ref="K67:P67"/>
    <mergeCell ref="Q67:R67"/>
    <mergeCell ref="S67:U67"/>
    <mergeCell ref="B63:T63"/>
    <mergeCell ref="B65:J65"/>
    <mergeCell ref="K65:P65"/>
    <mergeCell ref="Q65:R65"/>
    <mergeCell ref="S65:T65"/>
    <mergeCell ref="D55:U55"/>
    <mergeCell ref="D56:U56"/>
    <mergeCell ref="D57:U57"/>
    <mergeCell ref="D58:U58"/>
    <mergeCell ref="D59:U59"/>
    <mergeCell ref="D49:U49"/>
    <mergeCell ref="D50:U50"/>
    <mergeCell ref="D51:U51"/>
    <mergeCell ref="D52:U52"/>
    <mergeCell ref="D53:U53"/>
    <mergeCell ref="D54:U54"/>
    <mergeCell ref="D43:U43"/>
    <mergeCell ref="D44:U44"/>
    <mergeCell ref="D45:U45"/>
    <mergeCell ref="D46:U46"/>
    <mergeCell ref="D47:U47"/>
    <mergeCell ref="D48:U48"/>
    <mergeCell ref="D37:U37"/>
    <mergeCell ref="D38:U38"/>
    <mergeCell ref="D39:U39"/>
    <mergeCell ref="D40:U40"/>
    <mergeCell ref="D41:U41"/>
    <mergeCell ref="D42:U42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3" max="16383" man="1"/>
    <brk id="184" max="16383" man="1"/>
    <brk id="23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8A6D-1362-4796-8D8A-9C789F03B076}">
  <sheetPr>
    <pageSetUpPr fitToPage="1"/>
  </sheetPr>
  <dimension ref="A1:IV376"/>
  <sheetViews>
    <sheetView view="pageBreakPreview" zoomScaleNormal="100" zoomScaleSheetLayoutView="106" workbookViewId="0">
      <selection activeCell="D27" sqref="D27:U27"/>
    </sheetView>
  </sheetViews>
  <sheetFormatPr defaultColWidth="8.85546875" defaultRowHeight="15" x14ac:dyDescent="0.25"/>
  <cols>
    <col min="1" max="1" width="4" style="15" customWidth="1"/>
    <col min="2" max="2" width="4" style="28" customWidth="1"/>
    <col min="3" max="3" width="4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42578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x14ac:dyDescent="0.2">
      <c r="E1" s="111" t="s">
        <v>64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x14ac:dyDescent="0.25"/>
    <row r="4" spans="2:26" s="1" customFormat="1" ht="15" customHeight="1" thickBot="1" x14ac:dyDescent="0.25">
      <c r="J4" s="79" t="s">
        <v>2</v>
      </c>
      <c r="K4" s="79"/>
      <c r="L4" s="79"/>
      <c r="M4" s="80" t="s">
        <v>916</v>
      </c>
      <c r="N4" s="80"/>
      <c r="O4" s="80"/>
      <c r="P4" s="80"/>
    </row>
    <row r="5" spans="2:26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x14ac:dyDescent="0.25"/>
    <row r="7" spans="2:26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4.1" customHeight="1" thickBot="1" x14ac:dyDescent="0.3">
      <c r="B11" s="8"/>
      <c r="C11" s="8" t="s">
        <v>917</v>
      </c>
      <c r="D11" s="70" t="s">
        <v>918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2"/>
      <c r="V11" s="10" t="s">
        <v>22</v>
      </c>
      <c r="W11" s="10"/>
      <c r="X11" s="10"/>
      <c r="Y11" s="10"/>
      <c r="Z11" s="10"/>
    </row>
    <row r="12" spans="2:26" s="4" customFormat="1" ht="16.350000000000001" customHeight="1" thickBot="1" x14ac:dyDescent="0.25">
      <c r="B12" s="8"/>
      <c r="C12" s="8" t="s">
        <v>919</v>
      </c>
      <c r="D12" s="162" t="s">
        <v>920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0" t="s">
        <v>22</v>
      </c>
      <c r="W12" s="10"/>
      <c r="X12" s="10"/>
      <c r="Y12" s="10"/>
      <c r="Z12" s="10"/>
    </row>
    <row r="13" spans="2:26" s="4" customFormat="1" ht="16.350000000000001" customHeight="1" thickBot="1" x14ac:dyDescent="0.25">
      <c r="B13" s="8"/>
      <c r="C13" s="8" t="s">
        <v>921</v>
      </c>
      <c r="D13" s="162" t="s">
        <v>922</v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0" t="s">
        <v>22</v>
      </c>
      <c r="W13" s="10"/>
      <c r="X13" s="10"/>
      <c r="Y13" s="10"/>
      <c r="Z13" s="10"/>
    </row>
    <row r="14" spans="2:26" s="4" customFormat="1" ht="15.75" customHeight="1" thickBot="1" x14ac:dyDescent="0.25">
      <c r="B14" s="8"/>
      <c r="C14" s="8" t="s">
        <v>923</v>
      </c>
      <c r="D14" s="162" t="s">
        <v>924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0" t="s">
        <v>22</v>
      </c>
      <c r="W14" s="10"/>
      <c r="X14" s="10"/>
      <c r="Y14" s="10"/>
      <c r="Z14" s="10"/>
    </row>
    <row r="15" spans="2:26" s="4" customFormat="1" ht="16.350000000000001" customHeight="1" thickBot="1" x14ac:dyDescent="0.25">
      <c r="B15" s="8"/>
      <c r="C15" s="8" t="s">
        <v>925</v>
      </c>
      <c r="D15" s="162" t="s">
        <v>926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0" t="s">
        <v>22</v>
      </c>
      <c r="W15" s="10"/>
      <c r="X15" s="10"/>
      <c r="Y15" s="10"/>
      <c r="Z15" s="10"/>
    </row>
    <row r="16" spans="2:26" s="4" customFormat="1" ht="16.350000000000001" customHeight="1" thickBot="1" x14ac:dyDescent="0.25">
      <c r="B16" s="8"/>
      <c r="C16" s="8" t="s">
        <v>927</v>
      </c>
      <c r="D16" s="162" t="s">
        <v>928</v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0" t="s">
        <v>22</v>
      </c>
      <c r="W16" s="10"/>
      <c r="X16" s="10"/>
      <c r="Y16" s="10"/>
      <c r="Z16" s="10"/>
    </row>
    <row r="17" spans="2:26" s="4" customFormat="1" ht="16.350000000000001" customHeight="1" thickBot="1" x14ac:dyDescent="0.25">
      <c r="B17" s="8"/>
      <c r="C17" s="8" t="s">
        <v>929</v>
      </c>
      <c r="D17" s="95" t="s">
        <v>930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0" t="s">
        <v>22</v>
      </c>
      <c r="W17" s="10"/>
      <c r="X17" s="10"/>
      <c r="Y17" s="10"/>
      <c r="Z17" s="10"/>
    </row>
    <row r="18" spans="2:26" s="4" customFormat="1" ht="16.350000000000001" customHeight="1" thickBot="1" x14ac:dyDescent="0.25">
      <c r="B18" s="8"/>
      <c r="C18" s="8" t="s">
        <v>931</v>
      </c>
      <c r="D18" s="162" t="s">
        <v>932</v>
      </c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0" t="s">
        <v>22</v>
      </c>
      <c r="W18" s="10"/>
      <c r="X18" s="10"/>
      <c r="Y18" s="10"/>
      <c r="Z18" s="10"/>
    </row>
    <row r="19" spans="2:26" s="4" customFormat="1" ht="16.350000000000001" customHeight="1" thickBot="1" x14ac:dyDescent="0.25">
      <c r="B19" s="8"/>
      <c r="C19" s="8" t="s">
        <v>933</v>
      </c>
      <c r="D19" s="162" t="s">
        <v>934</v>
      </c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0" t="s">
        <v>22</v>
      </c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8" t="s">
        <v>935</v>
      </c>
      <c r="D20" s="162" t="s">
        <v>936</v>
      </c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0" t="s">
        <v>22</v>
      </c>
      <c r="W20" s="10"/>
      <c r="X20" s="10"/>
      <c r="Y20" s="10"/>
      <c r="Z20" s="10"/>
    </row>
    <row r="21" spans="2:26" s="4" customFormat="1" ht="16.350000000000001" customHeight="1" thickBot="1" x14ac:dyDescent="0.25">
      <c r="B21" s="8"/>
      <c r="C21" s="8" t="s">
        <v>937</v>
      </c>
      <c r="D21" s="162" t="s">
        <v>938</v>
      </c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0" t="s">
        <v>22</v>
      </c>
      <c r="W21" s="10"/>
      <c r="X21" s="10"/>
      <c r="Y21" s="10"/>
      <c r="Z21" s="10"/>
    </row>
    <row r="22" spans="2:26" s="4" customFormat="1" ht="16.350000000000001" customHeight="1" thickBot="1" x14ac:dyDescent="0.3">
      <c r="B22" s="8"/>
      <c r="C22" s="8" t="s">
        <v>939</v>
      </c>
      <c r="D22" s="171" t="s">
        <v>940</v>
      </c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0" t="s">
        <v>22</v>
      </c>
      <c r="W22" s="10"/>
      <c r="X22" s="10"/>
      <c r="Y22" s="10"/>
      <c r="Z22" s="10"/>
    </row>
    <row r="23" spans="2:26" s="4" customFormat="1" ht="16.350000000000001" customHeight="1" thickBot="1" x14ac:dyDescent="0.25">
      <c r="B23" s="8"/>
      <c r="C23" s="8" t="s">
        <v>941</v>
      </c>
      <c r="D23" s="162" t="s">
        <v>942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0" t="s">
        <v>22</v>
      </c>
      <c r="W23" s="10"/>
      <c r="X23" s="10"/>
      <c r="Y23" s="10"/>
      <c r="Z23" s="10"/>
    </row>
    <row r="24" spans="2:26" s="4" customFormat="1" ht="16.350000000000001" customHeight="1" thickBot="1" x14ac:dyDescent="0.3">
      <c r="B24" s="13"/>
      <c r="C24" s="8" t="s">
        <v>943</v>
      </c>
      <c r="D24" s="157" t="s">
        <v>944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0" t="s">
        <v>28</v>
      </c>
      <c r="W24" s="10"/>
      <c r="X24" s="10"/>
      <c r="Y24" s="10"/>
      <c r="Z24" s="10"/>
    </row>
    <row r="25" spans="2:26" s="4" customFormat="1" ht="16.350000000000001" customHeight="1" thickBot="1" x14ac:dyDescent="0.3">
      <c r="B25" s="8"/>
      <c r="C25" s="8" t="s">
        <v>945</v>
      </c>
      <c r="D25" s="70" t="s">
        <v>946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2"/>
      <c r="V25" s="10" t="s">
        <v>22</v>
      </c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8" t="s">
        <v>947</v>
      </c>
      <c r="D26" s="70" t="s">
        <v>948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  <c r="V26" s="10" t="s">
        <v>22</v>
      </c>
      <c r="W26" s="10"/>
      <c r="X26" s="10"/>
      <c r="Y26" s="10"/>
      <c r="Z26" s="10"/>
    </row>
    <row r="27" spans="2:26" s="4" customFormat="1" ht="16.350000000000001" customHeight="1" thickBot="1" x14ac:dyDescent="0.25">
      <c r="B27" s="8"/>
      <c r="C27" s="8" t="s">
        <v>949</v>
      </c>
      <c r="D27" s="193" t="s">
        <v>950</v>
      </c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0" t="s">
        <v>22</v>
      </c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8" t="s">
        <v>951</v>
      </c>
      <c r="D28" s="143" t="s">
        <v>952</v>
      </c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5"/>
      <c r="V28" s="10" t="s">
        <v>22</v>
      </c>
      <c r="W28" s="10"/>
      <c r="X28" s="10"/>
      <c r="Y28" s="10"/>
      <c r="Z28" s="10"/>
    </row>
    <row r="29" spans="2:26" s="4" customFormat="1" ht="15" customHeight="1" thickBot="1" x14ac:dyDescent="0.25">
      <c r="B29" s="8"/>
      <c r="C29" s="8" t="s">
        <v>953</v>
      </c>
      <c r="D29" s="162" t="s">
        <v>954</v>
      </c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0" t="s">
        <v>28</v>
      </c>
      <c r="W29" s="10"/>
      <c r="X29" s="10"/>
      <c r="Y29" s="10"/>
      <c r="Z29" s="10"/>
    </row>
    <row r="30" spans="2:26" s="4" customFormat="1" ht="13.5" thickBot="1" x14ac:dyDescent="0.25">
      <c r="B30" s="8"/>
      <c r="C30" s="8" t="s">
        <v>955</v>
      </c>
      <c r="D30" s="162" t="s">
        <v>956</v>
      </c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0" t="s">
        <v>22</v>
      </c>
      <c r="W30" s="10"/>
      <c r="X30" s="10"/>
      <c r="Y30" s="10"/>
      <c r="Z30" s="10"/>
    </row>
    <row r="31" spans="2:26" s="4" customFormat="1" ht="15.95" customHeight="1" thickBot="1" x14ac:dyDescent="0.25">
      <c r="B31" s="10"/>
      <c r="C31" s="8" t="s">
        <v>957</v>
      </c>
      <c r="D31" s="162" t="s">
        <v>958</v>
      </c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0" t="s">
        <v>22</v>
      </c>
      <c r="W31" s="10"/>
      <c r="X31" s="10"/>
      <c r="Y31" s="10"/>
      <c r="Z31" s="10"/>
    </row>
    <row r="32" spans="2:26" s="4" customFormat="1" ht="15.95" customHeight="1" thickBot="1" x14ac:dyDescent="0.3">
      <c r="B32" s="8"/>
      <c r="C32" s="8" t="s">
        <v>959</v>
      </c>
      <c r="D32" s="70" t="s">
        <v>960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2"/>
      <c r="V32" s="10" t="s">
        <v>76</v>
      </c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8" t="s">
        <v>961</v>
      </c>
      <c r="D33" s="70" t="s">
        <v>962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  <c r="V33" s="10" t="s">
        <v>963</v>
      </c>
      <c r="W33" s="10"/>
      <c r="X33" s="10"/>
      <c r="Y33" s="10"/>
      <c r="Z33" s="10"/>
    </row>
    <row r="34" spans="2:26" s="4" customFormat="1" ht="16.350000000000001" customHeight="1" thickBot="1" x14ac:dyDescent="0.25">
      <c r="B34" s="8"/>
      <c r="C34" s="8" t="s">
        <v>964</v>
      </c>
      <c r="D34" s="162" t="s">
        <v>965</v>
      </c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0" t="s">
        <v>22</v>
      </c>
      <c r="W34" s="10"/>
      <c r="X34" s="10"/>
      <c r="Y34" s="10"/>
      <c r="Z34" s="10"/>
    </row>
    <row r="35" spans="2:26" s="15" customFormat="1" ht="16.350000000000001" customHeight="1" thickBot="1" x14ac:dyDescent="0.25">
      <c r="B35" s="8"/>
      <c r="C35" s="8" t="s">
        <v>966</v>
      </c>
      <c r="D35" s="162" t="s">
        <v>967</v>
      </c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0" t="s">
        <v>22</v>
      </c>
      <c r="W35" s="14"/>
      <c r="X35" s="14"/>
      <c r="Y35" s="14"/>
      <c r="Z35" s="14"/>
    </row>
    <row r="36" spans="2:26" s="4" customFormat="1" ht="16.350000000000001" customHeight="1" thickBot="1" x14ac:dyDescent="0.3">
      <c r="B36" s="8"/>
      <c r="C36" s="8" t="s">
        <v>968</v>
      </c>
      <c r="D36" s="162" t="s">
        <v>969</v>
      </c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0" t="s">
        <v>22</v>
      </c>
      <c r="W36" s="10"/>
      <c r="X36" s="10"/>
      <c r="Y36" s="10"/>
      <c r="Z36" s="10"/>
    </row>
    <row r="37" spans="2:26" s="4" customFormat="1" ht="16.350000000000001" customHeight="1" thickBot="1" x14ac:dyDescent="0.25">
      <c r="B37" s="8"/>
      <c r="C37" s="8" t="s">
        <v>970</v>
      </c>
      <c r="D37" s="162" t="s">
        <v>971</v>
      </c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0" t="s">
        <v>22</v>
      </c>
      <c r="W37" s="10"/>
      <c r="X37" s="10"/>
      <c r="Y37" s="10"/>
      <c r="Z37" s="10"/>
    </row>
    <row r="38" spans="2:26" s="4" customFormat="1" ht="16.350000000000001" customHeight="1" thickBot="1" x14ac:dyDescent="0.25">
      <c r="B38" s="8"/>
      <c r="C38" s="8" t="s">
        <v>972</v>
      </c>
      <c r="D38" s="162" t="s">
        <v>973</v>
      </c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0" t="s">
        <v>22</v>
      </c>
      <c r="W38" s="10"/>
      <c r="X38" s="10"/>
      <c r="Y38" s="10"/>
      <c r="Z38" s="10"/>
    </row>
    <row r="39" spans="2:26" s="4" customFormat="1" ht="16.350000000000001" customHeight="1" thickBot="1" x14ac:dyDescent="0.25">
      <c r="B39" s="8"/>
      <c r="C39" s="8" t="s">
        <v>974</v>
      </c>
      <c r="D39" s="162" t="s">
        <v>975</v>
      </c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0" t="s">
        <v>22</v>
      </c>
      <c r="W39" s="10"/>
      <c r="X39" s="10"/>
      <c r="Y39" s="10"/>
      <c r="Z39" s="10"/>
    </row>
    <row r="40" spans="2:26" s="4" customFormat="1" ht="16.350000000000001" customHeight="1" thickBot="1" x14ac:dyDescent="0.25">
      <c r="B40" s="8"/>
      <c r="C40" s="8" t="s">
        <v>976</v>
      </c>
      <c r="D40" s="162" t="s">
        <v>977</v>
      </c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0" t="s">
        <v>22</v>
      </c>
      <c r="W40" s="10"/>
      <c r="X40" s="10"/>
      <c r="Y40" s="10"/>
      <c r="Z40" s="10"/>
    </row>
    <row r="41" spans="2:26" s="4" customFormat="1" ht="16.350000000000001" customHeight="1" thickBot="1" x14ac:dyDescent="0.25">
      <c r="B41" s="8"/>
      <c r="C41" s="8" t="s">
        <v>978</v>
      </c>
      <c r="D41" s="190" t="s">
        <v>979</v>
      </c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6" t="s">
        <v>22</v>
      </c>
      <c r="W41" s="10"/>
      <c r="X41" s="10"/>
      <c r="Y41" s="10"/>
      <c r="Z41" s="10"/>
    </row>
    <row r="42" spans="2:26" s="4" customFormat="1" ht="16.350000000000001" customHeight="1" thickBot="1" x14ac:dyDescent="0.3">
      <c r="B42" s="8"/>
      <c r="C42" s="47"/>
      <c r="D42" s="184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6"/>
      <c r="V42" s="17"/>
      <c r="W42" s="18"/>
      <c r="X42" s="10"/>
      <c r="Y42" s="10"/>
      <c r="Z42" s="10"/>
    </row>
    <row r="43" spans="2:26" s="15" customFormat="1" ht="15" customHeight="1" thickBot="1" x14ac:dyDescent="0.25">
      <c r="B43" s="8"/>
      <c r="C43" s="3"/>
      <c r="D43" s="187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9"/>
      <c r="W43" s="14"/>
      <c r="X43" s="14"/>
      <c r="Y43" s="14"/>
      <c r="Z43" s="14"/>
    </row>
    <row r="44" spans="2:26" s="4" customFormat="1" ht="15.95" customHeight="1" thickBot="1" x14ac:dyDescent="0.3">
      <c r="B44" s="3"/>
      <c r="C44" s="3"/>
      <c r="D44" s="143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5"/>
      <c r="V44" s="10"/>
      <c r="W44" s="10"/>
      <c r="X44" s="10"/>
      <c r="Y44" s="10"/>
      <c r="Z44" s="10"/>
    </row>
    <row r="45" spans="2:26" s="4" customFormat="1" ht="15.95" customHeight="1" thickBot="1" x14ac:dyDescent="0.25">
      <c r="B45" s="8"/>
      <c r="C45" s="3"/>
      <c r="D45" s="162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0"/>
      <c r="W45" s="10"/>
      <c r="X45" s="10"/>
      <c r="Y45" s="10"/>
      <c r="Z45" s="10"/>
    </row>
    <row r="46" spans="2:26" s="4" customFormat="1" ht="16.350000000000001" customHeight="1" thickBot="1" x14ac:dyDescent="0.25">
      <c r="B46" s="8"/>
      <c r="C46" s="48"/>
      <c r="D46" s="162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0"/>
      <c r="W46" s="10"/>
      <c r="X46" s="10"/>
      <c r="Y46" s="10"/>
      <c r="Z46" s="10"/>
    </row>
    <row r="47" spans="2:26" s="4" customFormat="1" ht="16.350000000000001" customHeight="1" thickBot="1" x14ac:dyDescent="0.25">
      <c r="B47" s="8"/>
      <c r="C47" s="9"/>
      <c r="D47" s="165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0"/>
      <c r="W47" s="10"/>
      <c r="X47" s="10"/>
      <c r="Y47" s="10"/>
      <c r="Z47" s="10"/>
    </row>
    <row r="48" spans="2:26" s="1" customFormat="1" ht="15" customHeight="1" x14ac:dyDescent="0.2">
      <c r="B48" s="167" t="s">
        <v>60</v>
      </c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</row>
    <row r="49" spans="2:26" x14ac:dyDescent="0.25">
      <c r="B49" s="20"/>
      <c r="C49" s="21"/>
      <c r="O49" s="22"/>
      <c r="P49" s="22"/>
      <c r="Q49" s="23"/>
      <c r="R49" s="23"/>
      <c r="S49" s="22"/>
      <c r="T49" s="22"/>
    </row>
    <row r="50" spans="2:26" s="1" customFormat="1" ht="13.5" thickBot="1" x14ac:dyDescent="0.25">
      <c r="B50" s="57" t="s">
        <v>61</v>
      </c>
      <c r="C50" s="57"/>
      <c r="D50" s="57"/>
      <c r="E50" s="57"/>
      <c r="F50" s="57"/>
      <c r="G50" s="57"/>
      <c r="H50" s="57"/>
      <c r="I50" s="57"/>
      <c r="J50" s="57"/>
      <c r="K50" s="64"/>
      <c r="L50" s="62"/>
      <c r="M50" s="62"/>
      <c r="N50" s="62"/>
      <c r="O50" s="59"/>
      <c r="P50" s="59"/>
      <c r="Q50" s="83"/>
      <c r="R50" s="83"/>
      <c r="S50" s="98"/>
      <c r="T50" s="98"/>
    </row>
    <row r="51" spans="2:26" ht="15" customHeight="1" x14ac:dyDescent="0.25">
      <c r="C51" s="29"/>
      <c r="I51" s="30"/>
      <c r="O51" s="65"/>
      <c r="P51" s="65"/>
      <c r="Q51" s="60"/>
      <c r="R51" s="60"/>
      <c r="S51" s="65"/>
      <c r="T51" s="65"/>
    </row>
    <row r="52" spans="2:26" ht="18" customHeight="1" thickBot="1" x14ac:dyDescent="0.3">
      <c r="B52" s="57" t="s">
        <v>62</v>
      </c>
      <c r="C52" s="57"/>
      <c r="D52" s="57"/>
      <c r="E52" s="57"/>
      <c r="F52" s="57"/>
      <c r="G52" s="57"/>
      <c r="H52" s="57"/>
      <c r="I52" s="57"/>
      <c r="J52" s="57"/>
      <c r="K52" s="58" t="s">
        <v>532</v>
      </c>
      <c r="L52" s="58"/>
      <c r="M52" s="58"/>
      <c r="N52" s="58"/>
      <c r="O52" s="59"/>
      <c r="P52" s="59"/>
      <c r="Q52" s="60"/>
      <c r="R52" s="60"/>
      <c r="S52" s="97" t="s">
        <v>63</v>
      </c>
      <c r="T52" s="97"/>
      <c r="U52" s="97"/>
      <c r="V52" s="62"/>
      <c r="W52" s="62"/>
      <c r="X52" s="62"/>
      <c r="Y52" s="62"/>
    </row>
    <row r="53" spans="2:26" ht="15" customHeight="1" x14ac:dyDescent="0.25"/>
    <row r="54" spans="2:26" ht="15" customHeight="1" thickBot="1" x14ac:dyDescent="0.3"/>
    <row r="55" spans="2:26" ht="15" customHeight="1" thickBot="1" x14ac:dyDescent="0.3">
      <c r="E55" s="80" t="s">
        <v>64</v>
      </c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92" t="s">
        <v>65</v>
      </c>
      <c r="X55" s="79"/>
      <c r="Y55" s="79"/>
      <c r="Z55" s="79"/>
    </row>
    <row r="56" spans="2:26" ht="15" customHeight="1" thickBot="1" x14ac:dyDescent="0.3"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</row>
    <row r="57" spans="2:26" ht="10.5" customHeight="1" thickBot="1" x14ac:dyDescent="0.3"/>
    <row r="58" spans="2:26" ht="15" customHeight="1" thickBot="1" x14ac:dyDescent="0.3">
      <c r="J58" s="79" t="s">
        <v>2</v>
      </c>
      <c r="K58" s="79"/>
      <c r="L58" s="79"/>
      <c r="M58" s="80" t="str">
        <f>$M$4</f>
        <v>C1004</v>
      </c>
      <c r="N58" s="80"/>
      <c r="O58" s="80"/>
      <c r="P58" s="80"/>
    </row>
    <row r="59" spans="2:26" s="15" customFormat="1" ht="15" customHeight="1" thickBot="1" x14ac:dyDescent="0.3">
      <c r="I59" s="79" t="s">
        <v>4</v>
      </c>
      <c r="J59" s="79"/>
      <c r="K59" s="79"/>
      <c r="L59" s="79"/>
      <c r="M59" s="80"/>
      <c r="N59" s="80"/>
      <c r="O59" s="80"/>
      <c r="P59" s="80"/>
      <c r="Q59" s="82"/>
      <c r="R59" s="82"/>
      <c r="S59" s="82"/>
      <c r="T59" s="82"/>
      <c r="U59" s="82"/>
      <c r="V59" s="82"/>
    </row>
    <row r="60" spans="2:26" s="15" customFormat="1" ht="15.95" customHeight="1" thickBot="1" x14ac:dyDescent="0.3"/>
    <row r="61" spans="2:26" s="15" customFormat="1" ht="15" customHeight="1" thickBot="1" x14ac:dyDescent="0.3">
      <c r="C61" s="83" t="s">
        <v>66</v>
      </c>
      <c r="D61" s="83"/>
      <c r="E61" s="83"/>
      <c r="F61" s="83"/>
      <c r="G61" s="83"/>
      <c r="H61" s="83"/>
      <c r="I61" s="83"/>
      <c r="J61" s="83"/>
      <c r="K61" s="83"/>
      <c r="L61" s="84"/>
      <c r="M61" s="102" t="s">
        <v>532</v>
      </c>
      <c r="N61" s="102"/>
      <c r="O61" s="102"/>
      <c r="P61" s="102"/>
      <c r="Q61" s="102"/>
      <c r="R61" s="102"/>
      <c r="S61" s="102"/>
      <c r="T61" s="60"/>
      <c r="U61" s="60"/>
      <c r="V61" s="60"/>
      <c r="W61" s="60"/>
      <c r="X61" s="23"/>
    </row>
    <row r="62" spans="2:26" s="15" customFormat="1" ht="15" customHeight="1" thickBot="1" x14ac:dyDescent="0.3"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2:26" s="15" customFormat="1" ht="22.5" customHeight="1" thickBot="1" x14ac:dyDescent="0.25">
      <c r="B63" s="103" t="s">
        <v>67</v>
      </c>
      <c r="C63" s="179"/>
      <c r="D63" s="180"/>
      <c r="E63" s="179"/>
      <c r="F63" s="179"/>
      <c r="G63" s="179"/>
      <c r="H63" s="179"/>
      <c r="I63" s="179"/>
      <c r="J63" s="179"/>
      <c r="K63" s="181"/>
      <c r="L63" s="179"/>
      <c r="M63" s="179"/>
      <c r="N63" s="179"/>
      <c r="O63" s="182"/>
      <c r="P63" s="182"/>
      <c r="Q63" s="183"/>
      <c r="R63" s="183"/>
      <c r="S63" s="182"/>
      <c r="T63" s="182"/>
      <c r="U63" s="179"/>
      <c r="V63" s="6" t="s">
        <v>8</v>
      </c>
      <c r="W63" s="6" t="s">
        <v>9</v>
      </c>
      <c r="X63" s="6" t="s">
        <v>10</v>
      </c>
      <c r="Y63" s="7" t="s">
        <v>11</v>
      </c>
      <c r="Z63" s="35" t="s">
        <v>12</v>
      </c>
    </row>
    <row r="64" spans="2:26" s="15" customFormat="1" ht="16.350000000000001" customHeight="1" thickBot="1" x14ac:dyDescent="0.3">
      <c r="B64" s="8"/>
      <c r="C64" s="12"/>
      <c r="D64" s="73" t="s">
        <v>980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5"/>
      <c r="V64" s="14"/>
      <c r="W64" s="14"/>
      <c r="X64" s="14"/>
      <c r="Y64" s="14"/>
      <c r="Z64" s="14"/>
    </row>
    <row r="65" spans="1:26" s="15" customFormat="1" ht="16.350000000000001" customHeight="1" thickBot="1" x14ac:dyDescent="0.25">
      <c r="B65" s="8"/>
      <c r="C65" s="8" t="s">
        <v>981</v>
      </c>
      <c r="D65" s="162" t="s">
        <v>982</v>
      </c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0" t="s">
        <v>963</v>
      </c>
      <c r="W65" s="14"/>
      <c r="X65" s="14"/>
      <c r="Y65" s="14"/>
      <c r="Z65" s="14"/>
    </row>
    <row r="66" spans="1:26" s="15" customFormat="1" ht="16.350000000000001" customHeight="1" thickBot="1" x14ac:dyDescent="0.25">
      <c r="B66" s="8"/>
      <c r="C66" s="8" t="s">
        <v>983</v>
      </c>
      <c r="D66" s="162" t="s">
        <v>984</v>
      </c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0" t="s">
        <v>72</v>
      </c>
      <c r="W66" s="14"/>
      <c r="X66" s="14"/>
      <c r="Y66" s="14"/>
      <c r="Z66" s="14"/>
    </row>
    <row r="67" spans="1:26" s="15" customFormat="1" ht="16.350000000000001" customHeight="1" thickBot="1" x14ac:dyDescent="0.25">
      <c r="B67" s="8"/>
      <c r="C67" s="8" t="s">
        <v>985</v>
      </c>
      <c r="D67" s="162" t="s">
        <v>986</v>
      </c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0" t="s">
        <v>76</v>
      </c>
      <c r="W67" s="14"/>
      <c r="X67" s="14"/>
      <c r="Y67" s="14"/>
      <c r="Z67" s="14"/>
    </row>
    <row r="68" spans="1:26" s="15" customFormat="1" ht="16.350000000000001" customHeight="1" thickBot="1" x14ac:dyDescent="0.25">
      <c r="B68" s="8"/>
      <c r="C68" s="8" t="s">
        <v>987</v>
      </c>
      <c r="D68" s="162" t="s">
        <v>988</v>
      </c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0" t="s">
        <v>22</v>
      </c>
      <c r="W68" s="14"/>
      <c r="X68" s="14"/>
      <c r="Y68" s="14"/>
      <c r="Z68" s="14"/>
    </row>
    <row r="69" spans="1:26" s="15" customFormat="1" ht="16.350000000000001" customHeight="1" thickBot="1" x14ac:dyDescent="0.25">
      <c r="B69" s="8"/>
      <c r="C69" s="8" t="s">
        <v>989</v>
      </c>
      <c r="D69" s="162" t="s">
        <v>990</v>
      </c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0" t="s">
        <v>22</v>
      </c>
      <c r="W69" s="14"/>
      <c r="X69" s="14"/>
      <c r="Y69" s="14"/>
      <c r="Z69" s="14"/>
    </row>
    <row r="70" spans="1:26" s="15" customFormat="1" ht="16.350000000000001" customHeight="1" thickBot="1" x14ac:dyDescent="0.25">
      <c r="B70" s="8"/>
      <c r="C70" s="8" t="s">
        <v>991</v>
      </c>
      <c r="D70" s="162" t="s">
        <v>992</v>
      </c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0" t="s">
        <v>22</v>
      </c>
      <c r="W70" s="14"/>
      <c r="X70" s="14"/>
      <c r="Y70" s="14"/>
      <c r="Z70" s="14"/>
    </row>
    <row r="71" spans="1:26" ht="16.350000000000001" customHeight="1" thickBot="1" x14ac:dyDescent="0.3">
      <c r="B71" s="8"/>
      <c r="C71" s="8" t="s">
        <v>993</v>
      </c>
      <c r="D71" s="162" t="s">
        <v>994</v>
      </c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0" t="s">
        <v>22</v>
      </c>
      <c r="W71" s="14"/>
      <c r="X71" s="14"/>
      <c r="Y71" s="14"/>
      <c r="Z71" s="14"/>
    </row>
    <row r="72" spans="1:26" s="15" customFormat="1" ht="16.350000000000001" customHeight="1" thickBot="1" x14ac:dyDescent="0.25">
      <c r="A72" s="36"/>
      <c r="B72" s="37"/>
      <c r="C72" s="8" t="s">
        <v>995</v>
      </c>
      <c r="D72" s="162" t="s">
        <v>996</v>
      </c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0" t="s">
        <v>22</v>
      </c>
      <c r="W72" s="14"/>
      <c r="X72" s="14"/>
      <c r="Y72" s="14"/>
      <c r="Z72" s="14"/>
    </row>
    <row r="73" spans="1:26" s="15" customFormat="1" ht="16.350000000000001" customHeight="1" thickBot="1" x14ac:dyDescent="0.25">
      <c r="B73" s="8"/>
      <c r="C73" s="8" t="s">
        <v>997</v>
      </c>
      <c r="D73" s="162" t="s">
        <v>998</v>
      </c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0" t="s">
        <v>76</v>
      </c>
      <c r="W73" s="14"/>
      <c r="X73" s="14"/>
      <c r="Y73" s="14"/>
      <c r="Z73" s="14"/>
    </row>
    <row r="74" spans="1:26" s="15" customFormat="1" ht="16.350000000000001" customHeight="1" thickBot="1" x14ac:dyDescent="0.3">
      <c r="B74" s="8"/>
      <c r="C74" s="8" t="s">
        <v>999</v>
      </c>
      <c r="D74" s="171" t="s">
        <v>1000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0" t="s">
        <v>834</v>
      </c>
      <c r="W74" s="14"/>
      <c r="X74" s="14"/>
      <c r="Y74" s="14"/>
      <c r="Z74" s="14"/>
    </row>
    <row r="75" spans="1:26" s="15" customFormat="1" ht="16.350000000000001" customHeight="1" thickBot="1" x14ac:dyDescent="0.25">
      <c r="B75" s="8"/>
      <c r="C75" s="8" t="s">
        <v>1001</v>
      </c>
      <c r="D75" s="162" t="s">
        <v>1002</v>
      </c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0" t="s">
        <v>76</v>
      </c>
      <c r="W75" s="14"/>
      <c r="X75" s="14"/>
      <c r="Y75" s="14"/>
      <c r="Z75" s="14"/>
    </row>
    <row r="76" spans="1:26" s="15" customFormat="1" ht="16.350000000000001" customHeight="1" thickBot="1" x14ac:dyDescent="0.25">
      <c r="B76" s="8"/>
      <c r="C76" s="8" t="s">
        <v>1003</v>
      </c>
      <c r="D76" s="162" t="s">
        <v>1004</v>
      </c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0" t="s">
        <v>76</v>
      </c>
      <c r="W76" s="14"/>
      <c r="X76" s="14"/>
      <c r="Y76" s="14"/>
      <c r="Z76" s="14"/>
    </row>
    <row r="77" spans="1:26" s="15" customFormat="1" ht="16.350000000000001" customHeight="1" thickBot="1" x14ac:dyDescent="0.25">
      <c r="B77" s="8"/>
      <c r="C77" s="3"/>
      <c r="D77" s="162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0"/>
      <c r="W77" s="14"/>
      <c r="X77" s="14"/>
      <c r="Y77" s="14"/>
      <c r="Z77" s="14"/>
    </row>
    <row r="78" spans="1:26" s="15" customFormat="1" ht="16.350000000000001" customHeight="1" thickBot="1" x14ac:dyDescent="0.3">
      <c r="B78" s="8"/>
      <c r="C78" s="3"/>
      <c r="D78" s="109" t="s">
        <v>1005</v>
      </c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0" t="s">
        <v>76</v>
      </c>
      <c r="W78" s="14"/>
      <c r="X78" s="14"/>
      <c r="Y78" s="14"/>
      <c r="Z78" s="14"/>
    </row>
    <row r="79" spans="1:26" s="15" customFormat="1" ht="16.350000000000001" customHeight="1" thickBot="1" x14ac:dyDescent="0.25">
      <c r="B79" s="8"/>
      <c r="C79" s="3">
        <v>44</v>
      </c>
      <c r="D79" s="162" t="s">
        <v>1006</v>
      </c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0" t="s">
        <v>22</v>
      </c>
      <c r="W79" s="14"/>
      <c r="X79" s="14"/>
      <c r="Y79" s="14"/>
      <c r="Z79" s="14"/>
    </row>
    <row r="80" spans="1:26" s="15" customFormat="1" ht="16.350000000000001" customHeight="1" thickBot="1" x14ac:dyDescent="0.25">
      <c r="B80" s="8"/>
      <c r="C80" s="3">
        <v>45</v>
      </c>
      <c r="D80" s="162" t="s">
        <v>1007</v>
      </c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0" t="s">
        <v>22</v>
      </c>
      <c r="W80" s="14"/>
      <c r="X80" s="14"/>
      <c r="Y80" s="14"/>
      <c r="Z80" s="14"/>
    </row>
    <row r="81" spans="2:26" s="15" customFormat="1" ht="16.350000000000001" customHeight="1" thickBot="1" x14ac:dyDescent="0.25">
      <c r="B81" s="8"/>
      <c r="C81" s="3">
        <v>46</v>
      </c>
      <c r="D81" s="162" t="s">
        <v>1008</v>
      </c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0" t="s">
        <v>22</v>
      </c>
      <c r="W81" s="14"/>
      <c r="X81" s="14"/>
      <c r="Y81" s="14"/>
      <c r="Z81" s="14"/>
    </row>
    <row r="82" spans="2:26" s="15" customFormat="1" ht="16.350000000000001" customHeight="1" thickBot="1" x14ac:dyDescent="0.25">
      <c r="B82" s="8"/>
      <c r="C82" s="3">
        <v>47</v>
      </c>
      <c r="D82" s="162" t="s">
        <v>1009</v>
      </c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0" t="s">
        <v>22</v>
      </c>
      <c r="W82" s="14"/>
      <c r="X82" s="14"/>
      <c r="Y82" s="14"/>
      <c r="Z82" s="14"/>
    </row>
    <row r="83" spans="2:26" s="15" customFormat="1" ht="15.95" customHeight="1" thickBot="1" x14ac:dyDescent="0.25">
      <c r="B83" s="8"/>
      <c r="C83" s="3">
        <v>48</v>
      </c>
      <c r="D83" s="162" t="s">
        <v>1010</v>
      </c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0" t="s">
        <v>76</v>
      </c>
      <c r="W83" s="14"/>
      <c r="X83" s="14"/>
      <c r="Y83" s="14"/>
      <c r="Z83" s="14"/>
    </row>
    <row r="84" spans="2:26" s="15" customFormat="1" ht="16.350000000000001" customHeight="1" thickBot="1" x14ac:dyDescent="0.3">
      <c r="B84" s="8"/>
      <c r="C84" s="3">
        <v>49</v>
      </c>
      <c r="D84" s="171" t="s">
        <v>1011</v>
      </c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0" t="s">
        <v>834</v>
      </c>
      <c r="W84" s="14"/>
      <c r="X84" s="14"/>
      <c r="Y84" s="14"/>
      <c r="Z84" s="14"/>
    </row>
    <row r="85" spans="2:26" s="15" customFormat="1" ht="16.350000000000001" customHeight="1" thickBot="1" x14ac:dyDescent="0.25">
      <c r="B85" s="8"/>
      <c r="C85" s="3">
        <v>50</v>
      </c>
      <c r="D85" s="162" t="s">
        <v>1012</v>
      </c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0" t="s">
        <v>76</v>
      </c>
      <c r="W85" s="14"/>
      <c r="X85" s="14"/>
      <c r="Y85" s="14"/>
      <c r="Z85" s="14"/>
    </row>
    <row r="86" spans="2:26" s="15" customFormat="1" ht="16.350000000000001" customHeight="1" thickBot="1" x14ac:dyDescent="0.25">
      <c r="B86" s="8"/>
      <c r="C86" s="3">
        <v>51</v>
      </c>
      <c r="D86" s="162" t="s">
        <v>1004</v>
      </c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0" t="s">
        <v>76</v>
      </c>
      <c r="W86" s="14"/>
      <c r="X86" s="14"/>
      <c r="Y86" s="14"/>
      <c r="Z86" s="14"/>
    </row>
    <row r="87" spans="2:26" s="15" customFormat="1" ht="16.350000000000001" customHeight="1" thickBot="1" x14ac:dyDescent="0.25">
      <c r="B87" s="8"/>
      <c r="C87" s="3">
        <v>52</v>
      </c>
      <c r="D87" s="162" t="s">
        <v>1013</v>
      </c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0" t="s">
        <v>22</v>
      </c>
      <c r="W87" s="14"/>
      <c r="X87" s="14"/>
      <c r="Y87" s="14"/>
      <c r="Z87" s="14"/>
    </row>
    <row r="88" spans="2:26" s="15" customFormat="1" ht="16.350000000000001" customHeight="1" thickBot="1" x14ac:dyDescent="0.25">
      <c r="B88" s="8"/>
      <c r="C88" s="3">
        <v>53</v>
      </c>
      <c r="D88" s="162" t="s">
        <v>1014</v>
      </c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0" t="s">
        <v>22</v>
      </c>
      <c r="W88" s="14"/>
      <c r="X88" s="14"/>
      <c r="Y88" s="14"/>
      <c r="Z88" s="14"/>
    </row>
    <row r="89" spans="2:26" s="15" customFormat="1" ht="16.350000000000001" customHeight="1" thickBot="1" x14ac:dyDescent="0.3">
      <c r="B89" s="8"/>
      <c r="C89" s="3">
        <v>54</v>
      </c>
      <c r="D89" s="70" t="s">
        <v>1015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 t="s">
        <v>22</v>
      </c>
      <c r="W89" s="14"/>
      <c r="X89" s="14"/>
      <c r="Y89" s="14"/>
      <c r="Z89" s="14"/>
    </row>
    <row r="90" spans="2:26" s="15" customFormat="1" ht="16.350000000000001" customHeight="1" thickBot="1" x14ac:dyDescent="0.25">
      <c r="B90" s="8"/>
      <c r="C90" s="3">
        <v>55</v>
      </c>
      <c r="D90" s="162" t="s">
        <v>1016</v>
      </c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0" t="s">
        <v>22</v>
      </c>
      <c r="W90" s="14"/>
      <c r="X90" s="14"/>
      <c r="Y90" s="14"/>
      <c r="Z90" s="14"/>
    </row>
    <row r="91" spans="2:26" s="15" customFormat="1" ht="16.350000000000001" hidden="1" customHeight="1" x14ac:dyDescent="0.25">
      <c r="B91" s="8"/>
      <c r="C91" s="3"/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/>
      <c r="W91" s="14"/>
      <c r="X91" s="14"/>
      <c r="Y91" s="14"/>
      <c r="Z91" s="14"/>
    </row>
    <row r="92" spans="2:26" s="15" customFormat="1" ht="16.350000000000001" customHeight="1" thickBot="1" x14ac:dyDescent="0.3">
      <c r="B92" s="8"/>
      <c r="C92" s="3"/>
      <c r="D92" s="109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0"/>
      <c r="W92" s="14"/>
      <c r="X92" s="14"/>
      <c r="Y92" s="14"/>
      <c r="Z92" s="14"/>
    </row>
    <row r="93" spans="2:26" s="15" customFormat="1" ht="16.350000000000001" customHeight="1" thickBot="1" x14ac:dyDescent="0.25">
      <c r="B93" s="8"/>
      <c r="C93" s="3"/>
      <c r="D93" s="169" t="s">
        <v>1017</v>
      </c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0"/>
      <c r="W93" s="14"/>
      <c r="X93" s="14"/>
      <c r="Y93" s="14"/>
      <c r="Z93" s="14"/>
    </row>
    <row r="94" spans="2:26" s="15" customFormat="1" ht="16.350000000000001" customHeight="1" thickBot="1" x14ac:dyDescent="0.3">
      <c r="B94" s="8"/>
      <c r="C94" s="3">
        <v>56</v>
      </c>
      <c r="D94" s="70" t="s">
        <v>1018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 t="s">
        <v>22</v>
      </c>
      <c r="W94" s="14"/>
      <c r="X94" s="14"/>
      <c r="Y94" s="14"/>
      <c r="Z94" s="14"/>
    </row>
    <row r="95" spans="2:26" s="15" customFormat="1" ht="16.350000000000001" customHeight="1" thickBot="1" x14ac:dyDescent="0.25">
      <c r="B95" s="8"/>
      <c r="C95" s="3">
        <v>57</v>
      </c>
      <c r="D95" s="162" t="s">
        <v>1019</v>
      </c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0" t="s">
        <v>22</v>
      </c>
      <c r="W95" s="14"/>
      <c r="X95" s="14"/>
      <c r="Y95" s="14"/>
      <c r="Z95" s="14"/>
    </row>
    <row r="96" spans="2:26" s="15" customFormat="1" ht="16.350000000000001" customHeight="1" thickBot="1" x14ac:dyDescent="0.25">
      <c r="B96" s="8"/>
      <c r="C96" s="3">
        <v>58</v>
      </c>
      <c r="D96" s="162" t="s">
        <v>1008</v>
      </c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0" t="s">
        <v>22</v>
      </c>
      <c r="W96" s="14"/>
      <c r="X96" s="14"/>
      <c r="Y96" s="14"/>
      <c r="Z96" s="14"/>
    </row>
    <row r="97" spans="2:26" s="15" customFormat="1" ht="16.350000000000001" customHeight="1" thickBot="1" x14ac:dyDescent="0.25">
      <c r="B97" s="8"/>
      <c r="C97" s="8" t="s">
        <v>1020</v>
      </c>
      <c r="D97" s="162" t="s">
        <v>1021</v>
      </c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0" t="s">
        <v>22</v>
      </c>
      <c r="W97" s="14"/>
      <c r="X97" s="14"/>
      <c r="Y97" s="14"/>
      <c r="Z97" s="14"/>
    </row>
    <row r="98" spans="2:26" s="15" customFormat="1" ht="16.350000000000001" customHeight="1" thickBot="1" x14ac:dyDescent="0.25">
      <c r="B98" s="8"/>
      <c r="C98" s="8" t="s">
        <v>1022</v>
      </c>
      <c r="D98" s="162" t="s">
        <v>1023</v>
      </c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0" t="s">
        <v>22</v>
      </c>
      <c r="W98" s="14"/>
      <c r="X98" s="14"/>
      <c r="Y98" s="14"/>
      <c r="Z98" s="14"/>
    </row>
    <row r="99" spans="2:26" s="15" customFormat="1" ht="16.350000000000001" customHeight="1" thickBot="1" x14ac:dyDescent="0.25">
      <c r="B99" s="8"/>
      <c r="C99" s="8" t="s">
        <v>1024</v>
      </c>
      <c r="D99" s="162" t="s">
        <v>1025</v>
      </c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0" t="s">
        <v>22</v>
      </c>
      <c r="W99" s="14"/>
      <c r="X99" s="14"/>
      <c r="Y99" s="14"/>
      <c r="Z99" s="14"/>
    </row>
    <row r="100" spans="2:26" s="15" customFormat="1" ht="16.350000000000001" customHeight="1" thickBot="1" x14ac:dyDescent="0.25">
      <c r="B100" s="8"/>
      <c r="C100" s="8" t="s">
        <v>1026</v>
      </c>
      <c r="D100" s="162" t="s">
        <v>1027</v>
      </c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0" t="s">
        <v>834</v>
      </c>
      <c r="W100" s="14"/>
      <c r="X100" s="14"/>
      <c r="Y100" s="14"/>
      <c r="Z100" s="14"/>
    </row>
    <row r="101" spans="2:26" s="15" customFormat="1" ht="16.350000000000001" customHeight="1" thickBot="1" x14ac:dyDescent="0.25">
      <c r="B101" s="8"/>
      <c r="C101" s="10">
        <v>63</v>
      </c>
      <c r="D101" s="165" t="s">
        <v>1002</v>
      </c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9" t="s">
        <v>76</v>
      </c>
      <c r="W101" s="14"/>
      <c r="X101" s="14"/>
      <c r="Y101" s="14"/>
      <c r="Z101" s="14"/>
    </row>
    <row r="102" spans="2:26" ht="15" customHeight="1" x14ac:dyDescent="0.25">
      <c r="B102" s="167" t="s">
        <v>98</v>
      </c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</row>
    <row r="103" spans="2:26" x14ac:dyDescent="0.25">
      <c r="B103" s="20"/>
      <c r="C103" s="21"/>
      <c r="O103" s="22"/>
      <c r="P103" s="22"/>
      <c r="Q103" s="23"/>
      <c r="R103" s="23"/>
      <c r="S103" s="22"/>
      <c r="T103" s="22"/>
    </row>
    <row r="104" spans="2:26" ht="15.75" thickBot="1" x14ac:dyDescent="0.3">
      <c r="B104" s="57" t="s">
        <v>61</v>
      </c>
      <c r="C104" s="57"/>
      <c r="D104" s="57"/>
      <c r="E104" s="57"/>
      <c r="F104" s="57"/>
      <c r="G104" s="57"/>
      <c r="H104" s="57"/>
      <c r="I104" s="57"/>
      <c r="J104" s="57"/>
      <c r="K104" s="64"/>
      <c r="L104" s="62"/>
      <c r="M104" s="62"/>
      <c r="N104" s="62"/>
      <c r="O104" s="59"/>
      <c r="P104" s="59"/>
      <c r="Q104" s="60"/>
      <c r="R104" s="60"/>
      <c r="S104" s="65"/>
      <c r="T104" s="65"/>
    </row>
    <row r="105" spans="2:26" ht="15" customHeight="1" x14ac:dyDescent="0.25">
      <c r="C105" s="29"/>
      <c r="I105" s="30"/>
      <c r="O105" s="65"/>
      <c r="P105" s="65"/>
      <c r="Q105" s="60"/>
      <c r="R105" s="60"/>
      <c r="S105" s="65"/>
      <c r="T105" s="65"/>
    </row>
    <row r="106" spans="2:26" ht="18" customHeight="1" thickBot="1" x14ac:dyDescent="0.3">
      <c r="B106" s="57" t="s">
        <v>62</v>
      </c>
      <c r="C106" s="57"/>
      <c r="D106" s="57"/>
      <c r="E106" s="57"/>
      <c r="F106" s="57"/>
      <c r="G106" s="57"/>
      <c r="H106" s="57"/>
      <c r="I106" s="57"/>
      <c r="J106" s="57"/>
      <c r="K106" s="58" t="s">
        <v>532</v>
      </c>
      <c r="L106" s="58"/>
      <c r="M106" s="58"/>
      <c r="N106" s="58"/>
      <c r="O106" s="59"/>
      <c r="P106" s="59"/>
      <c r="Q106" s="60"/>
      <c r="R106" s="60"/>
      <c r="S106" s="97" t="s">
        <v>63</v>
      </c>
      <c r="T106" s="97"/>
      <c r="U106" s="97"/>
      <c r="V106" s="62"/>
      <c r="W106" s="62"/>
      <c r="X106" s="62"/>
      <c r="Y106" s="62"/>
    </row>
    <row r="107" spans="2:26" ht="15" customHeight="1" x14ac:dyDescent="0.25"/>
    <row r="108" spans="2:26" ht="15" customHeight="1" thickBot="1" x14ac:dyDescent="0.3"/>
    <row r="109" spans="2:26" ht="15" customHeight="1" thickBot="1" x14ac:dyDescent="0.3">
      <c r="E109" s="80" t="s">
        <v>64</v>
      </c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92" t="s">
        <v>99</v>
      </c>
      <c r="X109" s="79"/>
      <c r="Y109" s="79"/>
      <c r="Z109" s="79"/>
    </row>
    <row r="110" spans="2:26" ht="15" customHeight="1" thickBot="1" x14ac:dyDescent="0.3"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</row>
    <row r="111" spans="2:26" ht="10.5" customHeight="1" thickBot="1" x14ac:dyDescent="0.3"/>
    <row r="112" spans="2:26" ht="15" customHeight="1" thickBot="1" x14ac:dyDescent="0.3">
      <c r="J112" s="79" t="s">
        <v>2</v>
      </c>
      <c r="K112" s="79"/>
      <c r="L112" s="79"/>
      <c r="M112" s="80" t="str">
        <f>$M$4</f>
        <v>C1004</v>
      </c>
      <c r="N112" s="80"/>
      <c r="O112" s="80"/>
      <c r="P112" s="80"/>
    </row>
    <row r="113" spans="2:26" s="15" customFormat="1" ht="15" customHeight="1" thickBot="1" x14ac:dyDescent="0.3">
      <c r="I113" s="79" t="s">
        <v>4</v>
      </c>
      <c r="J113" s="79"/>
      <c r="K113" s="79"/>
      <c r="L113" s="79"/>
      <c r="M113" s="80"/>
      <c r="N113" s="80"/>
      <c r="O113" s="80"/>
      <c r="P113" s="80"/>
      <c r="Q113" s="82"/>
      <c r="R113" s="82"/>
      <c r="S113" s="82"/>
      <c r="T113" s="82"/>
      <c r="U113" s="82"/>
      <c r="V113" s="82"/>
    </row>
    <row r="114" spans="2:26" s="15" customFormat="1" ht="17.100000000000001" customHeight="1" thickBot="1" x14ac:dyDescent="0.3"/>
    <row r="115" spans="2:26" s="15" customFormat="1" ht="15" customHeight="1" thickBot="1" x14ac:dyDescent="0.3">
      <c r="C115" s="83" t="s">
        <v>66</v>
      </c>
      <c r="D115" s="83"/>
      <c r="E115" s="83"/>
      <c r="F115" s="83"/>
      <c r="G115" s="83"/>
      <c r="H115" s="83"/>
      <c r="I115" s="83"/>
      <c r="J115" s="83"/>
      <c r="K115" s="83"/>
      <c r="L115" s="84"/>
      <c r="M115" s="102" t="s">
        <v>532</v>
      </c>
      <c r="N115" s="102"/>
      <c r="O115" s="102"/>
      <c r="P115" s="102"/>
      <c r="Q115" s="102"/>
      <c r="R115" s="102"/>
      <c r="S115" s="102"/>
      <c r="T115" s="60"/>
      <c r="U115" s="60"/>
      <c r="V115" s="60"/>
      <c r="W115" s="60"/>
      <c r="X115" s="23"/>
    </row>
    <row r="116" spans="2:26" s="15" customFormat="1" ht="10.5" customHeight="1" thickBot="1" x14ac:dyDescent="0.3"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2:26" s="15" customFormat="1" ht="21" customHeight="1" thickBot="1" x14ac:dyDescent="0.25">
      <c r="B117" s="103" t="s">
        <v>67</v>
      </c>
      <c r="C117" s="104"/>
      <c r="D117" s="105"/>
      <c r="E117" s="104"/>
      <c r="F117" s="104"/>
      <c r="G117" s="104"/>
      <c r="H117" s="104"/>
      <c r="I117" s="104"/>
      <c r="J117" s="104"/>
      <c r="K117" s="106"/>
      <c r="L117" s="104"/>
      <c r="M117" s="104"/>
      <c r="N117" s="104"/>
      <c r="O117" s="107"/>
      <c r="P117" s="107"/>
      <c r="Q117" s="108"/>
      <c r="R117" s="108"/>
      <c r="S117" s="107"/>
      <c r="T117" s="107"/>
      <c r="U117" s="104"/>
      <c r="V117" s="35" t="s">
        <v>8</v>
      </c>
      <c r="W117" s="35" t="s">
        <v>9</v>
      </c>
      <c r="X117" s="35" t="s">
        <v>10</v>
      </c>
      <c r="Y117" s="7" t="s">
        <v>11</v>
      </c>
      <c r="Z117" s="35" t="s">
        <v>12</v>
      </c>
    </row>
    <row r="118" spans="2:26" s="15" customFormat="1" ht="16.350000000000001" customHeight="1" thickBot="1" x14ac:dyDescent="0.3">
      <c r="B118" s="8"/>
      <c r="C118" s="12" t="s">
        <v>1028</v>
      </c>
      <c r="D118" s="171" t="s">
        <v>1004</v>
      </c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4" t="s">
        <v>76</v>
      </c>
      <c r="W118" s="14"/>
      <c r="X118" s="14"/>
      <c r="Y118" s="14"/>
      <c r="Z118" s="14"/>
    </row>
    <row r="119" spans="2:26" s="15" customFormat="1" ht="16.350000000000001" customHeight="1" thickBot="1" x14ac:dyDescent="0.25">
      <c r="B119" s="8"/>
      <c r="C119" s="8" t="s">
        <v>1029</v>
      </c>
      <c r="D119" s="162" t="s">
        <v>1030</v>
      </c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9" t="s">
        <v>76</v>
      </c>
      <c r="W119" s="14"/>
      <c r="X119" s="14"/>
      <c r="Y119" s="14"/>
      <c r="Z119" s="14"/>
    </row>
    <row r="120" spans="2:26" s="15" customFormat="1" ht="16.350000000000001" customHeight="1" thickBot="1" x14ac:dyDescent="0.25">
      <c r="B120" s="8"/>
      <c r="C120" s="3"/>
      <c r="D120" s="162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9"/>
      <c r="W120" s="14"/>
      <c r="X120" s="14"/>
      <c r="Y120" s="14"/>
      <c r="Z120" s="14"/>
    </row>
    <row r="121" spans="2:26" s="15" customFormat="1" ht="16.350000000000001" customHeight="1" thickBot="1" x14ac:dyDescent="0.3">
      <c r="B121" s="8"/>
      <c r="C121" s="3"/>
      <c r="D121" s="173" t="s">
        <v>1031</v>
      </c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9"/>
      <c r="W121" s="14"/>
      <c r="X121" s="14"/>
      <c r="Y121" s="14"/>
      <c r="Z121" s="14"/>
    </row>
    <row r="122" spans="2:26" s="15" customFormat="1" ht="16.350000000000001" customHeight="1" thickBot="1" x14ac:dyDescent="0.3">
      <c r="B122" s="8"/>
      <c r="C122" s="3">
        <v>66</v>
      </c>
      <c r="D122" s="70" t="s">
        <v>587</v>
      </c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2"/>
      <c r="V122" s="9" t="s">
        <v>76</v>
      </c>
      <c r="W122" s="14"/>
      <c r="X122" s="14"/>
      <c r="Y122" s="14"/>
      <c r="Z122" s="14"/>
    </row>
    <row r="123" spans="2:26" s="15" customFormat="1" ht="16.350000000000001" customHeight="1" thickBot="1" x14ac:dyDescent="0.25">
      <c r="B123" s="8"/>
      <c r="C123" s="3">
        <v>67</v>
      </c>
      <c r="D123" s="162" t="s">
        <v>1032</v>
      </c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9" t="s">
        <v>76</v>
      </c>
      <c r="W123" s="14"/>
      <c r="X123" s="14"/>
      <c r="Y123" s="14"/>
      <c r="Z123" s="14"/>
    </row>
    <row r="124" spans="2:26" s="15" customFormat="1" ht="16.350000000000001" customHeight="1" thickBot="1" x14ac:dyDescent="0.25">
      <c r="B124" s="8"/>
      <c r="C124" s="3">
        <v>68</v>
      </c>
      <c r="D124" s="162" t="s">
        <v>1033</v>
      </c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9" t="s">
        <v>22</v>
      </c>
      <c r="W124" s="14"/>
      <c r="X124" s="14"/>
      <c r="Y124" s="14"/>
      <c r="Z124" s="14"/>
    </row>
    <row r="125" spans="2:26" ht="16.350000000000001" customHeight="1" thickBot="1" x14ac:dyDescent="0.3">
      <c r="B125" s="8"/>
      <c r="C125" s="3">
        <v>69</v>
      </c>
      <c r="D125" s="162" t="s">
        <v>1034</v>
      </c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9" t="s">
        <v>22</v>
      </c>
      <c r="W125" s="14"/>
      <c r="X125" s="14"/>
      <c r="Y125" s="14"/>
      <c r="Z125" s="14"/>
    </row>
    <row r="126" spans="2:26" s="15" customFormat="1" ht="16.350000000000001" customHeight="1" thickBot="1" x14ac:dyDescent="0.25">
      <c r="B126" s="8"/>
      <c r="C126" s="3">
        <v>70</v>
      </c>
      <c r="D126" s="162" t="s">
        <v>1035</v>
      </c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9" t="s">
        <v>22</v>
      </c>
      <c r="W126" s="14"/>
      <c r="X126" s="14"/>
      <c r="Y126" s="14"/>
      <c r="Z126" s="14"/>
    </row>
    <row r="127" spans="2:26" s="15" customFormat="1" ht="16.350000000000001" customHeight="1" thickBot="1" x14ac:dyDescent="0.25">
      <c r="B127" s="8"/>
      <c r="C127" s="3">
        <v>71</v>
      </c>
      <c r="D127" s="162" t="s">
        <v>1036</v>
      </c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9" t="s">
        <v>882</v>
      </c>
      <c r="W127" s="14"/>
      <c r="X127" s="14"/>
      <c r="Y127" s="14"/>
      <c r="Z127" s="14"/>
    </row>
    <row r="128" spans="2:26" s="15" customFormat="1" ht="16.350000000000001" customHeight="1" thickBot="1" x14ac:dyDescent="0.25">
      <c r="B128" s="8"/>
      <c r="C128" s="3">
        <v>72</v>
      </c>
      <c r="D128" s="162" t="s">
        <v>1037</v>
      </c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9" t="s">
        <v>22</v>
      </c>
      <c r="W128" s="14"/>
      <c r="X128" s="14"/>
      <c r="Y128" s="14"/>
      <c r="Z128" s="14"/>
    </row>
    <row r="129" spans="2:26" s="15" customFormat="1" ht="16.350000000000001" customHeight="1" thickBot="1" x14ac:dyDescent="0.25">
      <c r="B129" s="8"/>
      <c r="C129" s="8" t="s">
        <v>1038</v>
      </c>
      <c r="D129" s="162" t="s">
        <v>1008</v>
      </c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9" t="s">
        <v>22</v>
      </c>
      <c r="W129" s="14"/>
      <c r="X129" s="14"/>
      <c r="Y129" s="14"/>
      <c r="Z129" s="14"/>
    </row>
    <row r="130" spans="2:26" s="15" customFormat="1" ht="16.350000000000001" customHeight="1" thickBot="1" x14ac:dyDescent="0.25">
      <c r="B130" s="8"/>
      <c r="C130" s="3">
        <v>74</v>
      </c>
      <c r="D130" s="162" t="s">
        <v>1039</v>
      </c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9" t="s">
        <v>22</v>
      </c>
      <c r="W130" s="14"/>
      <c r="X130" s="14"/>
      <c r="Y130" s="14"/>
      <c r="Z130" s="14"/>
    </row>
    <row r="131" spans="2:26" s="15" customFormat="1" ht="16.350000000000001" customHeight="1" thickBot="1" x14ac:dyDescent="0.3">
      <c r="B131" s="8"/>
      <c r="C131" s="3">
        <v>75</v>
      </c>
      <c r="D131" s="176" t="s">
        <v>1040</v>
      </c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8"/>
      <c r="V131" s="9" t="s">
        <v>22</v>
      </c>
      <c r="W131" s="14"/>
      <c r="X131" s="14"/>
      <c r="Y131" s="14"/>
      <c r="Z131" s="14"/>
    </row>
    <row r="132" spans="2:26" ht="15.75" thickBot="1" x14ac:dyDescent="0.3">
      <c r="B132" s="8"/>
      <c r="C132" s="3">
        <v>76</v>
      </c>
      <c r="D132" s="70" t="s">
        <v>1041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 t="s">
        <v>22</v>
      </c>
      <c r="W132" s="14"/>
      <c r="X132" s="14"/>
      <c r="Y132" s="14"/>
      <c r="Z132" s="14"/>
    </row>
    <row r="133" spans="2:26" s="15" customFormat="1" ht="16.350000000000001" customHeight="1" thickBot="1" x14ac:dyDescent="0.3">
      <c r="B133" s="8"/>
      <c r="C133" s="3">
        <v>77</v>
      </c>
      <c r="D133" s="70" t="s">
        <v>1042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 t="s">
        <v>22</v>
      </c>
      <c r="W133" s="14"/>
      <c r="X133" s="14"/>
      <c r="Y133" s="14"/>
      <c r="Z133" s="14"/>
    </row>
    <row r="134" spans="2:26" s="15" customFormat="1" ht="16.350000000000001" customHeight="1" thickBot="1" x14ac:dyDescent="0.3">
      <c r="B134" s="8"/>
      <c r="C134" s="3"/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/>
      <c r="W134" s="14"/>
      <c r="X134" s="14"/>
      <c r="Y134" s="14"/>
      <c r="Z134" s="14"/>
    </row>
    <row r="135" spans="2:26" s="15" customFormat="1" ht="16.350000000000001" customHeight="1" thickBot="1" x14ac:dyDescent="0.3">
      <c r="B135" s="8"/>
      <c r="C135" s="3"/>
      <c r="D135" s="173" t="s">
        <v>1043</v>
      </c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9"/>
      <c r="W135" s="14"/>
      <c r="X135" s="14"/>
      <c r="Y135" s="14"/>
      <c r="Z135" s="14"/>
    </row>
    <row r="136" spans="2:26" s="15" customFormat="1" ht="16.350000000000001" customHeight="1" thickBot="1" x14ac:dyDescent="0.3">
      <c r="B136" s="8"/>
      <c r="C136" s="3">
        <v>78</v>
      </c>
      <c r="D136" s="70" t="s">
        <v>1044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 t="s">
        <v>841</v>
      </c>
      <c r="W136" s="14"/>
      <c r="X136" s="14"/>
      <c r="Y136" s="14"/>
      <c r="Z136" s="14"/>
    </row>
    <row r="137" spans="2:26" s="15" customFormat="1" ht="16.350000000000001" customHeight="1" thickBot="1" x14ac:dyDescent="0.3">
      <c r="B137" s="8"/>
      <c r="C137" s="3">
        <v>79</v>
      </c>
      <c r="D137" s="70" t="s">
        <v>1045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 t="s">
        <v>841</v>
      </c>
      <c r="W137" s="14"/>
      <c r="X137" s="14"/>
      <c r="Y137" s="14"/>
      <c r="Z137" s="14"/>
    </row>
    <row r="138" spans="2:26" s="15" customFormat="1" ht="16.350000000000001" customHeight="1" thickBot="1" x14ac:dyDescent="0.3">
      <c r="B138" s="8"/>
      <c r="C138" s="3">
        <v>80</v>
      </c>
      <c r="D138" s="70" t="s">
        <v>1004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 t="s">
        <v>1046</v>
      </c>
      <c r="W138" s="14"/>
      <c r="X138" s="14"/>
      <c r="Y138" s="14"/>
      <c r="Z138" s="14"/>
    </row>
    <row r="139" spans="2:26" s="15" customFormat="1" ht="16.350000000000001" customHeight="1" thickBot="1" x14ac:dyDescent="0.3">
      <c r="B139" s="8"/>
      <c r="C139" s="3">
        <v>81</v>
      </c>
      <c r="D139" s="70" t="s">
        <v>1002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 t="s">
        <v>76</v>
      </c>
      <c r="W139" s="14"/>
      <c r="X139" s="14"/>
      <c r="Y139" s="14"/>
      <c r="Z139" s="14"/>
    </row>
    <row r="140" spans="2:26" s="15" customFormat="1" ht="16.350000000000001" customHeight="1" thickBot="1" x14ac:dyDescent="0.3">
      <c r="B140" s="8"/>
      <c r="C140" s="3">
        <v>82</v>
      </c>
      <c r="D140" s="70" t="s">
        <v>1008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 t="s">
        <v>22</v>
      </c>
      <c r="W140" s="14"/>
      <c r="X140" s="14"/>
      <c r="Y140" s="14"/>
      <c r="Z140" s="14"/>
    </row>
    <row r="141" spans="2:26" s="15" customFormat="1" ht="16.350000000000001" customHeight="1" thickBot="1" x14ac:dyDescent="0.3">
      <c r="B141" s="8"/>
      <c r="C141" s="3"/>
      <c r="D141" s="70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9"/>
      <c r="W141" s="14"/>
      <c r="X141" s="14"/>
      <c r="Y141" s="14"/>
      <c r="Z141" s="14"/>
    </row>
    <row r="142" spans="2:26" s="15" customFormat="1" ht="16.350000000000001" customHeight="1" thickBot="1" x14ac:dyDescent="0.3">
      <c r="B142" s="8"/>
      <c r="C142" s="3"/>
      <c r="D142" s="173" t="s">
        <v>1047</v>
      </c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9"/>
      <c r="W142" s="14"/>
      <c r="X142" s="14"/>
      <c r="Y142" s="14"/>
      <c r="Z142" s="14"/>
    </row>
    <row r="143" spans="2:26" s="15" customFormat="1" ht="16.350000000000001" customHeight="1" thickBot="1" x14ac:dyDescent="0.3">
      <c r="B143" s="8"/>
      <c r="C143" s="3">
        <v>83</v>
      </c>
      <c r="D143" s="176" t="s">
        <v>1048</v>
      </c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8"/>
      <c r="V143" s="9" t="s">
        <v>22</v>
      </c>
      <c r="W143" s="14"/>
      <c r="X143" s="14"/>
      <c r="Y143" s="14"/>
      <c r="Z143" s="14"/>
    </row>
    <row r="144" spans="2:26" s="15" customFormat="1" ht="16.350000000000001" customHeight="1" thickBot="1" x14ac:dyDescent="0.3">
      <c r="B144" s="8"/>
      <c r="C144" s="3">
        <v>84</v>
      </c>
      <c r="D144" s="70" t="s">
        <v>1049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 t="s">
        <v>1050</v>
      </c>
      <c r="W144" s="14"/>
      <c r="X144" s="14"/>
      <c r="Y144" s="14"/>
      <c r="Z144" s="14"/>
    </row>
    <row r="145" spans="2:26" s="15" customFormat="1" ht="16.350000000000001" customHeight="1" thickBot="1" x14ac:dyDescent="0.3">
      <c r="B145" s="8"/>
      <c r="C145" s="3">
        <v>85</v>
      </c>
      <c r="D145" s="70" t="s">
        <v>1051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 t="s">
        <v>22</v>
      </c>
      <c r="W145" s="14"/>
      <c r="X145" s="14"/>
      <c r="Y145" s="14"/>
      <c r="Z145" s="14"/>
    </row>
    <row r="146" spans="2:26" s="15" customFormat="1" ht="16.350000000000001" customHeight="1" thickBot="1" x14ac:dyDescent="0.3">
      <c r="B146" s="8"/>
      <c r="C146" s="3">
        <v>86</v>
      </c>
      <c r="D146" s="176" t="s">
        <v>1052</v>
      </c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8"/>
      <c r="V146" s="9" t="s">
        <v>1053</v>
      </c>
      <c r="W146" s="14"/>
      <c r="X146" s="14"/>
      <c r="Y146" s="14"/>
      <c r="Z146" s="14"/>
    </row>
    <row r="147" spans="2:26" s="15" customFormat="1" ht="16.350000000000001" customHeight="1" thickBot="1" x14ac:dyDescent="0.3">
      <c r="B147" s="8"/>
      <c r="C147" s="3">
        <v>87</v>
      </c>
      <c r="D147" s="70" t="s">
        <v>1054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 t="s">
        <v>76</v>
      </c>
      <c r="W147" s="14"/>
      <c r="X147" s="14"/>
      <c r="Y147" s="14"/>
      <c r="Z147" s="14"/>
    </row>
    <row r="148" spans="2:26" s="15" customFormat="1" ht="16.350000000000001" customHeight="1" thickBot="1" x14ac:dyDescent="0.3">
      <c r="B148" s="8"/>
      <c r="C148" s="3"/>
      <c r="D148" s="70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9"/>
      <c r="W148" s="14"/>
      <c r="X148" s="14"/>
      <c r="Y148" s="14"/>
      <c r="Z148" s="14"/>
    </row>
    <row r="149" spans="2:26" s="15" customFormat="1" ht="16.350000000000001" customHeight="1" thickBot="1" x14ac:dyDescent="0.3">
      <c r="B149" s="8"/>
      <c r="C149" s="3"/>
      <c r="D149" s="173" t="s">
        <v>1055</v>
      </c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9"/>
      <c r="W149" s="14"/>
      <c r="X149" s="14"/>
      <c r="Y149" s="14"/>
      <c r="Z149" s="14"/>
    </row>
    <row r="150" spans="2:26" s="15" customFormat="1" ht="16.350000000000001" customHeight="1" thickBot="1" x14ac:dyDescent="0.3">
      <c r="B150" s="8"/>
      <c r="C150" s="3">
        <v>88</v>
      </c>
      <c r="D150" s="70" t="s">
        <v>1056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 t="s">
        <v>834</v>
      </c>
      <c r="W150" s="14"/>
      <c r="X150" s="14"/>
      <c r="Y150" s="14"/>
      <c r="Z150" s="14"/>
    </row>
    <row r="151" spans="2:26" s="15" customFormat="1" ht="16.350000000000001" customHeight="1" thickBot="1" x14ac:dyDescent="0.25">
      <c r="B151" s="8"/>
      <c r="C151" s="3">
        <v>80</v>
      </c>
      <c r="D151" s="162" t="s">
        <v>1004</v>
      </c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9" t="s">
        <v>76</v>
      </c>
      <c r="W151" s="14"/>
      <c r="X151" s="14"/>
      <c r="Y151" s="14"/>
      <c r="Z151" s="14"/>
    </row>
    <row r="152" spans="2:26" s="15" customFormat="1" ht="16.350000000000001" customHeight="1" thickBot="1" x14ac:dyDescent="0.25">
      <c r="B152" s="8"/>
      <c r="C152" s="3">
        <v>90</v>
      </c>
      <c r="D152" s="162" t="s">
        <v>1002</v>
      </c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9" t="s">
        <v>76</v>
      </c>
      <c r="W152" s="14"/>
      <c r="X152" s="14"/>
      <c r="Y152" s="14"/>
      <c r="Z152" s="14"/>
    </row>
    <row r="153" spans="2:26" s="15" customFormat="1" ht="16.350000000000001" customHeight="1" thickBot="1" x14ac:dyDescent="0.25">
      <c r="B153" s="8"/>
      <c r="C153" s="3">
        <v>91</v>
      </c>
      <c r="D153" s="162" t="s">
        <v>1014</v>
      </c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9" t="s">
        <v>834</v>
      </c>
      <c r="W153" s="14"/>
      <c r="X153" s="14"/>
      <c r="Y153" s="14"/>
      <c r="Z153" s="14"/>
    </row>
    <row r="154" spans="2:26" s="15" customFormat="1" ht="16.350000000000001" customHeight="1" thickBot="1" x14ac:dyDescent="0.25">
      <c r="B154" s="8"/>
      <c r="C154" s="3"/>
      <c r="D154" s="162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9"/>
      <c r="W154" s="14"/>
      <c r="X154" s="14"/>
      <c r="Y154" s="14"/>
      <c r="Z154" s="14"/>
    </row>
    <row r="155" spans="2:26" s="15" customFormat="1" ht="16.350000000000001" customHeight="1" thickBot="1" x14ac:dyDescent="0.25">
      <c r="B155" s="8"/>
      <c r="C155" s="3"/>
      <c r="D155" s="165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4"/>
      <c r="W155" s="14"/>
      <c r="X155" s="14"/>
      <c r="Y155" s="14"/>
      <c r="Z155" s="14"/>
    </row>
    <row r="156" spans="2:26" ht="15" customHeight="1" x14ac:dyDescent="0.25">
      <c r="B156" s="167" t="s">
        <v>98</v>
      </c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</row>
    <row r="157" spans="2:26" x14ac:dyDescent="0.25">
      <c r="B157" s="20"/>
      <c r="C157" s="21"/>
      <c r="O157" s="22"/>
      <c r="P157" s="22"/>
      <c r="Q157" s="23"/>
      <c r="R157" s="23"/>
      <c r="S157" s="22"/>
      <c r="T157" s="22"/>
    </row>
    <row r="158" spans="2:26" ht="15.75" thickBot="1" x14ac:dyDescent="0.3">
      <c r="B158" s="57" t="s">
        <v>61</v>
      </c>
      <c r="C158" s="57"/>
      <c r="D158" s="57"/>
      <c r="E158" s="57"/>
      <c r="F158" s="57"/>
      <c r="G158" s="57"/>
      <c r="H158" s="57"/>
      <c r="I158" s="57"/>
      <c r="J158" s="57"/>
      <c r="K158" s="64"/>
      <c r="L158" s="62"/>
      <c r="M158" s="62"/>
      <c r="N158" s="62"/>
      <c r="O158" s="59"/>
      <c r="P158" s="59"/>
      <c r="Q158" s="60"/>
      <c r="R158" s="60"/>
      <c r="S158" s="65"/>
      <c r="T158" s="65"/>
    </row>
    <row r="159" spans="2:26" ht="15" customHeight="1" x14ac:dyDescent="0.25">
      <c r="C159" s="29"/>
      <c r="I159" s="30"/>
      <c r="O159" s="65"/>
      <c r="P159" s="65"/>
      <c r="Q159" s="60"/>
      <c r="R159" s="60"/>
      <c r="S159" s="65"/>
      <c r="T159" s="65"/>
    </row>
    <row r="160" spans="2:26" ht="15.75" thickBot="1" x14ac:dyDescent="0.3">
      <c r="B160" s="57" t="s">
        <v>62</v>
      </c>
      <c r="C160" s="57"/>
      <c r="D160" s="79"/>
      <c r="E160" s="79"/>
      <c r="F160" s="79"/>
      <c r="G160" s="79"/>
      <c r="H160" s="79"/>
      <c r="I160" s="79"/>
      <c r="J160" s="79"/>
      <c r="K160" s="58" t="s">
        <v>532</v>
      </c>
      <c r="L160" s="58"/>
      <c r="M160" s="58"/>
      <c r="N160" s="58"/>
      <c r="O160" s="59"/>
      <c r="P160" s="59"/>
      <c r="Q160" s="94"/>
      <c r="R160" s="94"/>
      <c r="S160" s="79" t="s">
        <v>63</v>
      </c>
      <c r="T160" s="79"/>
      <c r="U160" s="79"/>
      <c r="V160" s="93"/>
      <c r="W160" s="93"/>
      <c r="X160" s="93"/>
      <c r="Y160" s="93"/>
    </row>
    <row r="161" spans="2:26" ht="15" customHeight="1" x14ac:dyDescent="0.25"/>
    <row r="162" spans="2:26" ht="15" customHeight="1" thickBot="1" x14ac:dyDescent="0.3"/>
    <row r="163" spans="2:26" ht="15" customHeight="1" thickBot="1" x14ac:dyDescent="0.3">
      <c r="E163" s="80" t="s">
        <v>64</v>
      </c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92" t="s">
        <v>126</v>
      </c>
      <c r="X163" s="79"/>
      <c r="Y163" s="79"/>
      <c r="Z163" s="79"/>
    </row>
    <row r="164" spans="2:26" ht="15" customHeight="1" thickBot="1" x14ac:dyDescent="0.3"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</row>
    <row r="165" spans="2:26" ht="10.5" customHeight="1" thickBot="1" x14ac:dyDescent="0.3"/>
    <row r="166" spans="2:26" ht="15" customHeight="1" thickBot="1" x14ac:dyDescent="0.3">
      <c r="J166" s="79" t="s">
        <v>2</v>
      </c>
      <c r="K166" s="79"/>
      <c r="L166" s="79"/>
      <c r="M166" s="80" t="str">
        <f>$M$4</f>
        <v>C1004</v>
      </c>
      <c r="N166" s="80"/>
      <c r="O166" s="80"/>
      <c r="P166" s="80"/>
    </row>
    <row r="167" spans="2:26" s="15" customFormat="1" ht="15" customHeight="1" thickBot="1" x14ac:dyDescent="0.3">
      <c r="I167" s="79" t="s">
        <v>4</v>
      </c>
      <c r="J167" s="79"/>
      <c r="K167" s="79"/>
      <c r="L167" s="79"/>
      <c r="M167" s="80"/>
      <c r="N167" s="80"/>
      <c r="O167" s="80"/>
      <c r="P167" s="80"/>
      <c r="Q167" s="82"/>
      <c r="R167" s="82"/>
      <c r="S167" s="82"/>
      <c r="T167" s="82"/>
      <c r="U167" s="82"/>
      <c r="V167" s="82"/>
    </row>
    <row r="168" spans="2:26" s="15" customFormat="1" ht="8.25" customHeight="1" thickBot="1" x14ac:dyDescent="0.3">
      <c r="M168" s="38"/>
      <c r="N168" s="38"/>
      <c r="O168" s="38"/>
      <c r="P168" s="38"/>
    </row>
    <row r="169" spans="2:26" s="15" customFormat="1" ht="15" customHeight="1" thickBot="1" x14ac:dyDescent="0.3">
      <c r="C169" s="83" t="s">
        <v>66</v>
      </c>
      <c r="D169" s="83"/>
      <c r="E169" s="83"/>
      <c r="F169" s="83"/>
      <c r="G169" s="83"/>
      <c r="H169" s="83"/>
      <c r="I169" s="83"/>
      <c r="J169" s="83"/>
      <c r="K169" s="83"/>
      <c r="L169" s="84"/>
      <c r="M169" s="102" t="s">
        <v>532</v>
      </c>
      <c r="N169" s="102"/>
      <c r="O169" s="102"/>
      <c r="P169" s="102"/>
      <c r="Q169" s="102"/>
      <c r="R169" s="102"/>
      <c r="S169" s="102"/>
      <c r="T169" s="60"/>
      <c r="U169" s="60"/>
      <c r="V169" s="60"/>
      <c r="W169" s="60"/>
      <c r="X169" s="23"/>
    </row>
    <row r="170" spans="2:26" s="15" customFormat="1" ht="10.5" customHeight="1" thickBot="1" x14ac:dyDescent="0.3"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2:26" s="15" customFormat="1" ht="21" customHeight="1" thickBot="1" x14ac:dyDescent="0.25">
      <c r="B171" s="103" t="s">
        <v>67</v>
      </c>
      <c r="C171" s="104"/>
      <c r="D171" s="105"/>
      <c r="E171" s="104"/>
      <c r="F171" s="104"/>
      <c r="G171" s="104"/>
      <c r="H171" s="104"/>
      <c r="I171" s="104"/>
      <c r="J171" s="104"/>
      <c r="K171" s="106"/>
      <c r="L171" s="104"/>
      <c r="M171" s="104"/>
      <c r="N171" s="104"/>
      <c r="O171" s="107"/>
      <c r="P171" s="107"/>
      <c r="Q171" s="108"/>
      <c r="R171" s="108"/>
      <c r="S171" s="107"/>
      <c r="T171" s="107"/>
      <c r="U171" s="104"/>
      <c r="V171" s="35" t="s">
        <v>8</v>
      </c>
      <c r="W171" s="35" t="s">
        <v>9</v>
      </c>
      <c r="X171" s="35" t="s">
        <v>10</v>
      </c>
      <c r="Y171" s="7" t="s">
        <v>11</v>
      </c>
      <c r="Z171" s="35" t="s">
        <v>12</v>
      </c>
    </row>
    <row r="172" spans="2:26" s="15" customFormat="1" ht="16.350000000000001" customHeight="1" thickBot="1" x14ac:dyDescent="0.3">
      <c r="B172" s="8"/>
      <c r="C172" s="12"/>
      <c r="D172" s="109" t="s">
        <v>1057</v>
      </c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4"/>
      <c r="W172" s="14"/>
      <c r="X172" s="14"/>
      <c r="Y172" s="14"/>
      <c r="Z172" s="14"/>
    </row>
    <row r="173" spans="2:26" s="15" customFormat="1" ht="16.350000000000001" customHeight="1" thickBot="1" x14ac:dyDescent="0.25">
      <c r="B173" s="8"/>
      <c r="C173" s="8" t="s">
        <v>1058</v>
      </c>
      <c r="D173" s="165" t="s">
        <v>1008</v>
      </c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0" t="s">
        <v>1059</v>
      </c>
      <c r="W173" s="14"/>
      <c r="X173" s="14"/>
      <c r="Y173" s="14"/>
      <c r="Z173" s="14"/>
    </row>
    <row r="174" spans="2:26" s="15" customFormat="1" ht="16.350000000000001" customHeight="1" thickBot="1" x14ac:dyDescent="0.25">
      <c r="B174" s="8"/>
      <c r="C174" s="3">
        <v>93</v>
      </c>
      <c r="D174" s="165" t="s">
        <v>1060</v>
      </c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0" t="s">
        <v>1059</v>
      </c>
      <c r="W174" s="14"/>
      <c r="X174" s="14"/>
      <c r="Y174" s="14"/>
      <c r="Z174" s="14"/>
    </row>
    <row r="175" spans="2:26" s="15" customFormat="1" ht="16.350000000000001" customHeight="1" thickBot="1" x14ac:dyDescent="0.25">
      <c r="B175" s="8"/>
      <c r="C175" s="3">
        <v>94</v>
      </c>
      <c r="D175" s="165" t="s">
        <v>1061</v>
      </c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0" t="s">
        <v>1059</v>
      </c>
      <c r="W175" s="14"/>
      <c r="X175" s="14"/>
      <c r="Y175" s="14"/>
      <c r="Z175" s="14"/>
    </row>
    <row r="176" spans="2:26" s="15" customFormat="1" ht="16.350000000000001" customHeight="1" thickBot="1" x14ac:dyDescent="0.25">
      <c r="B176" s="8"/>
      <c r="C176" s="3">
        <v>95</v>
      </c>
      <c r="D176" s="165" t="s">
        <v>1062</v>
      </c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0" t="s">
        <v>1063</v>
      </c>
      <c r="W176" s="14"/>
      <c r="X176" s="14"/>
      <c r="Y176" s="14"/>
      <c r="Z176" s="14"/>
    </row>
    <row r="177" spans="2:26" s="15" customFormat="1" ht="16.350000000000001" customHeight="1" thickBot="1" x14ac:dyDescent="0.25">
      <c r="B177" s="8"/>
      <c r="C177" s="3">
        <v>96</v>
      </c>
      <c r="D177" s="165" t="s">
        <v>998</v>
      </c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0" t="s">
        <v>76</v>
      </c>
      <c r="W177" s="14"/>
      <c r="X177" s="14"/>
      <c r="Y177" s="14"/>
      <c r="Z177" s="14"/>
    </row>
    <row r="178" spans="2:26" s="15" customFormat="1" ht="16.350000000000001" customHeight="1" thickBot="1" x14ac:dyDescent="0.25">
      <c r="B178" s="8"/>
      <c r="C178" s="3">
        <v>97</v>
      </c>
      <c r="D178" s="162" t="s">
        <v>1064</v>
      </c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0" t="s">
        <v>22</v>
      </c>
      <c r="W178" s="14"/>
      <c r="X178" s="14"/>
      <c r="Y178" s="14"/>
      <c r="Z178" s="14"/>
    </row>
    <row r="179" spans="2:26" ht="16.350000000000001" customHeight="1" thickBot="1" x14ac:dyDescent="0.3">
      <c r="B179" s="8"/>
      <c r="C179" s="3">
        <v>98</v>
      </c>
      <c r="D179" s="165" t="s">
        <v>1065</v>
      </c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0"/>
      <c r="W179" s="14"/>
      <c r="X179" s="14"/>
      <c r="Y179" s="14"/>
      <c r="Z179" s="14"/>
    </row>
    <row r="180" spans="2:26" s="15" customFormat="1" ht="16.350000000000001" customHeight="1" thickBot="1" x14ac:dyDescent="0.25">
      <c r="B180" s="8"/>
      <c r="C180" s="3"/>
      <c r="D180" s="165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0"/>
      <c r="W180" s="14"/>
      <c r="X180" s="14"/>
      <c r="Y180" s="14"/>
      <c r="Z180" s="14"/>
    </row>
    <row r="181" spans="2:26" s="15" customFormat="1" ht="16.350000000000001" customHeight="1" thickBot="1" x14ac:dyDescent="0.3">
      <c r="B181" s="8"/>
      <c r="C181" s="3"/>
      <c r="D181" s="173" t="s">
        <v>127</v>
      </c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0"/>
      <c r="W181" s="14"/>
      <c r="X181" s="14"/>
      <c r="Y181" s="14"/>
      <c r="Z181" s="14"/>
    </row>
    <row r="182" spans="2:26" s="15" customFormat="1" ht="16.350000000000001" customHeight="1" thickBot="1" x14ac:dyDescent="0.25">
      <c r="B182" s="8"/>
      <c r="C182" s="3">
        <v>99</v>
      </c>
      <c r="D182" s="162" t="s">
        <v>1066</v>
      </c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0" t="s">
        <v>72</v>
      </c>
      <c r="W182" s="14"/>
      <c r="X182" s="14"/>
      <c r="Y182" s="14"/>
      <c r="Z182" s="14"/>
    </row>
    <row r="183" spans="2:26" s="15" customFormat="1" ht="15.95" customHeight="1" thickBot="1" x14ac:dyDescent="0.25">
      <c r="B183" s="8"/>
      <c r="C183" s="3">
        <v>100</v>
      </c>
      <c r="D183" s="162" t="s">
        <v>1067</v>
      </c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0" t="s">
        <v>72</v>
      </c>
      <c r="W183" s="14"/>
      <c r="X183" s="14"/>
      <c r="Y183" s="14"/>
      <c r="Z183" s="14"/>
    </row>
    <row r="184" spans="2:26" s="15" customFormat="1" ht="16.350000000000001" customHeight="1" thickBot="1" x14ac:dyDescent="0.25">
      <c r="B184" s="8"/>
      <c r="C184" s="3">
        <v>101</v>
      </c>
      <c r="D184" s="165" t="s">
        <v>1068</v>
      </c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0" t="s">
        <v>72</v>
      </c>
      <c r="W184" s="14"/>
      <c r="X184" s="14"/>
      <c r="Y184" s="14"/>
      <c r="Z184" s="14"/>
    </row>
    <row r="185" spans="2:26" s="15" customFormat="1" ht="16.350000000000001" customHeight="1" thickBot="1" x14ac:dyDescent="0.25">
      <c r="B185" s="8"/>
      <c r="C185" s="3">
        <v>102</v>
      </c>
      <c r="D185" s="162" t="s">
        <v>1069</v>
      </c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0" t="s">
        <v>129</v>
      </c>
      <c r="W185" s="14"/>
      <c r="X185" s="14"/>
      <c r="Y185" s="14"/>
      <c r="Z185" s="14"/>
    </row>
    <row r="186" spans="2:26" s="15" customFormat="1" ht="16.350000000000001" customHeight="1" thickBot="1" x14ac:dyDescent="0.25">
      <c r="B186" s="8"/>
      <c r="C186" s="3">
        <v>103</v>
      </c>
      <c r="D186" s="165" t="s">
        <v>1070</v>
      </c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0" t="s">
        <v>22</v>
      </c>
      <c r="W186" s="14"/>
      <c r="X186" s="14"/>
      <c r="Y186" s="14"/>
      <c r="Z186" s="14"/>
    </row>
    <row r="187" spans="2:26" s="15" customFormat="1" ht="16.350000000000001" customHeight="1" thickBot="1" x14ac:dyDescent="0.25">
      <c r="B187" s="8"/>
      <c r="C187" s="3">
        <v>104</v>
      </c>
      <c r="D187" s="165" t="s">
        <v>1071</v>
      </c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0" t="s">
        <v>22</v>
      </c>
      <c r="W187" s="14"/>
      <c r="X187" s="14"/>
      <c r="Y187" s="14"/>
      <c r="Z187" s="14"/>
    </row>
    <row r="188" spans="2:26" s="15" customFormat="1" ht="16.350000000000001" customHeight="1" thickBot="1" x14ac:dyDescent="0.3">
      <c r="B188" s="8"/>
      <c r="C188" s="3">
        <v>105</v>
      </c>
      <c r="D188" s="171" t="s">
        <v>1072</v>
      </c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0" t="s">
        <v>22</v>
      </c>
      <c r="W188" s="14"/>
      <c r="X188" s="14"/>
      <c r="Y188" s="14"/>
      <c r="Z188" s="14"/>
    </row>
    <row r="189" spans="2:26" s="15" customFormat="1" ht="16.350000000000001" customHeight="1" thickBot="1" x14ac:dyDescent="0.25">
      <c r="B189" s="8"/>
      <c r="C189" s="3">
        <v>106</v>
      </c>
      <c r="D189" s="162" t="s">
        <v>1060</v>
      </c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0" t="s">
        <v>22</v>
      </c>
      <c r="W189" s="14"/>
      <c r="X189" s="14"/>
      <c r="Y189" s="14"/>
      <c r="Z189" s="14"/>
    </row>
    <row r="190" spans="2:26" s="15" customFormat="1" ht="16.350000000000001" customHeight="1" thickBot="1" x14ac:dyDescent="0.25">
      <c r="B190" s="8"/>
      <c r="C190" s="8" t="s">
        <v>1073</v>
      </c>
      <c r="D190" s="162" t="s">
        <v>1074</v>
      </c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0" t="s">
        <v>22</v>
      </c>
      <c r="W190" s="14"/>
      <c r="X190" s="14"/>
      <c r="Y190" s="14"/>
      <c r="Z190" s="14"/>
    </row>
    <row r="191" spans="2:26" s="15" customFormat="1" ht="16.350000000000001" customHeight="1" thickBot="1" x14ac:dyDescent="0.25">
      <c r="B191" s="8"/>
      <c r="C191" s="3">
        <v>108</v>
      </c>
      <c r="D191" s="165" t="s">
        <v>1075</v>
      </c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0" t="s">
        <v>129</v>
      </c>
      <c r="W191" s="14"/>
      <c r="X191" s="14"/>
      <c r="Y191" s="14"/>
      <c r="Z191" s="14"/>
    </row>
    <row r="192" spans="2:26" s="15" customFormat="1" ht="16.350000000000001" customHeight="1" thickBot="1" x14ac:dyDescent="0.25">
      <c r="B192" s="8"/>
      <c r="C192" s="3">
        <v>109</v>
      </c>
      <c r="D192" s="162" t="s">
        <v>1076</v>
      </c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0" t="s">
        <v>22</v>
      </c>
      <c r="W192" s="14"/>
      <c r="X192" s="14"/>
      <c r="Y192" s="14"/>
      <c r="Z192" s="14"/>
    </row>
    <row r="193" spans="2:26" s="15" customFormat="1" ht="16.350000000000001" customHeight="1" thickBot="1" x14ac:dyDescent="0.25">
      <c r="B193" s="8"/>
      <c r="C193" s="3">
        <v>110</v>
      </c>
      <c r="D193" s="162" t="s">
        <v>1077</v>
      </c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0"/>
      <c r="W193" s="14"/>
      <c r="X193" s="14"/>
      <c r="Y193" s="14"/>
      <c r="Z193" s="14"/>
    </row>
    <row r="194" spans="2:26" s="15" customFormat="1" ht="16.350000000000001" customHeight="1" thickBot="1" x14ac:dyDescent="0.25">
      <c r="B194" s="8"/>
      <c r="C194" s="3"/>
      <c r="D194" s="165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0"/>
      <c r="W194" s="14"/>
      <c r="X194" s="14"/>
      <c r="Y194" s="14"/>
      <c r="Z194" s="14"/>
    </row>
    <row r="195" spans="2:26" s="15" customFormat="1" ht="16.350000000000001" customHeight="1" thickBot="1" x14ac:dyDescent="0.25">
      <c r="B195" s="8"/>
      <c r="C195" s="3"/>
      <c r="D195" s="169" t="s">
        <v>1078</v>
      </c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0"/>
      <c r="W195" s="14"/>
      <c r="X195" s="14"/>
      <c r="Y195" s="14"/>
      <c r="Z195" s="14"/>
    </row>
    <row r="196" spans="2:26" s="15" customFormat="1" ht="16.350000000000001" customHeight="1" thickBot="1" x14ac:dyDescent="0.25">
      <c r="B196" s="8"/>
      <c r="C196" s="3">
        <v>111</v>
      </c>
      <c r="D196" s="165" t="s">
        <v>1079</v>
      </c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0" t="s">
        <v>22</v>
      </c>
      <c r="W196" s="14"/>
      <c r="X196" s="14"/>
      <c r="Y196" s="14"/>
      <c r="Z196" s="14"/>
    </row>
    <row r="197" spans="2:26" s="15" customFormat="1" ht="16.350000000000001" customHeight="1" thickBot="1" x14ac:dyDescent="0.25">
      <c r="B197" s="8"/>
      <c r="C197" s="3">
        <v>112</v>
      </c>
      <c r="D197" s="162" t="s">
        <v>1080</v>
      </c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0" t="s">
        <v>22</v>
      </c>
      <c r="W197" s="14"/>
      <c r="X197" s="14"/>
      <c r="Y197" s="14"/>
      <c r="Z197" s="14"/>
    </row>
    <row r="198" spans="2:26" s="15" customFormat="1" ht="16.350000000000001" customHeight="1" thickBot="1" x14ac:dyDescent="0.25">
      <c r="B198" s="8"/>
      <c r="C198" s="3">
        <v>113</v>
      </c>
      <c r="D198" s="165" t="s">
        <v>1081</v>
      </c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0" t="s">
        <v>22</v>
      </c>
      <c r="W198" s="14"/>
      <c r="X198" s="14"/>
      <c r="Y198" s="14"/>
      <c r="Z198" s="14"/>
    </row>
    <row r="199" spans="2:26" s="15" customFormat="1" ht="16.350000000000001" customHeight="1" thickBot="1" x14ac:dyDescent="0.25">
      <c r="B199" s="8"/>
      <c r="C199" s="8" t="s">
        <v>1082</v>
      </c>
      <c r="D199" s="162" t="s">
        <v>1083</v>
      </c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0" t="s">
        <v>22</v>
      </c>
      <c r="W199" s="14"/>
      <c r="X199" s="14"/>
      <c r="Y199" s="14"/>
      <c r="Z199" s="14"/>
    </row>
    <row r="200" spans="2:26" s="15" customFormat="1" ht="16.350000000000001" customHeight="1" thickBot="1" x14ac:dyDescent="0.25">
      <c r="B200" s="8"/>
      <c r="C200" s="3">
        <v>115</v>
      </c>
      <c r="D200" s="162" t="s">
        <v>1084</v>
      </c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0" t="s">
        <v>76</v>
      </c>
      <c r="W200" s="14"/>
      <c r="X200" s="14"/>
      <c r="Y200" s="14"/>
      <c r="Z200" s="14"/>
    </row>
    <row r="201" spans="2:26" s="15" customFormat="1" ht="16.350000000000001" customHeight="1" thickBot="1" x14ac:dyDescent="0.25">
      <c r="B201" s="8"/>
      <c r="C201" s="3">
        <v>116</v>
      </c>
      <c r="D201" s="162" t="s">
        <v>1085</v>
      </c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0" t="s">
        <v>22</v>
      </c>
      <c r="W201" s="14"/>
      <c r="X201" s="14"/>
      <c r="Y201" s="14"/>
      <c r="Z201" s="14"/>
    </row>
    <row r="202" spans="2:26" s="15" customFormat="1" ht="16.350000000000001" customHeight="1" thickBot="1" x14ac:dyDescent="0.3">
      <c r="B202" s="8"/>
      <c r="C202" s="3">
        <v>117</v>
      </c>
      <c r="D202" s="168" t="s">
        <v>1086</v>
      </c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0" t="s">
        <v>22</v>
      </c>
      <c r="W202" s="14"/>
      <c r="X202" s="14"/>
      <c r="Y202" s="14"/>
      <c r="Z202" s="14"/>
    </row>
    <row r="203" spans="2:26" s="15" customFormat="1" ht="16.350000000000001" customHeight="1" thickBot="1" x14ac:dyDescent="0.25">
      <c r="B203" s="8"/>
      <c r="C203" s="3"/>
      <c r="D203" s="165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0"/>
      <c r="W203" s="14"/>
      <c r="X203" s="14"/>
      <c r="Y203" s="14"/>
      <c r="Z203" s="14"/>
    </row>
    <row r="204" spans="2:26" s="15" customFormat="1" ht="16.350000000000001" customHeight="1" thickBot="1" x14ac:dyDescent="0.25">
      <c r="B204" s="8"/>
      <c r="C204" s="3"/>
      <c r="D204" s="165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0"/>
      <c r="W204" s="14"/>
      <c r="X204" s="14"/>
      <c r="Y204" s="14"/>
      <c r="Z204" s="14"/>
    </row>
    <row r="205" spans="2:26" s="15" customFormat="1" ht="16.350000000000001" customHeight="1" thickBot="1" x14ac:dyDescent="0.25">
      <c r="B205" s="8"/>
      <c r="C205" s="3"/>
      <c r="D205" s="165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0"/>
      <c r="W205" s="14"/>
      <c r="X205" s="14"/>
      <c r="Y205" s="14"/>
      <c r="Z205" s="14"/>
    </row>
    <row r="206" spans="2:26" s="15" customFormat="1" ht="16.350000000000001" customHeight="1" thickBot="1" x14ac:dyDescent="0.25">
      <c r="B206" s="8"/>
      <c r="C206" s="8"/>
      <c r="D206" s="165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0"/>
      <c r="W206" s="14"/>
      <c r="X206" s="14"/>
      <c r="Y206" s="14"/>
      <c r="Z206" s="14"/>
    </row>
    <row r="207" spans="2:26" s="15" customFormat="1" ht="16.350000000000001" customHeight="1" thickBot="1" x14ac:dyDescent="0.25">
      <c r="B207" s="8"/>
      <c r="C207" s="8"/>
      <c r="D207" s="165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0"/>
      <c r="W207" s="14"/>
      <c r="X207" s="14"/>
      <c r="Y207" s="14"/>
      <c r="Z207" s="14"/>
    </row>
    <row r="208" spans="2:26" s="15" customFormat="1" ht="16.350000000000001" customHeight="1" thickBot="1" x14ac:dyDescent="0.25">
      <c r="B208" s="8"/>
      <c r="C208" s="9"/>
      <c r="D208" s="165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4"/>
      <c r="W208" s="14"/>
      <c r="X208" s="14"/>
      <c r="Y208" s="14"/>
      <c r="Z208" s="14"/>
    </row>
    <row r="209" spans="2:26" ht="15" customHeight="1" x14ac:dyDescent="0.25">
      <c r="B209" s="167" t="s">
        <v>60</v>
      </c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</row>
    <row r="210" spans="2:26" x14ac:dyDescent="0.25">
      <c r="B210" s="20"/>
      <c r="C210" s="21"/>
      <c r="O210" s="22"/>
      <c r="P210" s="22"/>
      <c r="Q210" s="23"/>
      <c r="R210" s="23"/>
      <c r="S210" s="22"/>
      <c r="T210" s="22"/>
    </row>
    <row r="211" spans="2:26" ht="15.75" thickBot="1" x14ac:dyDescent="0.3">
      <c r="B211" s="57" t="s">
        <v>61</v>
      </c>
      <c r="C211" s="57"/>
      <c r="D211" s="57"/>
      <c r="E211" s="57"/>
      <c r="F211" s="57"/>
      <c r="G211" s="57"/>
      <c r="H211" s="57"/>
      <c r="I211" s="57"/>
      <c r="J211" s="57"/>
      <c r="K211" s="64"/>
      <c r="L211" s="62"/>
      <c r="M211" s="62"/>
      <c r="N211" s="62"/>
      <c r="O211" s="59"/>
      <c r="P211" s="59"/>
      <c r="Q211" s="60"/>
      <c r="R211" s="60"/>
      <c r="S211" s="65"/>
      <c r="T211" s="65"/>
    </row>
    <row r="212" spans="2:26" ht="15" customHeight="1" x14ac:dyDescent="0.25">
      <c r="C212" s="29"/>
      <c r="I212" s="30"/>
      <c r="K212" s="4"/>
      <c r="L212" s="4"/>
      <c r="M212" s="4"/>
      <c r="N212" s="4"/>
      <c r="O212" s="27"/>
      <c r="P212" s="27"/>
      <c r="Q212" s="60"/>
      <c r="R212" s="60"/>
      <c r="S212" s="65"/>
      <c r="T212" s="65"/>
    </row>
    <row r="213" spans="2:26" ht="18" customHeight="1" thickBot="1" x14ac:dyDescent="0.3">
      <c r="B213" s="57" t="s">
        <v>62</v>
      </c>
      <c r="C213" s="57"/>
      <c r="D213" s="57"/>
      <c r="E213" s="57"/>
      <c r="F213" s="57"/>
      <c r="G213" s="57"/>
      <c r="H213" s="57"/>
      <c r="I213" s="57"/>
      <c r="J213" s="57"/>
      <c r="K213" s="58" t="s">
        <v>532</v>
      </c>
      <c r="L213" s="58"/>
      <c r="M213" s="58"/>
      <c r="N213" s="58"/>
      <c r="O213" s="59"/>
      <c r="P213" s="59"/>
      <c r="Q213" s="60"/>
      <c r="R213" s="60"/>
      <c r="S213" s="61" t="s">
        <v>63</v>
      </c>
      <c r="T213" s="61"/>
      <c r="U213" s="61"/>
      <c r="V213" s="62"/>
      <c r="W213" s="63"/>
      <c r="X213" s="62"/>
      <c r="Y213" s="62"/>
    </row>
    <row r="214" spans="2:26" ht="18" customHeight="1" thickBot="1" x14ac:dyDescent="0.3">
      <c r="B214" s="24"/>
      <c r="C214" s="24"/>
      <c r="D214" s="24"/>
      <c r="E214" s="24"/>
      <c r="F214" s="24"/>
      <c r="G214" s="24"/>
      <c r="H214" s="24"/>
      <c r="I214" s="24"/>
      <c r="J214" s="24"/>
      <c r="K214" s="31"/>
      <c r="L214" s="31"/>
      <c r="M214" s="31"/>
      <c r="N214" s="31"/>
      <c r="O214" s="26"/>
      <c r="P214" s="26"/>
      <c r="Q214" s="23"/>
      <c r="R214" s="23"/>
      <c r="S214" s="40"/>
      <c r="T214" s="40"/>
      <c r="U214" s="40"/>
      <c r="V214" s="25"/>
      <c r="W214" s="1"/>
      <c r="X214" s="4"/>
      <c r="Y214" s="4"/>
    </row>
    <row r="215" spans="2:26" ht="18" customHeight="1" thickBot="1" x14ac:dyDescent="0.3">
      <c r="B215" s="24"/>
      <c r="C215" s="24"/>
      <c r="D215" s="24"/>
      <c r="E215" s="24"/>
      <c r="F215" s="24"/>
      <c r="G215" s="24"/>
      <c r="H215" s="24"/>
      <c r="I215" s="24"/>
      <c r="J215" s="24"/>
      <c r="K215" s="31"/>
      <c r="L215" s="31"/>
      <c r="M215" s="31"/>
      <c r="N215" s="31"/>
      <c r="O215" s="26"/>
      <c r="P215" s="26"/>
      <c r="Q215" s="23"/>
      <c r="R215" s="23"/>
      <c r="S215" s="40"/>
      <c r="T215" s="40"/>
      <c r="U215" s="40"/>
      <c r="V215" s="25"/>
      <c r="W215" s="1"/>
      <c r="X215" s="4"/>
      <c r="Y215" s="4"/>
    </row>
    <row r="216" spans="2:26" ht="15" customHeight="1" thickBot="1" x14ac:dyDescent="0.3">
      <c r="E216" s="80" t="s">
        <v>64</v>
      </c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92" t="s">
        <v>159</v>
      </c>
      <c r="X216" s="79"/>
      <c r="Y216" s="79"/>
      <c r="Z216" s="79"/>
    </row>
    <row r="217" spans="2:26" ht="15" customHeight="1" thickBot="1" x14ac:dyDescent="0.3"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</row>
    <row r="218" spans="2:26" ht="10.5" customHeight="1" thickBot="1" x14ac:dyDescent="0.3"/>
    <row r="219" spans="2:26" ht="15" customHeight="1" thickBot="1" x14ac:dyDescent="0.3">
      <c r="J219" s="79" t="s">
        <v>2</v>
      </c>
      <c r="K219" s="79"/>
      <c r="L219" s="79"/>
      <c r="M219" s="80" t="str">
        <f>$M$4</f>
        <v>C1004</v>
      </c>
      <c r="N219" s="80"/>
      <c r="O219" s="80"/>
      <c r="P219" s="80"/>
    </row>
    <row r="220" spans="2:26" s="15" customFormat="1" ht="15" customHeight="1" thickBot="1" x14ac:dyDescent="0.3">
      <c r="I220" s="79" t="s">
        <v>4</v>
      </c>
      <c r="J220" s="79"/>
      <c r="K220" s="79"/>
      <c r="L220" s="79"/>
      <c r="M220" s="80"/>
      <c r="N220" s="80"/>
      <c r="O220" s="80"/>
      <c r="P220" s="80"/>
      <c r="Q220" s="82"/>
      <c r="R220" s="82"/>
      <c r="S220" s="82"/>
      <c r="T220" s="82"/>
      <c r="U220" s="82"/>
      <c r="V220" s="82"/>
    </row>
    <row r="221" spans="2:26" s="15" customFormat="1" ht="8.25" customHeight="1" thickBot="1" x14ac:dyDescent="0.3">
      <c r="M221" s="38"/>
      <c r="N221" s="38"/>
      <c r="O221" s="38"/>
      <c r="P221" s="38"/>
    </row>
    <row r="222" spans="2:26" s="15" customFormat="1" ht="15" customHeight="1" thickBot="1" x14ac:dyDescent="0.3">
      <c r="C222" s="83" t="s">
        <v>66</v>
      </c>
      <c r="D222" s="83"/>
      <c r="E222" s="83"/>
      <c r="F222" s="83"/>
      <c r="G222" s="83"/>
      <c r="H222" s="83"/>
      <c r="I222" s="83"/>
      <c r="J222" s="83"/>
      <c r="K222" s="83"/>
      <c r="L222" s="84"/>
      <c r="M222" s="102" t="s">
        <v>532</v>
      </c>
      <c r="N222" s="102"/>
      <c r="O222" s="102"/>
      <c r="P222" s="102"/>
      <c r="Q222" s="102"/>
      <c r="R222" s="102"/>
      <c r="S222" s="102"/>
      <c r="T222" s="60"/>
      <c r="U222" s="60"/>
      <c r="V222" s="60"/>
      <c r="W222" s="60"/>
      <c r="X222" s="23"/>
    </row>
    <row r="223" spans="2:26" s="15" customFormat="1" ht="10.5" customHeight="1" thickBot="1" x14ac:dyDescent="0.3"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2:26" s="15" customFormat="1" ht="21" customHeight="1" thickBot="1" x14ac:dyDescent="0.25">
      <c r="B224" s="103" t="s">
        <v>67</v>
      </c>
      <c r="C224" s="104"/>
      <c r="D224" s="105"/>
      <c r="E224" s="104"/>
      <c r="F224" s="104"/>
      <c r="G224" s="104"/>
      <c r="H224" s="104"/>
      <c r="I224" s="104"/>
      <c r="J224" s="104"/>
      <c r="K224" s="106"/>
      <c r="L224" s="104"/>
      <c r="M224" s="104"/>
      <c r="N224" s="104"/>
      <c r="O224" s="107"/>
      <c r="P224" s="107"/>
      <c r="Q224" s="108"/>
      <c r="R224" s="108"/>
      <c r="S224" s="107"/>
      <c r="T224" s="107"/>
      <c r="U224" s="104"/>
      <c r="V224" s="35" t="s">
        <v>8</v>
      </c>
      <c r="W224" s="35" t="s">
        <v>9</v>
      </c>
      <c r="X224" s="35" t="s">
        <v>10</v>
      </c>
      <c r="Y224" s="7" t="s">
        <v>11</v>
      </c>
      <c r="Z224" s="35" t="s">
        <v>12</v>
      </c>
    </row>
    <row r="225" spans="2:26" s="15" customFormat="1" ht="16.350000000000001" customHeight="1" thickBot="1" x14ac:dyDescent="0.3">
      <c r="B225" s="8"/>
      <c r="C225" s="12"/>
      <c r="D225" s="109" t="s">
        <v>160</v>
      </c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4"/>
      <c r="W225" s="14"/>
      <c r="X225" s="14"/>
      <c r="Y225" s="14"/>
      <c r="Z225" s="14"/>
    </row>
    <row r="226" spans="2:26" s="15" customFormat="1" ht="16.350000000000001" customHeight="1" thickBot="1" x14ac:dyDescent="0.25">
      <c r="B226" s="8"/>
      <c r="C226" s="8" t="s">
        <v>1087</v>
      </c>
      <c r="D226" s="162" t="s">
        <v>1085</v>
      </c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0" t="s">
        <v>22</v>
      </c>
      <c r="W226" s="14"/>
      <c r="X226" s="14"/>
      <c r="Y226" s="14"/>
      <c r="Z226" s="14"/>
    </row>
    <row r="227" spans="2:26" s="15" customFormat="1" ht="16.350000000000001" customHeight="1" thickBot="1" x14ac:dyDescent="0.25">
      <c r="B227" s="8"/>
      <c r="C227" s="3">
        <v>119</v>
      </c>
      <c r="D227" s="162" t="s">
        <v>1088</v>
      </c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0" t="s">
        <v>22</v>
      </c>
      <c r="W227" s="14"/>
      <c r="X227" s="14"/>
      <c r="Y227" s="14"/>
      <c r="Z227" s="14"/>
    </row>
    <row r="228" spans="2:26" s="15" customFormat="1" ht="16.350000000000001" customHeight="1" thickBot="1" x14ac:dyDescent="0.25">
      <c r="B228" s="8"/>
      <c r="C228" s="3">
        <v>120</v>
      </c>
      <c r="D228" s="165" t="s">
        <v>1089</v>
      </c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0" t="s">
        <v>22</v>
      </c>
      <c r="W228" s="14"/>
      <c r="X228" s="14"/>
      <c r="Y228" s="14"/>
      <c r="Z228" s="14"/>
    </row>
    <row r="229" spans="2:26" s="15" customFormat="1" ht="16.350000000000001" customHeight="1" thickBot="1" x14ac:dyDescent="0.25">
      <c r="B229" s="8"/>
      <c r="C229" s="3">
        <v>121</v>
      </c>
      <c r="D229" s="162" t="s">
        <v>1090</v>
      </c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0" t="s">
        <v>72</v>
      </c>
      <c r="W229" s="14"/>
      <c r="X229" s="14"/>
      <c r="Y229" s="14"/>
      <c r="Z229" s="14"/>
    </row>
    <row r="230" spans="2:26" s="15" customFormat="1" ht="16.350000000000001" customHeight="1" thickBot="1" x14ac:dyDescent="0.25">
      <c r="B230" s="8"/>
      <c r="C230" s="3">
        <v>122</v>
      </c>
      <c r="D230" s="165" t="s">
        <v>1091</v>
      </c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0" t="s">
        <v>22</v>
      </c>
      <c r="W230" s="14"/>
      <c r="X230" s="14"/>
      <c r="Y230" s="14"/>
      <c r="Z230" s="14"/>
    </row>
    <row r="231" spans="2:26" s="15" customFormat="1" ht="16.350000000000001" customHeight="1" thickBot="1" x14ac:dyDescent="0.25">
      <c r="B231" s="8"/>
      <c r="C231" s="3"/>
      <c r="D231" s="162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0"/>
      <c r="W231" s="14"/>
      <c r="X231" s="14"/>
      <c r="Y231" s="14"/>
      <c r="Z231" s="14"/>
    </row>
    <row r="232" spans="2:26" ht="16.350000000000001" customHeight="1" thickBot="1" x14ac:dyDescent="0.3">
      <c r="B232" s="8"/>
      <c r="C232" s="3"/>
      <c r="D232" s="165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0"/>
      <c r="W232" s="14"/>
      <c r="X232" s="14"/>
      <c r="Y232" s="14"/>
      <c r="Z232" s="14"/>
    </row>
    <row r="233" spans="2:26" s="15" customFormat="1" ht="16.350000000000001" customHeight="1" thickBot="1" x14ac:dyDescent="0.25">
      <c r="B233" s="8"/>
      <c r="C233" s="8"/>
      <c r="D233" s="165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0"/>
      <c r="W233" s="14"/>
      <c r="X233" s="14"/>
      <c r="Y233" s="14"/>
      <c r="Z233" s="14"/>
    </row>
    <row r="234" spans="2:26" s="15" customFormat="1" ht="16.350000000000001" customHeight="1" thickBot="1" x14ac:dyDescent="0.25">
      <c r="B234" s="8"/>
      <c r="C234" s="3"/>
      <c r="D234" s="162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0"/>
      <c r="W234" s="14"/>
      <c r="X234" s="14"/>
      <c r="Y234" s="14"/>
      <c r="Z234" s="14"/>
    </row>
    <row r="235" spans="2:26" s="15" customFormat="1" ht="16.350000000000001" customHeight="1" thickBot="1" x14ac:dyDescent="0.25">
      <c r="B235" s="8"/>
      <c r="C235" s="3"/>
      <c r="D235" s="162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0"/>
      <c r="W235" s="14"/>
      <c r="X235" s="14"/>
      <c r="Y235" s="14"/>
      <c r="Z235" s="14"/>
    </row>
    <row r="236" spans="2:26" s="15" customFormat="1" ht="15.95" customHeight="1" thickBot="1" x14ac:dyDescent="0.25">
      <c r="B236" s="8"/>
      <c r="C236" s="3"/>
      <c r="D236" s="162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0"/>
      <c r="W236" s="14"/>
      <c r="X236" s="14"/>
      <c r="Y236" s="14"/>
      <c r="Z236" s="14"/>
    </row>
    <row r="237" spans="2:26" s="15" customFormat="1" ht="16.350000000000001" customHeight="1" thickBot="1" x14ac:dyDescent="0.3">
      <c r="B237" s="8"/>
      <c r="C237" s="3"/>
      <c r="D237" s="109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0"/>
      <c r="W237" s="14"/>
      <c r="X237" s="14"/>
      <c r="Y237" s="14"/>
      <c r="Z237" s="14"/>
    </row>
    <row r="238" spans="2:26" s="15" customFormat="1" ht="16.350000000000001" customHeight="1" thickBot="1" x14ac:dyDescent="0.25">
      <c r="B238" s="8"/>
      <c r="C238" s="3"/>
      <c r="D238" s="162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0"/>
      <c r="W238" s="14"/>
      <c r="X238" s="14"/>
      <c r="Y238" s="14"/>
      <c r="Z238" s="14"/>
    </row>
    <row r="239" spans="2:26" s="15" customFormat="1" ht="16.350000000000001" customHeight="1" thickBot="1" x14ac:dyDescent="0.25">
      <c r="B239" s="8"/>
      <c r="C239" s="3"/>
      <c r="D239" s="165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0"/>
      <c r="W239" s="14"/>
      <c r="X239" s="14"/>
      <c r="Y239" s="14"/>
      <c r="Z239" s="14"/>
    </row>
    <row r="240" spans="2:26" s="15" customFormat="1" ht="16.350000000000001" customHeight="1" thickBot="1" x14ac:dyDescent="0.25">
      <c r="B240" s="8"/>
      <c r="C240" s="3"/>
      <c r="D240" s="165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0"/>
      <c r="W240" s="14"/>
      <c r="X240" s="14"/>
      <c r="Y240" s="14"/>
      <c r="Z240" s="14"/>
    </row>
    <row r="241" spans="2:26" s="15" customFormat="1" ht="16.350000000000001" customHeight="1" thickBot="1" x14ac:dyDescent="0.3">
      <c r="B241" s="8"/>
      <c r="C241" s="3"/>
      <c r="D241" s="109" t="s">
        <v>1092</v>
      </c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0"/>
      <c r="W241" s="14"/>
      <c r="X241" s="14"/>
      <c r="Y241" s="14"/>
      <c r="Z241" s="14"/>
    </row>
    <row r="242" spans="2:26" s="15" customFormat="1" ht="16.350000000000001" customHeight="1" thickBot="1" x14ac:dyDescent="0.25">
      <c r="B242" s="8"/>
      <c r="C242" s="3">
        <v>123</v>
      </c>
      <c r="D242" s="165" t="s">
        <v>1093</v>
      </c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0" t="s">
        <v>882</v>
      </c>
      <c r="W242" s="14"/>
      <c r="X242" s="14"/>
      <c r="Y242" s="14"/>
      <c r="Z242" s="14"/>
    </row>
    <row r="243" spans="2:26" s="15" customFormat="1" ht="16.350000000000001" customHeight="1" thickBot="1" x14ac:dyDescent="0.25">
      <c r="B243" s="8"/>
      <c r="C243" s="8" t="s">
        <v>1094</v>
      </c>
      <c r="D243" s="162" t="s">
        <v>1095</v>
      </c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0" t="s">
        <v>22</v>
      </c>
      <c r="W243" s="14"/>
      <c r="X243" s="14"/>
      <c r="Y243" s="14"/>
      <c r="Z243" s="14"/>
    </row>
    <row r="244" spans="2:26" s="15" customFormat="1" ht="16.350000000000001" customHeight="1" thickBot="1" x14ac:dyDescent="0.25">
      <c r="B244" s="8"/>
      <c r="C244" s="8" t="s">
        <v>1096</v>
      </c>
      <c r="D244" s="165" t="s">
        <v>1097</v>
      </c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0" t="s">
        <v>22</v>
      </c>
      <c r="W244" s="14"/>
      <c r="X244" s="14"/>
      <c r="Y244" s="14"/>
      <c r="Z244" s="14"/>
    </row>
    <row r="245" spans="2:26" s="15" customFormat="1" ht="16.350000000000001" customHeight="1" thickBot="1" x14ac:dyDescent="0.25">
      <c r="B245" s="8"/>
      <c r="C245" s="8" t="s">
        <v>1098</v>
      </c>
      <c r="D245" s="162" t="s">
        <v>1099</v>
      </c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0" t="s">
        <v>22</v>
      </c>
      <c r="W245" s="14"/>
      <c r="X245" s="14"/>
      <c r="Y245" s="14"/>
      <c r="Z245" s="14"/>
    </row>
    <row r="246" spans="2:26" s="15" customFormat="1" ht="16.350000000000001" customHeight="1" thickBot="1" x14ac:dyDescent="0.25">
      <c r="B246" s="8"/>
      <c r="C246" s="8" t="s">
        <v>1100</v>
      </c>
      <c r="D246" s="162" t="s">
        <v>1101</v>
      </c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0" t="s">
        <v>22</v>
      </c>
      <c r="W246" s="14"/>
      <c r="X246" s="14"/>
      <c r="Y246" s="14"/>
      <c r="Z246" s="14"/>
    </row>
    <row r="247" spans="2:26" s="15" customFormat="1" ht="16.350000000000001" customHeight="1" thickBot="1" x14ac:dyDescent="0.25">
      <c r="B247" s="8"/>
      <c r="C247" s="8"/>
      <c r="D247" s="165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0"/>
      <c r="W247" s="14"/>
      <c r="X247" s="14"/>
      <c r="Y247" s="14"/>
      <c r="Z247" s="14"/>
    </row>
    <row r="248" spans="2:26" s="15" customFormat="1" ht="16.350000000000001" customHeight="1" thickBot="1" x14ac:dyDescent="0.25">
      <c r="B248" s="8"/>
      <c r="C248" s="8"/>
      <c r="D248" s="162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0"/>
      <c r="W248" s="14"/>
      <c r="X248" s="14"/>
      <c r="Y248" s="14"/>
      <c r="Z248" s="14"/>
    </row>
    <row r="249" spans="2:26" s="15" customFormat="1" ht="16.350000000000001" customHeight="1" thickBot="1" x14ac:dyDescent="0.25">
      <c r="B249" s="8"/>
      <c r="C249" s="3"/>
      <c r="D249" s="165" t="s">
        <v>1102</v>
      </c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0"/>
      <c r="W249" s="14"/>
      <c r="X249" s="14"/>
      <c r="Y249" s="14"/>
      <c r="Z249" s="14"/>
    </row>
    <row r="250" spans="2:26" s="15" customFormat="1" ht="16.350000000000001" customHeight="1" thickBot="1" x14ac:dyDescent="0.25">
      <c r="B250" s="8"/>
      <c r="C250" s="8" t="s">
        <v>1103</v>
      </c>
      <c r="D250" s="165" t="s">
        <v>1104</v>
      </c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0" t="s">
        <v>76</v>
      </c>
      <c r="W250" s="14"/>
      <c r="X250" s="14"/>
      <c r="Y250" s="14"/>
      <c r="Z250" s="14"/>
    </row>
    <row r="251" spans="2:26" s="15" customFormat="1" ht="16.350000000000001" customHeight="1" thickBot="1" x14ac:dyDescent="0.25">
      <c r="B251" s="8"/>
      <c r="C251" s="3">
        <v>129</v>
      </c>
      <c r="D251" s="165" t="s">
        <v>1105</v>
      </c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0" t="s">
        <v>76</v>
      </c>
      <c r="W251" s="14"/>
      <c r="X251" s="14"/>
      <c r="Y251" s="14"/>
      <c r="Z251" s="14"/>
    </row>
    <row r="252" spans="2:26" s="15" customFormat="1" ht="16.350000000000001" customHeight="1" thickBot="1" x14ac:dyDescent="0.25">
      <c r="B252" s="8"/>
      <c r="C252" s="8" t="s">
        <v>1106</v>
      </c>
      <c r="D252" s="162" t="s">
        <v>1107</v>
      </c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0" t="s">
        <v>22</v>
      </c>
      <c r="W252" s="14"/>
      <c r="X252" s="14"/>
      <c r="Y252" s="14"/>
      <c r="Z252" s="14"/>
    </row>
    <row r="253" spans="2:26" s="15" customFormat="1" ht="16.350000000000001" customHeight="1" thickBot="1" x14ac:dyDescent="0.25">
      <c r="B253" s="8"/>
      <c r="C253" s="3"/>
      <c r="D253" s="165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0"/>
      <c r="W253" s="14"/>
      <c r="X253" s="14"/>
      <c r="Y253" s="14"/>
      <c r="Z253" s="14"/>
    </row>
    <row r="254" spans="2:26" s="15" customFormat="1" ht="16.350000000000001" customHeight="1" thickBot="1" x14ac:dyDescent="0.25">
      <c r="B254" s="8"/>
      <c r="C254" s="8"/>
      <c r="D254" s="162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0"/>
      <c r="W254" s="14"/>
      <c r="X254" s="14"/>
      <c r="Y254" s="14"/>
      <c r="Z254" s="14"/>
    </row>
    <row r="255" spans="2:26" s="15" customFormat="1" ht="16.350000000000001" customHeight="1" thickBot="1" x14ac:dyDescent="0.3">
      <c r="B255" s="8"/>
      <c r="C255" s="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0"/>
      <c r="W255" s="14"/>
      <c r="X255" s="14"/>
      <c r="Y255" s="14"/>
      <c r="Z255" s="14"/>
    </row>
    <row r="256" spans="2:26" s="15" customFormat="1" ht="16.350000000000001" customHeight="1" thickBot="1" x14ac:dyDescent="0.25">
      <c r="B256" s="8"/>
      <c r="C256" s="8"/>
      <c r="D256" s="165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0"/>
      <c r="W256" s="14"/>
      <c r="X256" s="14"/>
      <c r="Y256" s="14"/>
      <c r="Z256" s="14"/>
    </row>
    <row r="257" spans="2:256" s="15" customFormat="1" ht="16.350000000000001" customHeight="1" thickBot="1" x14ac:dyDescent="0.25">
      <c r="B257" s="8"/>
      <c r="C257" s="8"/>
      <c r="D257" s="165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0"/>
      <c r="W257" s="14"/>
      <c r="X257" s="14"/>
      <c r="Y257" s="14"/>
      <c r="Z257" s="14"/>
    </row>
    <row r="258" spans="2:256" s="15" customFormat="1" ht="16.350000000000001" customHeight="1" thickBot="1" x14ac:dyDescent="0.25">
      <c r="B258" s="8"/>
      <c r="C258" s="8"/>
      <c r="D258" s="165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0"/>
      <c r="W258" s="14"/>
      <c r="X258" s="14"/>
      <c r="Y258" s="14"/>
      <c r="Z258" s="14"/>
    </row>
    <row r="259" spans="2:256" s="15" customFormat="1" ht="16.350000000000001" customHeight="1" thickBot="1" x14ac:dyDescent="0.25">
      <c r="B259" s="8"/>
      <c r="C259" s="8"/>
      <c r="D259" s="165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0"/>
      <c r="W259" s="14"/>
      <c r="X259" s="14"/>
      <c r="Y259" s="14"/>
      <c r="Z259" s="14"/>
    </row>
    <row r="260" spans="2:256" s="15" customFormat="1" ht="16.350000000000001" customHeight="1" thickBot="1" x14ac:dyDescent="0.25">
      <c r="B260" s="8"/>
      <c r="C260" s="8"/>
      <c r="D260" s="165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0"/>
      <c r="W260" s="14"/>
      <c r="X260" s="14"/>
      <c r="Y260" s="14"/>
      <c r="Z260" s="14"/>
    </row>
    <row r="261" spans="2:256" s="15" customFormat="1" ht="16.350000000000001" customHeight="1" thickBot="1" x14ac:dyDescent="0.25">
      <c r="B261" s="8"/>
      <c r="C261" s="9"/>
      <c r="D261" s="165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4"/>
      <c r="W261" s="14"/>
      <c r="X261" s="14"/>
      <c r="Y261" s="14"/>
      <c r="Z261" s="14"/>
    </row>
    <row r="262" spans="2:256" ht="15" customHeight="1" x14ac:dyDescent="0.25">
      <c r="B262" s="167" t="s">
        <v>60</v>
      </c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</row>
    <row r="263" spans="2:256" x14ac:dyDescent="0.25">
      <c r="B263" s="20"/>
      <c r="C263" s="21"/>
      <c r="O263" s="22"/>
      <c r="P263" s="22"/>
      <c r="Q263" s="23"/>
      <c r="R263" s="23"/>
      <c r="S263" s="22"/>
      <c r="T263" s="22"/>
    </row>
    <row r="264" spans="2:256" ht="15.75" thickBot="1" x14ac:dyDescent="0.3">
      <c r="B264" s="57" t="s">
        <v>61</v>
      </c>
      <c r="C264" s="57"/>
      <c r="D264" s="57"/>
      <c r="E264" s="57"/>
      <c r="F264" s="57"/>
      <c r="G264" s="57"/>
      <c r="H264" s="57"/>
      <c r="I264" s="57"/>
      <c r="J264" s="57"/>
      <c r="K264" s="64"/>
      <c r="L264" s="62"/>
      <c r="M264" s="62"/>
      <c r="N264" s="62"/>
      <c r="O264" s="59"/>
      <c r="P264" s="59"/>
      <c r="Q264" s="60"/>
      <c r="R264" s="60"/>
      <c r="S264" s="65"/>
      <c r="T264" s="65"/>
    </row>
    <row r="265" spans="2:256" ht="15" customHeight="1" x14ac:dyDescent="0.25">
      <c r="C265" s="29"/>
      <c r="I265" s="30"/>
      <c r="K265" s="4"/>
      <c r="L265" s="4"/>
      <c r="M265" s="4"/>
      <c r="N265" s="4"/>
      <c r="O265" s="27"/>
      <c r="P265" s="27"/>
      <c r="Q265" s="60"/>
      <c r="R265" s="60"/>
      <c r="S265" s="65"/>
      <c r="T265" s="65"/>
    </row>
    <row r="266" spans="2:256" ht="18" customHeight="1" thickBot="1" x14ac:dyDescent="0.3">
      <c r="B266" s="57" t="s">
        <v>62</v>
      </c>
      <c r="C266" s="57"/>
      <c r="D266" s="57"/>
      <c r="E266" s="57"/>
      <c r="F266" s="57"/>
      <c r="G266" s="57"/>
      <c r="H266" s="57"/>
      <c r="I266" s="57"/>
      <c r="J266" s="57"/>
      <c r="K266" s="58" t="s">
        <v>532</v>
      </c>
      <c r="L266" s="58"/>
      <c r="M266" s="58"/>
      <c r="N266" s="58"/>
      <c r="O266" s="59"/>
      <c r="P266" s="59"/>
      <c r="Q266" s="60"/>
      <c r="R266" s="60"/>
      <c r="S266" s="61" t="s">
        <v>63</v>
      </c>
      <c r="T266" s="61"/>
      <c r="U266" s="61"/>
      <c r="V266" s="62"/>
      <c r="W266" s="63"/>
      <c r="X266" s="62"/>
      <c r="Y266" s="62"/>
    </row>
    <row r="267" spans="2:256" ht="20.100000000000001" customHeight="1" x14ac:dyDescent="0.25">
      <c r="B267" s="15"/>
      <c r="C267" s="15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</row>
    <row r="268" spans="2:256" ht="15" customHeight="1" x14ac:dyDescent="0.25">
      <c r="B268" s="15"/>
      <c r="C268" s="15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</row>
    <row r="269" spans="2:256" ht="18" customHeight="1" x14ac:dyDescent="0.25">
      <c r="B269" s="15"/>
      <c r="C269" s="15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</row>
    <row r="270" spans="2:256" ht="15" customHeight="1" x14ac:dyDescent="0.25">
      <c r="B270" s="15"/>
      <c r="C270" s="15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</row>
    <row r="271" spans="2:256" ht="21.95" customHeight="1" x14ac:dyDescent="0.25">
      <c r="B271" s="15"/>
      <c r="C271" s="15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</row>
    <row r="272" spans="2:256" ht="21" customHeight="1" x14ac:dyDescent="0.25">
      <c r="B272" s="15"/>
      <c r="C272" s="15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</row>
    <row r="273" spans="2:256" ht="18.95" customHeight="1" x14ac:dyDescent="0.25">
      <c r="B273" s="15"/>
      <c r="C273" s="15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</row>
    <row r="274" spans="2:256" ht="15.95" customHeight="1" x14ac:dyDescent="0.25">
      <c r="B274" s="15"/>
      <c r="C274" s="15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</row>
    <row r="275" spans="2:256" ht="15.95" customHeight="1" x14ac:dyDescent="0.25">
      <c r="B275" s="15"/>
      <c r="C275" s="1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</row>
    <row r="276" spans="2:256" s="15" customFormat="1" ht="15" customHeight="1" x14ac:dyDescent="0.25"/>
    <row r="277" spans="2:256" s="15" customFormat="1" ht="15.95" customHeight="1" x14ac:dyDescent="0.25"/>
    <row r="278" spans="2:256" s="15" customFormat="1" ht="17.100000000000001" customHeight="1" x14ac:dyDescent="0.25"/>
    <row r="279" spans="2:256" s="15" customFormat="1" ht="18.95" customHeight="1" x14ac:dyDescent="0.25"/>
    <row r="280" spans="2:256" s="15" customFormat="1" ht="21" customHeight="1" x14ac:dyDescent="0.25"/>
    <row r="281" spans="2:256" s="15" customFormat="1" ht="16.350000000000001" customHeight="1" x14ac:dyDescent="0.25"/>
    <row r="282" spans="2:256" s="15" customFormat="1" ht="16.350000000000001" customHeight="1" x14ac:dyDescent="0.25"/>
    <row r="283" spans="2:256" s="15" customFormat="1" ht="16.350000000000001" customHeight="1" x14ac:dyDescent="0.25"/>
    <row r="284" spans="2:256" s="15" customFormat="1" ht="16.350000000000001" customHeight="1" x14ac:dyDescent="0.25"/>
    <row r="285" spans="2:256" s="15" customFormat="1" ht="16.350000000000001" customHeight="1" x14ac:dyDescent="0.25"/>
    <row r="286" spans="2:256" s="15" customFormat="1" ht="16.350000000000001" customHeight="1" x14ac:dyDescent="0.25"/>
    <row r="287" spans="2:256" s="15" customFormat="1" ht="16.350000000000001" customHeight="1" x14ac:dyDescent="0.25"/>
    <row r="288" spans="2:256" ht="16.350000000000001" customHeight="1" x14ac:dyDescent="0.25">
      <c r="B288" s="15"/>
      <c r="C288" s="15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="15" customFormat="1" ht="16.350000000000001" customHeight="1" x14ac:dyDescent="0.25"/>
    <row r="290" s="15" customFormat="1" ht="16.350000000000001" customHeight="1" x14ac:dyDescent="0.25"/>
    <row r="291" s="15" customFormat="1" ht="16.350000000000001" customHeight="1" x14ac:dyDescent="0.25"/>
    <row r="292" s="15" customFormat="1" ht="16.350000000000001" customHeight="1" x14ac:dyDescent="0.25"/>
    <row r="293" s="15" customFormat="1" ht="16.350000000000001" customHeight="1" x14ac:dyDescent="0.25"/>
    <row r="294" s="15" customFormat="1" ht="16.350000000000001" customHeight="1" x14ac:dyDescent="0.25"/>
    <row r="295" s="15" customFormat="1" ht="16.350000000000001" customHeight="1" x14ac:dyDescent="0.25"/>
    <row r="296" s="15" customFormat="1" ht="16.350000000000001" customHeight="1" x14ac:dyDescent="0.25"/>
    <row r="297" s="15" customFormat="1" ht="16.350000000000001" customHeight="1" x14ac:dyDescent="0.25"/>
    <row r="298" s="15" customFormat="1" ht="16.350000000000001" customHeight="1" x14ac:dyDescent="0.25"/>
    <row r="299" s="15" customFormat="1" ht="16.350000000000001" customHeight="1" x14ac:dyDescent="0.25"/>
    <row r="300" s="15" customFormat="1" ht="16.350000000000001" customHeight="1" x14ac:dyDescent="0.25"/>
    <row r="301" s="15" customFormat="1" ht="16.350000000000001" customHeight="1" x14ac:dyDescent="0.25"/>
    <row r="302" s="15" customFormat="1" ht="16.350000000000001" customHeight="1" x14ac:dyDescent="0.25"/>
    <row r="303" s="15" customFormat="1" ht="16.350000000000001" customHeight="1" x14ac:dyDescent="0.25"/>
    <row r="304" s="15" customFormat="1" ht="16.350000000000001" customHeight="1" x14ac:dyDescent="0.25"/>
    <row r="305" spans="2:256" s="15" customFormat="1" ht="16.350000000000001" customHeight="1" x14ac:dyDescent="0.25"/>
    <row r="306" spans="2:256" s="15" customFormat="1" ht="16.350000000000001" customHeight="1" x14ac:dyDescent="0.25"/>
    <row r="307" spans="2:256" s="15" customFormat="1" ht="16.350000000000001" customHeight="1" x14ac:dyDescent="0.25"/>
    <row r="308" spans="2:256" s="15" customFormat="1" ht="16.350000000000001" customHeight="1" x14ac:dyDescent="0.25"/>
    <row r="309" spans="2:256" s="15" customFormat="1" ht="16.350000000000001" customHeight="1" x14ac:dyDescent="0.25"/>
    <row r="310" spans="2:256" s="15" customFormat="1" ht="16.350000000000001" customHeight="1" x14ac:dyDescent="0.25"/>
    <row r="311" spans="2:256" s="15" customFormat="1" ht="16.350000000000001" customHeight="1" x14ac:dyDescent="0.25"/>
    <row r="312" spans="2:256" s="15" customFormat="1" ht="16.350000000000001" customHeight="1" x14ac:dyDescent="0.25"/>
    <row r="313" spans="2:256" s="15" customFormat="1" ht="16.350000000000001" customHeight="1" x14ac:dyDescent="0.25"/>
    <row r="314" spans="2:256" s="15" customFormat="1" ht="16.350000000000001" customHeight="1" x14ac:dyDescent="0.25"/>
    <row r="315" spans="2:256" s="15" customFormat="1" ht="16.350000000000001" customHeight="1" x14ac:dyDescent="0.25"/>
    <row r="316" spans="2:256" s="15" customFormat="1" ht="16.350000000000001" customHeight="1" x14ac:dyDescent="0.25"/>
    <row r="317" spans="2:256" s="15" customFormat="1" ht="16.350000000000001" customHeight="1" x14ac:dyDescent="0.25"/>
    <row r="318" spans="2:256" s="15" customFormat="1" ht="16.350000000000001" customHeight="1" x14ac:dyDescent="0.25"/>
    <row r="319" spans="2:256" ht="15" customHeight="1" x14ac:dyDescent="0.25">
      <c r="B319" s="15"/>
      <c r="C319" s="15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</row>
    <row r="320" spans="2:256" ht="12.95" customHeight="1" x14ac:dyDescent="0.25">
      <c r="B320" s="15"/>
      <c r="C320" s="15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</row>
    <row r="321" spans="2:256" ht="18" customHeight="1" x14ac:dyDescent="0.25">
      <c r="B321" s="15"/>
      <c r="C321" s="15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</row>
    <row r="322" spans="2:256" x14ac:dyDescent="0.25">
      <c r="B322" s="15"/>
      <c r="C322" s="15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</row>
    <row r="323" spans="2:256" ht="18" customHeight="1" x14ac:dyDescent="0.25">
      <c r="B323" s="15"/>
      <c r="C323" s="15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</row>
    <row r="324" spans="2:256" ht="12.95" customHeight="1" x14ac:dyDescent="0.25">
      <c r="B324" s="15"/>
      <c r="C324" s="15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</row>
    <row r="325" spans="2:256" ht="15" customHeight="1" x14ac:dyDescent="0.25">
      <c r="B325" s="15"/>
      <c r="C325" s="1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</row>
    <row r="326" spans="2:256" ht="15" customHeight="1" x14ac:dyDescent="0.25">
      <c r="B326" s="15"/>
      <c r="C326" s="15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</row>
    <row r="327" spans="2:256" x14ac:dyDescent="0.25">
      <c r="B327" s="15"/>
      <c r="C327" s="15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</row>
    <row r="328" spans="2:256" x14ac:dyDescent="0.25">
      <c r="B328" s="15"/>
      <c r="C328" s="15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</row>
    <row r="329" spans="2:256" x14ac:dyDescent="0.25">
      <c r="B329" s="15"/>
      <c r="C329" s="15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</row>
    <row r="330" spans="2:256" x14ac:dyDescent="0.25">
      <c r="B330" s="15"/>
      <c r="C330" s="15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</row>
    <row r="331" spans="2:256" x14ac:dyDescent="0.25">
      <c r="B331" s="15"/>
      <c r="C331" s="15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</row>
    <row r="332" spans="2:256" x14ac:dyDescent="0.25">
      <c r="B332" s="15"/>
      <c r="C332" s="15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</row>
    <row r="333" spans="2:256" x14ac:dyDescent="0.25">
      <c r="B333" s="15"/>
      <c r="C333" s="15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</row>
    <row r="334" spans="2:256" x14ac:dyDescent="0.25">
      <c r="B334" s="15"/>
      <c r="C334" s="15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x14ac:dyDescent="0.25">
      <c r="B335" s="15"/>
      <c r="C335" s="1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x14ac:dyDescent="0.25">
      <c r="B336" s="15"/>
      <c r="C336" s="15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x14ac:dyDescent="0.25">
      <c r="B337" s="15"/>
      <c r="C337" s="15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x14ac:dyDescent="0.25">
      <c r="B338" s="15"/>
      <c r="C338" s="15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x14ac:dyDescent="0.25">
      <c r="B339" s="15"/>
      <c r="C339" s="15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x14ac:dyDescent="0.25">
      <c r="B340" s="15"/>
      <c r="C340" s="15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x14ac:dyDescent="0.25">
      <c r="B341" s="15"/>
      <c r="C341" s="15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x14ac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5" customHeight="1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ht="20.100000000000001" customHeight="1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ht="21" customHeight="1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</sheetData>
  <sheetProtection algorithmName="SHA-512" hashValue="EI1bfRbFUesaYyKl0JtV04MfQkIJSQknjlit3zvYAAYBsBCbAhsFRrf4QPqm/4mG0Xu9gutLsGjIPkYS7J+dPw==" saltValue="Y7+YUzvQgSS807CEM8+AWg==" spinCount="100000" sheet="1" formatCells="0" formatColumns="0" formatRows="0" insertColumns="0" insertRows="0" insertHyperlinks="0" deleteColumns="0" deleteRows="0" sort="0" autoFilter="0" pivotTables="0"/>
  <mergeCells count="306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B52:J52"/>
    <mergeCell ref="K52:P52"/>
    <mergeCell ref="Q52:R52"/>
    <mergeCell ref="S52:U52"/>
    <mergeCell ref="V52:Y52"/>
    <mergeCell ref="E55:V56"/>
    <mergeCell ref="W55:Z55"/>
    <mergeCell ref="B48:T48"/>
    <mergeCell ref="B50:J50"/>
    <mergeCell ref="K50:P50"/>
    <mergeCell ref="Q50:R50"/>
    <mergeCell ref="S50:T50"/>
    <mergeCell ref="O51:P51"/>
    <mergeCell ref="Q51:R51"/>
    <mergeCell ref="S51:T51"/>
    <mergeCell ref="B63:U63"/>
    <mergeCell ref="D64:U64"/>
    <mergeCell ref="D65:U65"/>
    <mergeCell ref="D66:U66"/>
    <mergeCell ref="D67:U67"/>
    <mergeCell ref="D68:U68"/>
    <mergeCell ref="J58:L58"/>
    <mergeCell ref="M58:P58"/>
    <mergeCell ref="I59:L59"/>
    <mergeCell ref="M59:P59"/>
    <mergeCell ref="Q59:V59"/>
    <mergeCell ref="C61:L61"/>
    <mergeCell ref="M61:S61"/>
    <mergeCell ref="T61:W61"/>
    <mergeCell ref="D75:U75"/>
    <mergeCell ref="D76:U76"/>
    <mergeCell ref="D77:U77"/>
    <mergeCell ref="D78:U78"/>
    <mergeCell ref="D79:U79"/>
    <mergeCell ref="D80:U80"/>
    <mergeCell ref="D69:U69"/>
    <mergeCell ref="D70:U70"/>
    <mergeCell ref="D71:U71"/>
    <mergeCell ref="D72:U72"/>
    <mergeCell ref="D73:U73"/>
    <mergeCell ref="D74:U74"/>
    <mergeCell ref="D87:U87"/>
    <mergeCell ref="D88:U88"/>
    <mergeCell ref="D89:U89"/>
    <mergeCell ref="D90:U90"/>
    <mergeCell ref="D91:U91"/>
    <mergeCell ref="D92:U92"/>
    <mergeCell ref="D81:U81"/>
    <mergeCell ref="D82:U82"/>
    <mergeCell ref="D83:U83"/>
    <mergeCell ref="D84:U84"/>
    <mergeCell ref="D85:U85"/>
    <mergeCell ref="D86:U86"/>
    <mergeCell ref="D99:U99"/>
    <mergeCell ref="D100:U100"/>
    <mergeCell ref="D101:U101"/>
    <mergeCell ref="B102:T102"/>
    <mergeCell ref="B104:J104"/>
    <mergeCell ref="K104:P104"/>
    <mergeCell ref="Q104:R104"/>
    <mergeCell ref="S104:T104"/>
    <mergeCell ref="D93:U93"/>
    <mergeCell ref="D94:U94"/>
    <mergeCell ref="D95:U95"/>
    <mergeCell ref="D96:U96"/>
    <mergeCell ref="D97:U97"/>
    <mergeCell ref="D98:U98"/>
    <mergeCell ref="V106:Y106"/>
    <mergeCell ref="E109:V110"/>
    <mergeCell ref="W109:Z109"/>
    <mergeCell ref="J112:L112"/>
    <mergeCell ref="M112:P112"/>
    <mergeCell ref="I113:L113"/>
    <mergeCell ref="M113:P113"/>
    <mergeCell ref="Q113:V113"/>
    <mergeCell ref="O105:P105"/>
    <mergeCell ref="Q105:R105"/>
    <mergeCell ref="S105:T105"/>
    <mergeCell ref="B106:J106"/>
    <mergeCell ref="K106:P106"/>
    <mergeCell ref="Q106:R106"/>
    <mergeCell ref="S106:U106"/>
    <mergeCell ref="D120:U120"/>
    <mergeCell ref="D121:U121"/>
    <mergeCell ref="D122:U122"/>
    <mergeCell ref="D123:U123"/>
    <mergeCell ref="D124:U124"/>
    <mergeCell ref="D125:U125"/>
    <mergeCell ref="C115:L115"/>
    <mergeCell ref="M115:S115"/>
    <mergeCell ref="T115:W115"/>
    <mergeCell ref="B117:U117"/>
    <mergeCell ref="D118:U118"/>
    <mergeCell ref="D119:U119"/>
    <mergeCell ref="D132:U132"/>
    <mergeCell ref="D133:U133"/>
    <mergeCell ref="D134:U134"/>
    <mergeCell ref="D135:U135"/>
    <mergeCell ref="D136:U136"/>
    <mergeCell ref="D137:U137"/>
    <mergeCell ref="D126:U126"/>
    <mergeCell ref="D127:U127"/>
    <mergeCell ref="D128:U128"/>
    <mergeCell ref="D129:U129"/>
    <mergeCell ref="D130:U130"/>
    <mergeCell ref="D131:U131"/>
    <mergeCell ref="D144:U144"/>
    <mergeCell ref="D145:U145"/>
    <mergeCell ref="D146:U146"/>
    <mergeCell ref="D147:U147"/>
    <mergeCell ref="D148:U148"/>
    <mergeCell ref="D149:U149"/>
    <mergeCell ref="D138:U138"/>
    <mergeCell ref="D139:U139"/>
    <mergeCell ref="D140:U140"/>
    <mergeCell ref="D141:U141"/>
    <mergeCell ref="D142:U142"/>
    <mergeCell ref="D143:U143"/>
    <mergeCell ref="B156:T156"/>
    <mergeCell ref="B158:J158"/>
    <mergeCell ref="K158:P158"/>
    <mergeCell ref="Q158:R158"/>
    <mergeCell ref="S158:T158"/>
    <mergeCell ref="O159:P159"/>
    <mergeCell ref="Q159:R159"/>
    <mergeCell ref="S159:T159"/>
    <mergeCell ref="D150:U150"/>
    <mergeCell ref="D151:U151"/>
    <mergeCell ref="D152:U152"/>
    <mergeCell ref="D153:U153"/>
    <mergeCell ref="D154:U154"/>
    <mergeCell ref="D155:U155"/>
    <mergeCell ref="J166:L166"/>
    <mergeCell ref="M166:P166"/>
    <mergeCell ref="I167:L167"/>
    <mergeCell ref="M167:P167"/>
    <mergeCell ref="Q167:V167"/>
    <mergeCell ref="C169:L169"/>
    <mergeCell ref="M169:S169"/>
    <mergeCell ref="T169:W169"/>
    <mergeCell ref="B160:J160"/>
    <mergeCell ref="K160:P160"/>
    <mergeCell ref="Q160:R160"/>
    <mergeCell ref="S160:U160"/>
    <mergeCell ref="V160:Y160"/>
    <mergeCell ref="E163:V164"/>
    <mergeCell ref="W163:Z163"/>
    <mergeCell ref="D177:U177"/>
    <mergeCell ref="D178:U178"/>
    <mergeCell ref="D179:U179"/>
    <mergeCell ref="D180:U180"/>
    <mergeCell ref="D181:U181"/>
    <mergeCell ref="D182:U182"/>
    <mergeCell ref="B171:U171"/>
    <mergeCell ref="D172:U172"/>
    <mergeCell ref="D173:U173"/>
    <mergeCell ref="D174:U174"/>
    <mergeCell ref="D175:U175"/>
    <mergeCell ref="D176:U176"/>
    <mergeCell ref="D189:U189"/>
    <mergeCell ref="D190:U190"/>
    <mergeCell ref="D191:U191"/>
    <mergeCell ref="D192:U192"/>
    <mergeCell ref="D193:U193"/>
    <mergeCell ref="D194:U194"/>
    <mergeCell ref="D183:U183"/>
    <mergeCell ref="D184:U184"/>
    <mergeCell ref="D185:U185"/>
    <mergeCell ref="D186:U186"/>
    <mergeCell ref="D187:U187"/>
    <mergeCell ref="D188:U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Q212:R212"/>
    <mergeCell ref="S212:T212"/>
    <mergeCell ref="B213:J213"/>
    <mergeCell ref="K213:P213"/>
    <mergeCell ref="Q213:R213"/>
    <mergeCell ref="S213:U213"/>
    <mergeCell ref="D207:U207"/>
    <mergeCell ref="D208:U208"/>
    <mergeCell ref="B209:T209"/>
    <mergeCell ref="B211:J211"/>
    <mergeCell ref="K211:P211"/>
    <mergeCell ref="Q211:R211"/>
    <mergeCell ref="S211:T211"/>
    <mergeCell ref="C222:L222"/>
    <mergeCell ref="M222:S222"/>
    <mergeCell ref="T222:W222"/>
    <mergeCell ref="B224:U224"/>
    <mergeCell ref="D225:U225"/>
    <mergeCell ref="D226:U226"/>
    <mergeCell ref="V213:Y213"/>
    <mergeCell ref="E216:V217"/>
    <mergeCell ref="W216:Z216"/>
    <mergeCell ref="J219:L219"/>
    <mergeCell ref="M219:P219"/>
    <mergeCell ref="I220:L220"/>
    <mergeCell ref="M220:P220"/>
    <mergeCell ref="Q220:V220"/>
    <mergeCell ref="D233:U233"/>
    <mergeCell ref="D234:U234"/>
    <mergeCell ref="D235:U235"/>
    <mergeCell ref="D236:U236"/>
    <mergeCell ref="D237:U237"/>
    <mergeCell ref="D238:U238"/>
    <mergeCell ref="D227:U227"/>
    <mergeCell ref="D228:U228"/>
    <mergeCell ref="D229:U229"/>
    <mergeCell ref="D230:U230"/>
    <mergeCell ref="D231:U231"/>
    <mergeCell ref="D232:U232"/>
    <mergeCell ref="D245:U245"/>
    <mergeCell ref="D246:U246"/>
    <mergeCell ref="D247:U247"/>
    <mergeCell ref="D248:U248"/>
    <mergeCell ref="D249:U249"/>
    <mergeCell ref="D250:U250"/>
    <mergeCell ref="D239:U239"/>
    <mergeCell ref="D240:U240"/>
    <mergeCell ref="D241:U241"/>
    <mergeCell ref="D242:U242"/>
    <mergeCell ref="D243:U243"/>
    <mergeCell ref="D244:U244"/>
    <mergeCell ref="D257:U257"/>
    <mergeCell ref="D258:U258"/>
    <mergeCell ref="D259:U259"/>
    <mergeCell ref="D260:U260"/>
    <mergeCell ref="D261:U261"/>
    <mergeCell ref="B262:T262"/>
    <mergeCell ref="D251:U251"/>
    <mergeCell ref="D252:U252"/>
    <mergeCell ref="D253:U253"/>
    <mergeCell ref="D254:U254"/>
    <mergeCell ref="D255:U255"/>
    <mergeCell ref="D256:U256"/>
    <mergeCell ref="B266:J266"/>
    <mergeCell ref="K266:P266"/>
    <mergeCell ref="Q266:R266"/>
    <mergeCell ref="S266:U266"/>
    <mergeCell ref="V266:Y266"/>
    <mergeCell ref="B264:J264"/>
    <mergeCell ref="K264:P264"/>
    <mergeCell ref="Q264:R264"/>
    <mergeCell ref="S264:T264"/>
    <mergeCell ref="Q265:R265"/>
    <mergeCell ref="S265:T265"/>
  </mergeCells>
  <pageMargins left="0.25" right="0.25" top="0.75" bottom="0.75" header="0.3" footer="0.3"/>
  <pageSetup paperSize="9" scale="70" fitToHeight="0" orientation="portrait" r:id="rId1"/>
  <rowBreaks count="4" manualBreakCount="4">
    <brk id="53" max="16383" man="1"/>
    <brk id="107" max="16383" man="1"/>
    <brk id="161" max="16383" man="1"/>
    <brk id="21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3FAF-7405-4F5A-ABAB-550CAEA2F39B}">
  <sheetPr>
    <pageSetUpPr fitToPage="1"/>
  </sheetPr>
  <dimension ref="A1:IV399"/>
  <sheetViews>
    <sheetView view="pageBreakPreview" zoomScale="85" zoomScaleNormal="100" zoomScaleSheetLayoutView="85" workbookViewId="0">
      <selection activeCell="D28" sqref="D28:U28"/>
    </sheetView>
  </sheetViews>
  <sheetFormatPr defaultRowHeight="15" x14ac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x14ac:dyDescent="0.2">
      <c r="E1" s="111" t="s">
        <v>64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x14ac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x14ac:dyDescent="0.25"/>
    <row r="4" spans="2:26" s="1" customFormat="1" ht="15" customHeight="1" thickBot="1" x14ac:dyDescent="0.25">
      <c r="J4" s="79" t="s">
        <v>2</v>
      </c>
      <c r="K4" s="79"/>
      <c r="L4" s="79"/>
      <c r="M4" s="80" t="s">
        <v>1108</v>
      </c>
      <c r="N4" s="80"/>
      <c r="O4" s="80"/>
      <c r="P4" s="80"/>
    </row>
    <row r="5" spans="2:26" s="1" customFormat="1" ht="15" customHeight="1" thickBot="1" x14ac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x14ac:dyDescent="0.25"/>
    <row r="7" spans="2:26" s="1" customFormat="1" ht="15" customHeight="1" thickBot="1" x14ac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x14ac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thickBot="1" x14ac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6.899999999999999" customHeight="1" thickBot="1" x14ac:dyDescent="0.25">
      <c r="B11" s="8"/>
      <c r="C11" s="11">
        <v>1</v>
      </c>
      <c r="D11" s="162" t="s">
        <v>1109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0"/>
      <c r="W11" s="10"/>
      <c r="X11" s="10"/>
      <c r="Y11" s="10"/>
      <c r="Z11" s="10"/>
    </row>
    <row r="12" spans="2:26" s="4" customFormat="1" ht="16.350000000000001" customHeight="1" thickBot="1" x14ac:dyDescent="0.25">
      <c r="B12" s="8"/>
      <c r="C12" s="11">
        <f>IF(ISTEXT(D12),MAX($C$10:C11)+1,"")</f>
        <v>2</v>
      </c>
      <c r="D12" s="162" t="s">
        <v>1110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0"/>
      <c r="W12" s="10"/>
      <c r="X12" s="10"/>
      <c r="Y12" s="10"/>
      <c r="Z12" s="10"/>
    </row>
    <row r="13" spans="2:26" s="4" customFormat="1" ht="16.350000000000001" customHeight="1" thickBot="1" x14ac:dyDescent="0.25">
      <c r="B13" s="8"/>
      <c r="C13" s="11">
        <f>IF(ISTEXT(D13),MAX($C$10:C12)+1,"")</f>
        <v>3</v>
      </c>
      <c r="D13" s="162" t="s">
        <v>1111</v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0"/>
      <c r="W13" s="10"/>
      <c r="X13" s="10"/>
      <c r="Y13" s="10"/>
      <c r="Z13" s="10"/>
    </row>
    <row r="14" spans="2:26" s="4" customFormat="1" ht="15.75" customHeight="1" thickBot="1" x14ac:dyDescent="0.25">
      <c r="B14" s="8"/>
      <c r="C14" s="11">
        <f>IF(ISTEXT(D14),MAX($C$10:C13)+1,"")</f>
        <v>4</v>
      </c>
      <c r="D14" s="162" t="s">
        <v>1112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0"/>
      <c r="W14" s="10"/>
      <c r="X14" s="10"/>
      <c r="Y14" s="10"/>
      <c r="Z14" s="10"/>
    </row>
    <row r="15" spans="2:26" s="4" customFormat="1" ht="16.350000000000001" customHeight="1" thickBot="1" x14ac:dyDescent="0.25">
      <c r="B15" s="8"/>
      <c r="C15" s="11">
        <f>IF(ISTEXT(D15),MAX($C$10:C14)+1,"")</f>
        <v>5</v>
      </c>
      <c r="D15" s="162" t="s">
        <v>1113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0"/>
      <c r="W15" s="10"/>
      <c r="X15" s="10"/>
      <c r="Y15" s="10"/>
      <c r="Z15" s="10"/>
    </row>
    <row r="16" spans="2:26" s="4" customFormat="1" ht="16.350000000000001" customHeight="1" thickBot="1" x14ac:dyDescent="0.25">
      <c r="B16" s="8"/>
      <c r="C16" s="11">
        <f>IF(ISTEXT(D16),MAX($C$10:C15)+1,"")</f>
        <v>6</v>
      </c>
      <c r="D16" s="162" t="s">
        <v>1114</v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0"/>
      <c r="W16" s="10"/>
      <c r="X16" s="10"/>
      <c r="Y16" s="10"/>
      <c r="Z16" s="10"/>
    </row>
    <row r="17" spans="2:26" s="4" customFormat="1" ht="16.350000000000001" customHeight="1" thickBot="1" x14ac:dyDescent="0.25">
      <c r="B17" s="8"/>
      <c r="C17" s="11">
        <f>IF(ISTEXT(D17),MAX($C$10:C16)+1,"")</f>
        <v>7</v>
      </c>
      <c r="D17" s="95" t="s">
        <v>1115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0"/>
      <c r="W17" s="10"/>
      <c r="X17" s="10"/>
      <c r="Y17" s="10"/>
      <c r="Z17" s="10"/>
    </row>
    <row r="18" spans="2:26" s="4" customFormat="1" ht="16.350000000000001" customHeight="1" thickBot="1" x14ac:dyDescent="0.25">
      <c r="B18" s="8"/>
      <c r="C18" s="11">
        <f>IF(ISTEXT(D18),MAX($C$10:C17)+1,"")</f>
        <v>8</v>
      </c>
      <c r="D18" s="95" t="s">
        <v>1116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10"/>
      <c r="W18" s="10"/>
      <c r="X18" s="10"/>
      <c r="Y18" s="10"/>
      <c r="Z18" s="10"/>
    </row>
    <row r="19" spans="2:26" s="4" customFormat="1" ht="16.350000000000001" customHeight="1" thickBot="1" x14ac:dyDescent="0.25">
      <c r="B19" s="8"/>
      <c r="C19" s="11">
        <f>IF(ISTEXT(D19),MAX($C$10:C18)+1,"")</f>
        <v>9</v>
      </c>
      <c r="D19" s="95" t="s">
        <v>810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10"/>
      <c r="W19" s="10"/>
      <c r="X19" s="10"/>
      <c r="Y19" s="10"/>
      <c r="Z19" s="10"/>
    </row>
    <row r="20" spans="2:26" s="1" customFormat="1" ht="16.350000000000001" customHeight="1" thickBot="1" x14ac:dyDescent="0.25">
      <c r="B20" s="8"/>
      <c r="C20" s="11">
        <f>IF(ISTEXT(D20),MAX($C$10:C19)+1,"")</f>
        <v>10</v>
      </c>
      <c r="D20" s="95" t="s">
        <v>1117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10"/>
      <c r="W20" s="10"/>
      <c r="X20" s="10"/>
      <c r="Y20" s="10"/>
      <c r="Z20" s="10"/>
    </row>
    <row r="21" spans="2:26" s="4" customFormat="1" ht="16.350000000000001" customHeight="1" thickBot="1" x14ac:dyDescent="0.25">
      <c r="B21" s="8"/>
      <c r="C21" s="11">
        <f>IF(ISTEXT(D21),MAX($C$10:C20)+1,"")</f>
        <v>11</v>
      </c>
      <c r="D21" s="95" t="s">
        <v>1118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10"/>
      <c r="W21" s="10"/>
      <c r="X21" s="10"/>
      <c r="Y21" s="10"/>
      <c r="Z21" s="10"/>
    </row>
    <row r="22" spans="2:26" s="4" customFormat="1" ht="16.350000000000001" customHeight="1" thickBot="1" x14ac:dyDescent="0.25">
      <c r="B22" s="8"/>
      <c r="C22" s="11">
        <f>IF(ISTEXT(D22),MAX($C$10:C21)+1,"")</f>
        <v>12</v>
      </c>
      <c r="D22" s="95" t="s">
        <v>1119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10"/>
      <c r="W22" s="10"/>
      <c r="X22" s="10"/>
      <c r="Y22" s="10"/>
      <c r="Z22" s="10"/>
    </row>
    <row r="23" spans="2:26" s="4" customFormat="1" ht="16.350000000000001" customHeight="1" thickBot="1" x14ac:dyDescent="0.25">
      <c r="B23" s="8"/>
      <c r="C23" s="11">
        <f>IF(ISTEXT(D23),MAX($C$10:C22)+1,"")</f>
        <v>13</v>
      </c>
      <c r="D23" s="162" t="s">
        <v>1120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0"/>
      <c r="W23" s="10"/>
      <c r="X23" s="10"/>
      <c r="Y23" s="10"/>
      <c r="Z23" s="10"/>
    </row>
    <row r="24" spans="2:26" s="4" customFormat="1" ht="16.350000000000001" customHeight="1" thickBot="1" x14ac:dyDescent="0.25">
      <c r="B24" s="13"/>
      <c r="C24" s="11">
        <f>IF(ISTEXT(D24),MAX($C$10:C23)+1,"")</f>
        <v>14</v>
      </c>
      <c r="D24" s="162" t="s">
        <v>1121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0"/>
      <c r="W24" s="10"/>
      <c r="X24" s="10"/>
      <c r="Y24" s="10"/>
      <c r="Z24" s="10"/>
    </row>
    <row r="25" spans="2:26" s="4" customFormat="1" ht="16.350000000000001" customHeight="1" thickBot="1" x14ac:dyDescent="0.25">
      <c r="B25" s="8"/>
      <c r="C25" s="11">
        <f>IF(ISTEXT(D25),MAX($C$10:C24)+1,"")</f>
        <v>15</v>
      </c>
      <c r="D25" s="162" t="s">
        <v>1122</v>
      </c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0"/>
      <c r="W25" s="10"/>
      <c r="X25" s="10"/>
      <c r="Y25" s="10"/>
      <c r="Z25" s="10"/>
    </row>
    <row r="26" spans="2:26" s="4" customFormat="1" ht="16.350000000000001" customHeight="1" thickBot="1" x14ac:dyDescent="0.3">
      <c r="B26" s="8"/>
      <c r="C26" s="11">
        <f>IF(ISTEXT(D26),MAX($C$10:C25)+1,"")</f>
        <v>16</v>
      </c>
      <c r="D26" s="70" t="s">
        <v>1123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  <c r="V26" s="10"/>
      <c r="W26" s="10"/>
      <c r="X26" s="10"/>
      <c r="Y26" s="10"/>
      <c r="Z26" s="10"/>
    </row>
    <row r="27" spans="2:26" s="4" customFormat="1" ht="16.350000000000001" customHeight="1" thickBot="1" x14ac:dyDescent="0.3">
      <c r="B27" s="8"/>
      <c r="C27" s="11">
        <f>IF(ISTEXT(D27),MAX($C$10:C26)+1,"")</f>
        <v>17</v>
      </c>
      <c r="D27" s="70" t="s">
        <v>1124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2"/>
      <c r="V27" s="10"/>
      <c r="W27" s="10"/>
      <c r="X27" s="10"/>
      <c r="Y27" s="10"/>
      <c r="Z27" s="10"/>
    </row>
    <row r="28" spans="2:26" s="4" customFormat="1" ht="16.350000000000001" customHeight="1" thickBot="1" x14ac:dyDescent="0.3">
      <c r="B28" s="8"/>
      <c r="C28" s="11">
        <f>IF(ISTEXT(D28),MAX($C$10:C27)+1,"")</f>
        <v>18</v>
      </c>
      <c r="D28" s="70" t="s">
        <v>1125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2"/>
      <c r="V28" s="10"/>
      <c r="W28" s="10"/>
      <c r="X28" s="10"/>
      <c r="Y28" s="10"/>
      <c r="Z28" s="10"/>
    </row>
    <row r="29" spans="2:26" s="4" customFormat="1" ht="16.350000000000001" customHeight="1" thickBot="1" x14ac:dyDescent="0.3">
      <c r="B29" s="8"/>
      <c r="C29" s="11">
        <f>IF(ISTEXT(D29),MAX($C$10:C28)+1,"")</f>
        <v>19</v>
      </c>
      <c r="D29" s="70" t="s">
        <v>1126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2"/>
      <c r="V29" s="10"/>
      <c r="W29" s="10"/>
      <c r="X29" s="10"/>
      <c r="Y29" s="10"/>
      <c r="Z29" s="10"/>
    </row>
    <row r="30" spans="2:26" s="4" customFormat="1" ht="16.350000000000001" customHeight="1" thickBot="1" x14ac:dyDescent="0.3">
      <c r="B30" s="8"/>
      <c r="C30" s="11">
        <f>IF(ISTEXT(D30),MAX($C$10:C29)+1,"")</f>
        <v>20</v>
      </c>
      <c r="D30" s="159" t="s">
        <v>1127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1"/>
      <c r="V30" s="10"/>
      <c r="W30" s="10"/>
      <c r="X30" s="10"/>
      <c r="Y30" s="10"/>
      <c r="Z30" s="10"/>
    </row>
    <row r="31" spans="2:26" s="4" customFormat="1" ht="16.350000000000001" customHeight="1" thickBot="1" x14ac:dyDescent="0.3">
      <c r="B31" s="8"/>
      <c r="C31" s="11">
        <f>IF(ISTEXT(D31),MAX($C$10:C30)+1,"")</f>
        <v>21</v>
      </c>
      <c r="D31" s="159" t="s">
        <v>1128</v>
      </c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1"/>
      <c r="V31" s="10"/>
      <c r="W31" s="10"/>
      <c r="X31" s="10"/>
      <c r="Y31" s="10"/>
      <c r="Z31" s="10"/>
    </row>
    <row r="32" spans="2:26" s="4" customFormat="1" ht="16.350000000000001" customHeight="1" thickBot="1" x14ac:dyDescent="0.3">
      <c r="B32" s="8"/>
      <c r="C32" s="11">
        <f>IF(ISTEXT(D32),MAX($C$10:C31)+1,"")</f>
        <v>22</v>
      </c>
      <c r="D32" s="70" t="s">
        <v>1129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2"/>
      <c r="V32" s="10"/>
      <c r="W32" s="10"/>
      <c r="X32" s="10"/>
      <c r="Y32" s="10"/>
      <c r="Z32" s="10"/>
    </row>
    <row r="33" spans="2:26" s="4" customFormat="1" ht="16.350000000000001" customHeight="1" thickBot="1" x14ac:dyDescent="0.3">
      <c r="B33" s="8"/>
      <c r="C33" s="11">
        <f>IF(ISTEXT(D33),MAX($C$10:C32)+1,"")</f>
        <v>23</v>
      </c>
      <c r="D33" s="70" t="s">
        <v>1130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  <c r="V33" s="10"/>
      <c r="W33" s="10"/>
      <c r="X33" s="10"/>
      <c r="Y33" s="10"/>
      <c r="Z33" s="10"/>
    </row>
    <row r="34" spans="2:26" s="4" customFormat="1" ht="16.350000000000001" customHeight="1" thickBot="1" x14ac:dyDescent="0.3">
      <c r="B34" s="8"/>
      <c r="C34" s="11" t="str">
        <f>IF(ISTEXT(D34),MAX($C$10:C33)+1,"")</f>
        <v/>
      </c>
      <c r="D34" s="194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6"/>
      <c r="V34" s="10"/>
      <c r="W34" s="10"/>
      <c r="X34" s="10"/>
      <c r="Y34" s="10"/>
      <c r="Z34" s="10"/>
    </row>
    <row r="35" spans="2:26" s="4" customFormat="1" ht="16.350000000000001" customHeight="1" thickBot="1" x14ac:dyDescent="0.3">
      <c r="B35" s="8"/>
      <c r="C35" s="11" t="str">
        <f>IF(ISTEXT(D35),MAX($C$10:C34)+1,"")</f>
        <v/>
      </c>
      <c r="D35" s="194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6"/>
      <c r="V35" s="10"/>
      <c r="W35" s="10"/>
      <c r="X35" s="10"/>
      <c r="Y35" s="10"/>
      <c r="Z35" s="10"/>
    </row>
    <row r="36" spans="2:26" s="4" customFormat="1" ht="16.350000000000001" customHeight="1" thickBot="1" x14ac:dyDescent="0.3">
      <c r="B36" s="8"/>
      <c r="C36" s="11" t="str">
        <f>IF(ISTEXT(D36),MAX($C$10:C35)+1,"")</f>
        <v/>
      </c>
      <c r="D36" s="70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/>
      <c r="V36" s="10"/>
      <c r="W36" s="10"/>
      <c r="X36" s="10"/>
      <c r="Y36" s="10"/>
      <c r="Z36" s="10"/>
    </row>
    <row r="37" spans="2:26" s="4" customFormat="1" ht="16.350000000000001" customHeight="1" thickBot="1" x14ac:dyDescent="0.3">
      <c r="B37" s="8"/>
      <c r="C37" s="11"/>
      <c r="D37" s="73" t="s">
        <v>68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5"/>
      <c r="V37" s="10"/>
      <c r="W37" s="10"/>
      <c r="X37" s="10"/>
      <c r="Y37" s="10"/>
      <c r="Z37" s="10"/>
    </row>
    <row r="38" spans="2:26" s="4" customFormat="1" ht="16.350000000000001" customHeight="1" thickBot="1" x14ac:dyDescent="0.3">
      <c r="B38" s="8"/>
      <c r="C38" s="11">
        <f>IF(ISTEXT(D38),MAX($C$10:C37)+1,"")</f>
        <v>24</v>
      </c>
      <c r="D38" s="70" t="s">
        <v>1131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/>
      <c r="V38" s="10"/>
      <c r="W38" s="10"/>
      <c r="X38" s="10"/>
      <c r="Y38" s="10"/>
      <c r="Z38" s="10"/>
    </row>
    <row r="39" spans="2:26" s="4" customFormat="1" ht="15" customHeight="1" thickBot="1" x14ac:dyDescent="0.3">
      <c r="B39" s="8"/>
      <c r="C39" s="11">
        <f>IF(ISTEXT(D41),MAX($C$10:C38)+1,"")</f>
        <v>25</v>
      </c>
      <c r="D39" s="70" t="s">
        <v>1132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/>
      <c r="V39" s="10"/>
      <c r="W39" s="10"/>
      <c r="X39" s="10"/>
      <c r="Y39" s="10"/>
      <c r="Z39" s="10"/>
    </row>
    <row r="40" spans="2:26" s="4" customFormat="1" ht="12.75" customHeight="1" thickBot="1" x14ac:dyDescent="0.3">
      <c r="B40" s="8"/>
      <c r="C40" s="11">
        <f>IF(ISTEXT(D42),MAX($C$10:C39)+1,"")</f>
        <v>26</v>
      </c>
      <c r="D40" s="70" t="s">
        <v>1133</v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/>
      <c r="V40" s="10"/>
      <c r="W40" s="10"/>
      <c r="X40" s="10"/>
      <c r="Y40" s="10"/>
      <c r="Z40" s="10"/>
    </row>
    <row r="41" spans="2:26" s="4" customFormat="1" ht="15.95" customHeight="1" thickBot="1" x14ac:dyDescent="0.3">
      <c r="B41" s="10"/>
      <c r="C41" s="11">
        <f>IF(ISTEXT(D41),MAX($C$10:C40)+1,"")</f>
        <v>27</v>
      </c>
      <c r="D41" s="70" t="s">
        <v>1134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/>
      <c r="V41" s="10"/>
      <c r="W41" s="10"/>
      <c r="X41" s="10"/>
      <c r="Y41" s="10"/>
      <c r="Z41" s="10"/>
    </row>
    <row r="42" spans="2:26" s="4" customFormat="1" ht="15.95" customHeight="1" thickBot="1" x14ac:dyDescent="0.3">
      <c r="B42" s="8"/>
      <c r="C42" s="11">
        <f>IF(ISTEXT(D42),MAX($C$10:C41)+1,"")</f>
        <v>28</v>
      </c>
      <c r="D42" s="70" t="s">
        <v>1135</v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/>
      <c r="V42" s="10"/>
      <c r="W42" s="10"/>
      <c r="X42" s="10"/>
      <c r="Y42" s="10"/>
      <c r="Z42" s="10"/>
    </row>
    <row r="43" spans="2:26" s="4" customFormat="1" ht="16.350000000000001" customHeight="1" thickBot="1" x14ac:dyDescent="0.3">
      <c r="B43" s="8"/>
      <c r="C43" s="11">
        <f>IF(ISTEXT(D43),MAX($C$10:C42)+1,"")</f>
        <v>29</v>
      </c>
      <c r="D43" s="70" t="s">
        <v>1136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/>
      <c r="V43" s="10"/>
      <c r="W43" s="10"/>
      <c r="X43" s="10"/>
      <c r="Y43" s="10"/>
      <c r="Z43" s="10"/>
    </row>
    <row r="44" spans="2:26" s="4" customFormat="1" ht="16.350000000000001" customHeight="1" thickBot="1" x14ac:dyDescent="0.3">
      <c r="B44" s="8"/>
      <c r="C44" s="11">
        <f>IF(ISTEXT(D44),MAX($C$10:C43)+1,"")</f>
        <v>30</v>
      </c>
      <c r="D44" s="70" t="s">
        <v>1137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/>
      <c r="V44" s="10"/>
      <c r="W44" s="10"/>
      <c r="X44" s="10"/>
      <c r="Y44" s="10"/>
      <c r="Z44" s="10"/>
    </row>
    <row r="45" spans="2:26" s="15" customFormat="1" ht="16.350000000000001" customHeight="1" thickBot="1" x14ac:dyDescent="0.3">
      <c r="B45" s="8"/>
      <c r="C45" s="11">
        <f>IF(ISTEXT(D45),MAX($C$10:C44)+1,"")</f>
        <v>31</v>
      </c>
      <c r="D45" s="70" t="s">
        <v>1138</v>
      </c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/>
      <c r="V45" s="10"/>
      <c r="W45" s="14"/>
      <c r="X45" s="14"/>
      <c r="Y45" s="14"/>
      <c r="Z45" s="14"/>
    </row>
    <row r="46" spans="2:26" s="4" customFormat="1" ht="16.350000000000001" customHeight="1" thickBot="1" x14ac:dyDescent="0.3">
      <c r="B46" s="8"/>
      <c r="C46" s="11">
        <f>IF(ISTEXT(D46),MAX($C$10:C45)+1,"")</f>
        <v>32</v>
      </c>
      <c r="D46" s="70" t="s">
        <v>1139</v>
      </c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/>
      <c r="V46" s="10"/>
      <c r="W46" s="10"/>
      <c r="X46" s="10"/>
      <c r="Y46" s="10"/>
      <c r="Z46" s="10"/>
    </row>
    <row r="47" spans="2:26" s="4" customFormat="1" ht="16.350000000000001" customHeight="1" thickBot="1" x14ac:dyDescent="0.3">
      <c r="B47" s="8"/>
      <c r="C47" s="11">
        <f>IF(ISTEXT(D47),MAX($C$10:C46)+1,"")</f>
        <v>33</v>
      </c>
      <c r="D47" s="70" t="s">
        <v>1140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/>
      <c r="V47" s="10"/>
      <c r="W47" s="10"/>
      <c r="X47" s="10"/>
      <c r="Y47" s="10"/>
      <c r="Z47" s="10"/>
    </row>
    <row r="48" spans="2:26" s="4" customFormat="1" ht="16.350000000000001" customHeight="1" thickBot="1" x14ac:dyDescent="0.3">
      <c r="B48" s="8"/>
      <c r="C48" s="11">
        <f>IF(ISTEXT(D48),MAX($C$10:C47)+1,"")</f>
        <v>34</v>
      </c>
      <c r="D48" s="70" t="s">
        <v>1141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/>
      <c r="V48" s="10"/>
      <c r="W48" s="10"/>
      <c r="X48" s="10"/>
      <c r="Y48" s="10"/>
      <c r="Z48" s="10"/>
    </row>
    <row r="49" spans="2:26" s="4" customFormat="1" ht="16.350000000000001" customHeight="1" thickBot="1" x14ac:dyDescent="0.3">
      <c r="B49" s="8"/>
      <c r="C49" s="11">
        <f>IF(ISTEXT(D49),MAX($C$10:C48)+1,"")</f>
        <v>35</v>
      </c>
      <c r="D49" s="70" t="s">
        <v>1142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/>
      <c r="V49" s="10"/>
      <c r="W49" s="10"/>
      <c r="X49" s="10"/>
      <c r="Y49" s="10"/>
      <c r="Z49" s="10"/>
    </row>
    <row r="50" spans="2:26" s="4" customFormat="1" ht="16.350000000000001" customHeight="1" thickBot="1" x14ac:dyDescent="0.3">
      <c r="B50" s="8"/>
      <c r="C50" s="11">
        <f>IF(ISTEXT(D50),MAX($C$10:C49)+1,"")</f>
        <v>36</v>
      </c>
      <c r="D50" s="70" t="s">
        <v>1143</v>
      </c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/>
      <c r="V50" s="10"/>
      <c r="W50" s="10"/>
      <c r="X50" s="10"/>
      <c r="Y50" s="10"/>
      <c r="Z50" s="10"/>
    </row>
    <row r="51" spans="2:26" s="4" customFormat="1" ht="16.350000000000001" customHeight="1" thickBot="1" x14ac:dyDescent="0.3">
      <c r="B51" s="8"/>
      <c r="C51" s="11">
        <f>IF(ISTEXT(D51),MAX($C$10:C50)+1,"")</f>
        <v>37</v>
      </c>
      <c r="D51" s="70" t="s">
        <v>869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/>
      <c r="V51" s="10"/>
      <c r="W51" s="10"/>
      <c r="X51" s="10"/>
      <c r="Y51" s="10"/>
      <c r="Z51" s="10"/>
    </row>
    <row r="52" spans="2:26" s="4" customFormat="1" ht="16.350000000000001" customHeight="1" thickBot="1" x14ac:dyDescent="0.3">
      <c r="B52" s="8"/>
      <c r="C52" s="11"/>
      <c r="D52" s="70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/>
      <c r="V52" s="10"/>
      <c r="W52" s="10"/>
      <c r="X52" s="10"/>
      <c r="Y52" s="10"/>
      <c r="Z52" s="10"/>
    </row>
    <row r="53" spans="2:26" s="4" customFormat="1" ht="16.350000000000001" customHeight="1" thickBot="1" x14ac:dyDescent="0.3">
      <c r="B53" s="8"/>
      <c r="C53" s="11"/>
      <c r="D53" s="143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5"/>
      <c r="V53" s="10"/>
      <c r="W53" s="10"/>
      <c r="X53" s="10"/>
      <c r="Y53" s="10"/>
      <c r="Z53" s="10"/>
    </row>
    <row r="54" spans="2:26" s="4" customFormat="1" ht="16.350000000000001" customHeight="1" thickBot="1" x14ac:dyDescent="0.3">
      <c r="B54" s="8"/>
      <c r="C54" s="11" t="str">
        <f>IF(ISTEXT(#REF!),MAX($C$10:C53)+1,"")</f>
        <v/>
      </c>
      <c r="D54" s="73" t="s">
        <v>476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5"/>
      <c r="V54" s="16"/>
      <c r="W54" s="10"/>
      <c r="X54" s="10"/>
      <c r="Y54" s="10"/>
      <c r="Z54" s="10"/>
    </row>
    <row r="55" spans="2:26" s="4" customFormat="1" ht="16.350000000000001" customHeight="1" thickBot="1" x14ac:dyDescent="0.3">
      <c r="B55" s="8"/>
      <c r="C55" s="11">
        <f>IF(ISTEXT(D55),MAX($C$10:C54)+1,"")</f>
        <v>38</v>
      </c>
      <c r="D55" s="143" t="s">
        <v>869</v>
      </c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64"/>
      <c r="V55" s="17"/>
      <c r="W55" s="18"/>
      <c r="X55" s="10"/>
      <c r="Y55" s="10"/>
      <c r="Z55" s="10"/>
    </row>
    <row r="56" spans="2:26" s="4" customFormat="1" ht="16.350000000000001" customHeight="1" thickBot="1" x14ac:dyDescent="0.3">
      <c r="B56" s="8"/>
      <c r="C56" s="11">
        <f>IF(ISTEXT(D56),MAX($C$10:C55)+1,"")</f>
        <v>39</v>
      </c>
      <c r="D56" s="143" t="s">
        <v>1144</v>
      </c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64"/>
      <c r="V56" s="17"/>
      <c r="W56" s="18"/>
      <c r="X56" s="10"/>
      <c r="Y56" s="10"/>
      <c r="Z56" s="10"/>
    </row>
    <row r="57" spans="2:26" s="15" customFormat="1" ht="15" customHeight="1" thickBot="1" x14ac:dyDescent="0.3">
      <c r="B57" s="8"/>
      <c r="C57" s="11">
        <f>IF(ISTEXT(D57),MAX($C$10:C55)+1,"")</f>
        <v>39</v>
      </c>
      <c r="D57" s="143" t="s">
        <v>1145</v>
      </c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5"/>
      <c r="V57" s="19"/>
      <c r="W57" s="14"/>
      <c r="X57" s="14"/>
      <c r="Y57" s="14"/>
      <c r="Z57" s="14"/>
    </row>
    <row r="58" spans="2:26" s="4" customFormat="1" ht="15.95" customHeight="1" thickBot="1" x14ac:dyDescent="0.3">
      <c r="B58" s="3"/>
      <c r="C58" s="11">
        <f>IF(ISTEXT(D58),MAX($C$10:C57)+1,"")</f>
        <v>40</v>
      </c>
      <c r="D58" s="143" t="s">
        <v>1146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5"/>
      <c r="V58" s="10"/>
      <c r="W58" s="10"/>
      <c r="X58" s="10"/>
      <c r="Y58" s="10"/>
      <c r="Z58" s="10"/>
    </row>
    <row r="59" spans="2:26" s="4" customFormat="1" ht="15.95" customHeight="1" thickBot="1" x14ac:dyDescent="0.3">
      <c r="B59" s="8"/>
      <c r="C59" s="11">
        <f>IF(ISTEXT(D59),MAX($C$10:C58)+1,"")</f>
        <v>41</v>
      </c>
      <c r="D59" s="70" t="s">
        <v>1147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/>
      <c r="V59" s="10"/>
      <c r="W59" s="10"/>
      <c r="X59" s="10"/>
      <c r="Y59" s="10"/>
      <c r="Z59" s="10"/>
    </row>
    <row r="60" spans="2:26" s="4" customFormat="1" ht="16.350000000000001" customHeight="1" thickBot="1" x14ac:dyDescent="0.3">
      <c r="B60" s="8"/>
      <c r="C60" s="11">
        <f>IF(ISTEXT(D60),MAX($C$10:C59)+1,"")</f>
        <v>42</v>
      </c>
      <c r="D60" s="70" t="s">
        <v>821</v>
      </c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/>
      <c r="V60" s="10"/>
      <c r="W60" s="10"/>
      <c r="X60" s="10"/>
      <c r="Y60" s="10"/>
      <c r="Z60" s="10"/>
    </row>
    <row r="61" spans="2:26" s="4" customFormat="1" ht="16.350000000000001" customHeight="1" thickBot="1" x14ac:dyDescent="0.3">
      <c r="B61" s="8"/>
      <c r="C61" s="11">
        <f>IF(ISTEXT(D61),MAX($C$10:C60)+1,"")</f>
        <v>43</v>
      </c>
      <c r="D61" s="66" t="s">
        <v>1148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8"/>
      <c r="V61" s="10"/>
      <c r="W61" s="10"/>
      <c r="X61" s="10"/>
      <c r="Y61" s="10"/>
      <c r="Z61" s="10"/>
    </row>
    <row r="62" spans="2:26" s="1" customFormat="1" ht="15" customHeight="1" x14ac:dyDescent="0.2">
      <c r="B62" s="69" t="s">
        <v>60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</row>
    <row r="63" spans="2:26" x14ac:dyDescent="0.25">
      <c r="B63" s="20"/>
      <c r="C63" s="21"/>
      <c r="O63" s="22"/>
      <c r="P63" s="22"/>
      <c r="Q63" s="23"/>
      <c r="R63" s="23"/>
      <c r="S63" s="22"/>
      <c r="T63" s="22"/>
    </row>
    <row r="64" spans="2:26" s="1" customFormat="1" ht="13.5" thickBot="1" x14ac:dyDescent="0.25">
      <c r="B64" s="57" t="s">
        <v>61</v>
      </c>
      <c r="C64" s="57"/>
      <c r="D64" s="57"/>
      <c r="E64" s="57"/>
      <c r="F64" s="57"/>
      <c r="G64" s="57"/>
      <c r="H64" s="57"/>
      <c r="I64" s="57"/>
      <c r="J64" s="57"/>
      <c r="K64" s="64">
        <f ca="1">TODAY()</f>
        <v>45832</v>
      </c>
      <c r="L64" s="62"/>
      <c r="M64" s="62"/>
      <c r="N64" s="62"/>
      <c r="O64" s="59"/>
      <c r="P64" s="59"/>
      <c r="Q64" s="83"/>
      <c r="R64" s="83"/>
      <c r="S64" s="98"/>
      <c r="T64" s="98"/>
    </row>
    <row r="65" spans="2:26" ht="15" customHeight="1" x14ac:dyDescent="0.25">
      <c r="C65" s="29"/>
      <c r="I65" s="30"/>
      <c r="O65" s="65"/>
      <c r="P65" s="65"/>
      <c r="Q65" s="60"/>
      <c r="R65" s="60"/>
      <c r="S65" s="65"/>
      <c r="T65" s="65"/>
    </row>
    <row r="66" spans="2:26" ht="18" customHeight="1" thickBot="1" x14ac:dyDescent="0.3">
      <c r="B66" s="57" t="s">
        <v>62</v>
      </c>
      <c r="C66" s="57"/>
      <c r="D66" s="57"/>
      <c r="E66" s="57"/>
      <c r="F66" s="57"/>
      <c r="G66" s="57"/>
      <c r="H66" s="57"/>
      <c r="I66" s="57"/>
      <c r="J66" s="57"/>
      <c r="K66" s="58" t="s">
        <v>532</v>
      </c>
      <c r="L66" s="58"/>
      <c r="M66" s="58"/>
      <c r="N66" s="58"/>
      <c r="O66" s="59"/>
      <c r="P66" s="59"/>
      <c r="Q66" s="60"/>
      <c r="R66" s="60"/>
      <c r="S66" s="97" t="s">
        <v>63</v>
      </c>
      <c r="T66" s="97"/>
      <c r="U66" s="97"/>
      <c r="V66" s="62"/>
      <c r="W66" s="62"/>
      <c r="X66" s="62"/>
      <c r="Y66" s="62"/>
    </row>
    <row r="67" spans="2:26" ht="15" customHeight="1" x14ac:dyDescent="0.25"/>
    <row r="68" spans="2:26" ht="15" customHeight="1" thickBot="1" x14ac:dyDescent="0.3"/>
    <row r="69" spans="2:26" ht="15" customHeight="1" x14ac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2" t="s">
        <v>65</v>
      </c>
      <c r="X69" s="79"/>
      <c r="Y69" s="79"/>
      <c r="Z69" s="79"/>
    </row>
    <row r="70" spans="2:26" ht="15" customHeight="1" thickBot="1" x14ac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</row>
    <row r="71" spans="2:26" ht="10.5" customHeight="1" thickBot="1" x14ac:dyDescent="0.3"/>
    <row r="72" spans="2:26" ht="15" customHeight="1" thickBot="1" x14ac:dyDescent="0.3">
      <c r="J72" s="79" t="s">
        <v>2</v>
      </c>
      <c r="K72" s="79"/>
      <c r="L72" s="79"/>
      <c r="M72" s="80" t="str">
        <f>M4</f>
        <v>C1003</v>
      </c>
      <c r="N72" s="80"/>
      <c r="O72" s="80"/>
      <c r="P72" s="80"/>
    </row>
    <row r="73" spans="2:26" s="15" customFormat="1" ht="15" customHeight="1" thickBot="1" x14ac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/>
    </row>
    <row r="74" spans="2:26" s="15" customFormat="1" ht="15.95" customHeight="1" thickBot="1" x14ac:dyDescent="0.3"/>
    <row r="75" spans="2:26" s="15" customFormat="1" ht="15" customHeight="1" thickBot="1" x14ac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/>
      <c r="W75" s="60"/>
      <c r="X75" s="23"/>
    </row>
    <row r="76" spans="2:26" s="15" customFormat="1" ht="15" customHeight="1" thickBot="1" x14ac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s="15" customFormat="1" ht="22.5" customHeight="1" thickBot="1" x14ac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 t="s">
        <v>8</v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x14ac:dyDescent="0.3"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3"/>
      <c r="V78" s="6"/>
      <c r="W78" s="6"/>
      <c r="X78" s="6"/>
      <c r="Y78" s="7"/>
      <c r="Z78" s="35"/>
    </row>
    <row r="79" spans="2:26" s="15" customFormat="1" ht="15.6" customHeight="1" thickBot="1" x14ac:dyDescent="0.3"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3"/>
      <c r="V79" s="6"/>
      <c r="W79" s="6"/>
      <c r="X79" s="6"/>
      <c r="Y79" s="7"/>
      <c r="Z79" s="35"/>
    </row>
    <row r="80" spans="2:26" s="15" customFormat="1" ht="15.6" customHeight="1" thickBot="1" x14ac:dyDescent="0.3">
      <c r="B80" s="8"/>
      <c r="C80" s="12"/>
      <c r="D80" s="73" t="s">
        <v>214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5"/>
      <c r="V80" s="14"/>
      <c r="W80" s="14"/>
      <c r="X80" s="14"/>
      <c r="Y80" s="14"/>
      <c r="Z80" s="14"/>
    </row>
    <row r="81" spans="1:26" s="15" customFormat="1" ht="15.6" customHeight="1" thickBot="1" x14ac:dyDescent="0.3">
      <c r="B81" s="8"/>
      <c r="C81" s="11">
        <f>IF(ISTEXT(D81),MAX($C$10:C80)+1,"")</f>
        <v>44</v>
      </c>
      <c r="D81" s="70" t="s">
        <v>869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/>
      <c r="W81" s="14"/>
      <c r="X81" s="14"/>
      <c r="Y81" s="14"/>
      <c r="Z81" s="14"/>
    </row>
    <row r="82" spans="1:26" s="15" customFormat="1" ht="16.149999999999999" customHeight="1" thickBot="1" x14ac:dyDescent="0.3">
      <c r="B82" s="8"/>
      <c r="C82" s="11">
        <f>IF(ISTEXT(D82),MAX($C$10:C81)+1,"")</f>
        <v>45</v>
      </c>
      <c r="D82" s="70" t="s">
        <v>1149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/>
      <c r="W82" s="14"/>
      <c r="X82" s="14"/>
      <c r="Y82" s="14"/>
      <c r="Z82" s="14"/>
    </row>
    <row r="83" spans="1:26" s="15" customFormat="1" ht="16.149999999999999" customHeight="1" thickBot="1" x14ac:dyDescent="0.3">
      <c r="B83" s="8"/>
      <c r="C83" s="11">
        <f>IF(ISTEXT(D83),MAX($C$10:C82)+1,"")</f>
        <v>46</v>
      </c>
      <c r="D83" s="70" t="s">
        <v>258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/>
      <c r="W83" s="14"/>
      <c r="X83" s="14"/>
      <c r="Y83" s="14"/>
      <c r="Z83" s="14"/>
    </row>
    <row r="84" spans="1:26" s="15" customFormat="1" ht="16.149999999999999" customHeight="1" thickBot="1" x14ac:dyDescent="0.3">
      <c r="B84" s="8"/>
      <c r="C84" s="11">
        <f>IF(ISTEXT(D84),MAX($C$10:C83)+1,"")</f>
        <v>47</v>
      </c>
      <c r="D84" s="70" t="s">
        <v>1150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/>
      <c r="W84" s="14"/>
      <c r="X84" s="14"/>
      <c r="Y84" s="14"/>
      <c r="Z84" s="14"/>
    </row>
    <row r="85" spans="1:26" s="15" customFormat="1" ht="16.149999999999999" customHeight="1" thickBot="1" x14ac:dyDescent="0.3">
      <c r="B85" s="8"/>
      <c r="C85" s="11">
        <f>IF(ISTEXT(D85),MAX($C$10:C84)+1,"")</f>
        <v>48</v>
      </c>
      <c r="D85" s="70" t="s">
        <v>840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2"/>
      <c r="V85" s="10"/>
      <c r="W85" s="14"/>
      <c r="X85" s="14"/>
      <c r="Y85" s="14"/>
      <c r="Z85" s="14"/>
    </row>
    <row r="86" spans="1:26" s="15" customFormat="1" ht="16.149999999999999" customHeight="1" thickBot="1" x14ac:dyDescent="0.3">
      <c r="B86" s="8"/>
      <c r="C86" s="11">
        <f>IF(ISTEXT(D86),MAX($C$10:C85)+1,"")</f>
        <v>49</v>
      </c>
      <c r="D86" s="70" t="s">
        <v>1151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/>
      <c r="W86" s="14"/>
      <c r="X86" s="14"/>
      <c r="Y86" s="14"/>
      <c r="Z86" s="14"/>
    </row>
    <row r="87" spans="1:26" ht="16.149999999999999" customHeight="1" thickBot="1" x14ac:dyDescent="0.3">
      <c r="B87" s="8"/>
      <c r="C87" s="11">
        <f>IF(ISTEXT(D87),MAX($C$10:C86)+1,"")</f>
        <v>50</v>
      </c>
      <c r="D87" s="70" t="s">
        <v>1152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10"/>
      <c r="W87" s="14"/>
      <c r="X87" s="14"/>
      <c r="Y87" s="14"/>
      <c r="Z87" s="14"/>
    </row>
    <row r="88" spans="1:26" s="15" customFormat="1" ht="16.149999999999999" customHeight="1" thickBot="1" x14ac:dyDescent="0.3">
      <c r="A88" s="36"/>
      <c r="B88" s="37"/>
      <c r="C88" s="11" t="str">
        <f>IF(ISTEXT(D88),MAX($C$10:C87)+1,"")</f>
        <v/>
      </c>
      <c r="D88" s="70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/>
      <c r="W88" s="14"/>
      <c r="X88" s="14"/>
      <c r="Y88" s="14"/>
      <c r="Z88" s="14"/>
    </row>
    <row r="89" spans="1:26" s="15" customFormat="1" ht="16.149999999999999" customHeight="1" thickBot="1" x14ac:dyDescent="0.3">
      <c r="B89" s="8"/>
      <c r="C89" s="11" t="str">
        <f>IF(ISTEXT(D89),MAX($C$10:C88)+1,"")</f>
        <v/>
      </c>
      <c r="D89" s="70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/>
      <c r="W89" s="14"/>
      <c r="X89" s="14"/>
      <c r="Y89" s="14"/>
      <c r="Z89" s="14"/>
    </row>
    <row r="90" spans="1:26" s="15" customFormat="1" ht="16.149999999999999" customHeight="1" thickBot="1" x14ac:dyDescent="0.3">
      <c r="B90" s="8"/>
      <c r="C90" s="11"/>
      <c r="D90" s="73" t="s">
        <v>856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5"/>
      <c r="V90" s="10"/>
      <c r="W90" s="14"/>
      <c r="X90" s="14"/>
      <c r="Y90" s="14"/>
      <c r="Z90" s="14"/>
    </row>
    <row r="91" spans="1:26" s="15" customFormat="1" ht="16.149999999999999" customHeight="1" thickBot="1" x14ac:dyDescent="0.3">
      <c r="B91" s="8"/>
      <c r="C91" s="11">
        <f>IF(ISTEXT(D91),MAX($C$10:C90)+1,"")</f>
        <v>51</v>
      </c>
      <c r="D91" s="70" t="s">
        <v>1153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/>
      <c r="W91" s="14"/>
      <c r="X91" s="14"/>
      <c r="Y91" s="14"/>
      <c r="Z91" s="14"/>
    </row>
    <row r="92" spans="1:26" s="15" customFormat="1" ht="16.149999999999999" customHeight="1" thickBot="1" x14ac:dyDescent="0.3">
      <c r="B92" s="8"/>
      <c r="C92" s="11">
        <f>IF(ISTEXT(D92),MAX($C$10:C91)+1,"")</f>
        <v>52</v>
      </c>
      <c r="D92" s="70" t="s">
        <v>1154</v>
      </c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2"/>
      <c r="V92" s="10"/>
      <c r="W92" s="14"/>
      <c r="X92" s="14"/>
      <c r="Y92" s="14"/>
      <c r="Z92" s="14"/>
    </row>
    <row r="93" spans="1:26" s="15" customFormat="1" ht="16.149999999999999" customHeight="1" thickBot="1" x14ac:dyDescent="0.3">
      <c r="B93" s="8"/>
      <c r="C93" s="11">
        <f>IF(ISTEXT(D93),MAX($C$10:C92)+1,"")</f>
        <v>53</v>
      </c>
      <c r="D93" s="70" t="s">
        <v>1155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/>
      <c r="W93" s="14"/>
      <c r="X93" s="14"/>
      <c r="Y93" s="14"/>
      <c r="Z93" s="14"/>
    </row>
    <row r="94" spans="1:26" s="15" customFormat="1" ht="16.149999999999999" customHeight="1" thickBot="1" x14ac:dyDescent="0.3">
      <c r="B94" s="8"/>
      <c r="C94" s="11">
        <f>IF(ISTEXT(D94),MAX($C$10:C93)+1,"")</f>
        <v>54</v>
      </c>
      <c r="D94" s="70" t="s">
        <v>1156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/>
      <c r="W94" s="14"/>
      <c r="X94" s="14"/>
      <c r="Y94" s="14"/>
      <c r="Z94" s="14"/>
    </row>
    <row r="95" spans="1:26" s="15" customFormat="1" ht="16.149999999999999" customHeight="1" thickBot="1" x14ac:dyDescent="0.3">
      <c r="B95" s="8"/>
      <c r="C95" s="11">
        <f>IF(ISTEXT(D95),MAX($C$10:C94)+1,"")</f>
        <v>55</v>
      </c>
      <c r="D95" s="70" t="s">
        <v>1157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/>
      <c r="W95" s="14"/>
      <c r="X95" s="14"/>
      <c r="Y95" s="14"/>
      <c r="Z95" s="14"/>
    </row>
    <row r="96" spans="1:26" s="15" customFormat="1" ht="16.149999999999999" customHeight="1" thickBot="1" x14ac:dyDescent="0.3">
      <c r="B96" s="8"/>
      <c r="C96" s="11">
        <f>IF(ISTEXT(D96),MAX($C$10:C95)+1,"")</f>
        <v>56</v>
      </c>
      <c r="D96" s="70" t="s">
        <v>1158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/>
      <c r="W96" s="14"/>
      <c r="X96" s="14"/>
      <c r="Y96" s="14"/>
      <c r="Z96" s="14"/>
    </row>
    <row r="97" spans="2:26" s="15" customFormat="1" ht="16.149999999999999" customHeight="1" thickBot="1" x14ac:dyDescent="0.3">
      <c r="B97" s="8"/>
      <c r="C97" s="11">
        <f>IF(ISTEXT(D97),MAX($C$10:C96)+1,"")</f>
        <v>57</v>
      </c>
      <c r="D97" s="70" t="s">
        <v>1159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/>
      <c r="W97" s="14"/>
      <c r="X97" s="14"/>
      <c r="Y97" s="14"/>
      <c r="Z97" s="14"/>
    </row>
    <row r="98" spans="2:26" s="15" customFormat="1" ht="16.149999999999999" customHeight="1" thickBot="1" x14ac:dyDescent="0.3">
      <c r="B98" s="8"/>
      <c r="C98" s="11">
        <f>IF(ISTEXT(D98),MAX($C$10:C97)+1,"")</f>
        <v>58</v>
      </c>
      <c r="D98" s="70" t="s">
        <v>1160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/>
      <c r="W98" s="14"/>
      <c r="X98" s="14"/>
      <c r="Y98" s="14"/>
      <c r="Z98" s="14"/>
    </row>
    <row r="99" spans="2:26" s="15" customFormat="1" ht="15.95" customHeight="1" thickBot="1" x14ac:dyDescent="0.3">
      <c r="B99" s="8"/>
      <c r="C99" s="11">
        <f>IF(ISTEXT(D99),MAX($C$10:C98)+1,"")</f>
        <v>59</v>
      </c>
      <c r="D99" s="70" t="s">
        <v>1161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/>
      <c r="W99" s="14"/>
      <c r="X99" s="14"/>
      <c r="Y99" s="14"/>
      <c r="Z99" s="14"/>
    </row>
    <row r="100" spans="2:26" s="15" customFormat="1" ht="16.149999999999999" customHeight="1" thickBot="1" x14ac:dyDescent="0.3">
      <c r="B100" s="8"/>
      <c r="C100" s="11">
        <f>IF(ISTEXT(D100),MAX($C$10:C99)+1,"")</f>
        <v>60</v>
      </c>
      <c r="D100" s="70" t="s">
        <v>1162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/>
      <c r="W100" s="14"/>
      <c r="X100" s="14"/>
      <c r="Y100" s="14"/>
      <c r="Z100" s="14"/>
    </row>
    <row r="101" spans="2:26" s="15" customFormat="1" ht="16.149999999999999" customHeight="1" thickBot="1" x14ac:dyDescent="0.3">
      <c r="B101" s="8"/>
      <c r="C101" s="11">
        <f>IF(ISTEXT(D101),MAX($C$10:C100)+1,"")</f>
        <v>61</v>
      </c>
      <c r="D101" s="70" t="s">
        <v>1163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/>
      <c r="W101" s="14"/>
      <c r="X101" s="14"/>
      <c r="Y101" s="14"/>
      <c r="Z101" s="14"/>
    </row>
    <row r="102" spans="2:26" s="15" customFormat="1" ht="16.149999999999999" customHeight="1" thickBot="1" x14ac:dyDescent="0.3">
      <c r="B102" s="8"/>
      <c r="C102" s="11">
        <f>IF(ISTEXT(D102),MAX($C$10:C101)+1,"")</f>
        <v>62</v>
      </c>
      <c r="D102" s="70" t="s">
        <v>1164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/>
      <c r="W102" s="14"/>
      <c r="X102" s="14"/>
      <c r="Y102" s="14"/>
      <c r="Z102" s="14"/>
    </row>
    <row r="103" spans="2:26" s="15" customFormat="1" ht="16.149999999999999" customHeight="1" thickBot="1" x14ac:dyDescent="0.3">
      <c r="B103" s="8"/>
      <c r="C103" s="11">
        <f>IF(ISTEXT(D103),MAX($C$10:C102)+1,"")</f>
        <v>63</v>
      </c>
      <c r="D103" s="70" t="s">
        <v>1165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/>
      <c r="W103" s="14"/>
      <c r="X103" s="14"/>
      <c r="Y103" s="14"/>
      <c r="Z103" s="14"/>
    </row>
    <row r="104" spans="2:26" s="15" customFormat="1" ht="16.149999999999999" customHeight="1" thickBot="1" x14ac:dyDescent="0.3">
      <c r="B104" s="8"/>
      <c r="C104" s="11">
        <f>IF(ISTEXT(D104),MAX($C$10:C103)+1,"")</f>
        <v>64</v>
      </c>
      <c r="D104" s="70" t="s">
        <v>1166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/>
      <c r="W104" s="14"/>
      <c r="X104" s="14"/>
      <c r="Y104" s="14"/>
      <c r="Z104" s="14"/>
    </row>
    <row r="105" spans="2:26" s="15" customFormat="1" ht="16.149999999999999" customHeight="1" thickBot="1" x14ac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/>
      <c r="W105" s="14"/>
      <c r="X105" s="14"/>
      <c r="Y105" s="14"/>
      <c r="Z105" s="14"/>
    </row>
    <row r="106" spans="2:26" s="15" customFormat="1" ht="16.149999999999999" customHeight="1" thickBot="1" x14ac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/>
      <c r="W106" s="14"/>
      <c r="X106" s="14"/>
      <c r="Y106" s="14"/>
      <c r="Z106" s="14"/>
    </row>
    <row r="107" spans="2:26" s="15" customFormat="1" ht="19.149999999999999" customHeight="1" thickBot="1" x14ac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/>
      <c r="W107" s="14"/>
      <c r="X107" s="14"/>
      <c r="Y107" s="14"/>
      <c r="Z107" s="14"/>
    </row>
    <row r="108" spans="2:26" s="15" customFormat="1" ht="16.149999999999999" customHeight="1" thickBot="1" x14ac:dyDescent="0.3">
      <c r="B108" s="8"/>
      <c r="C108" s="11"/>
      <c r="D108" s="73" t="s">
        <v>864</v>
      </c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5"/>
      <c r="V108" s="10"/>
      <c r="W108" s="14"/>
      <c r="X108" s="14"/>
      <c r="Y108" s="14"/>
      <c r="Z108" s="14"/>
    </row>
    <row r="109" spans="2:26" s="15" customFormat="1" ht="16.149999999999999" customHeight="1" thickBot="1" x14ac:dyDescent="0.3">
      <c r="B109" s="8"/>
      <c r="C109" s="11">
        <f>IF(ISTEXT(D109),MAX($C$10:C108)+1,"")</f>
        <v>65</v>
      </c>
      <c r="D109" s="70" t="s">
        <v>1167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/>
      <c r="W109" s="14"/>
      <c r="X109" s="14"/>
      <c r="Y109" s="14"/>
      <c r="Z109" s="14"/>
    </row>
    <row r="110" spans="2:26" s="15" customFormat="1" ht="16.149999999999999" customHeight="1" thickBot="1" x14ac:dyDescent="0.3">
      <c r="B110" s="8"/>
      <c r="C110" s="11">
        <f>IF(ISTEXT(D110),MAX($C$10:C109)+1,"")</f>
        <v>66</v>
      </c>
      <c r="D110" s="70" t="s">
        <v>1168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2"/>
      <c r="V110" s="10"/>
      <c r="W110" s="14"/>
      <c r="X110" s="14"/>
      <c r="Y110" s="14"/>
      <c r="Z110" s="14"/>
    </row>
    <row r="111" spans="2:26" s="15" customFormat="1" ht="16.149999999999999" customHeight="1" thickBot="1" x14ac:dyDescent="0.3">
      <c r="B111" s="8"/>
      <c r="C111" s="11">
        <f>IF(ISTEXT(D111),MAX($C$10:C110)+1,"")</f>
        <v>67</v>
      </c>
      <c r="D111" s="70" t="s">
        <v>1169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/>
      <c r="W111" s="14"/>
      <c r="X111" s="14"/>
      <c r="Y111" s="14"/>
      <c r="Z111" s="14"/>
    </row>
    <row r="112" spans="2:26" s="15" customFormat="1" ht="16.149999999999999" customHeight="1" thickBot="1" x14ac:dyDescent="0.3">
      <c r="B112" s="8"/>
      <c r="C112" s="11">
        <f>IF(ISTEXT(D112),MAX($C$10:C111)+1,"")</f>
        <v>68</v>
      </c>
      <c r="D112" s="70" t="s">
        <v>1170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2"/>
      <c r="V112" s="10"/>
      <c r="W112" s="14"/>
      <c r="X112" s="14"/>
      <c r="Y112" s="14"/>
      <c r="Z112" s="14"/>
    </row>
    <row r="113" spans="2:26" s="15" customFormat="1" ht="16.149999999999999" customHeight="1" thickBot="1" x14ac:dyDescent="0.3">
      <c r="B113" s="8"/>
      <c r="C113" s="11" t="str">
        <f>IF(ISTEXT(D113),MAX($C$10:C112)+1,"")</f>
        <v/>
      </c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/>
      <c r="W113" s="14"/>
      <c r="X113" s="14"/>
      <c r="Y113" s="14"/>
      <c r="Z113" s="14"/>
    </row>
    <row r="114" spans="2:26" s="15" customFormat="1" ht="16.149999999999999" customHeight="1" thickBot="1" x14ac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/>
      <c r="W114" s="14"/>
      <c r="X114" s="14"/>
      <c r="Y114" s="14"/>
      <c r="Z114" s="14"/>
    </row>
    <row r="115" spans="2:26" s="15" customFormat="1" ht="16.149999999999999" customHeight="1" thickBot="1" x14ac:dyDescent="0.3">
      <c r="B115" s="8"/>
      <c r="C115" s="11" t="str">
        <f>IF(ISTEXT(D115),MAX($C$10:C114)+1,"")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/>
      <c r="W115" s="14"/>
      <c r="X115" s="14"/>
      <c r="Y115" s="14"/>
      <c r="Z115" s="14"/>
    </row>
    <row r="116" spans="2:26" s="15" customFormat="1" ht="16.149999999999999" customHeight="1" thickBot="1" x14ac:dyDescent="0.3">
      <c r="B116" s="8"/>
      <c r="C116" s="11" t="str">
        <f>IF(ISTEXT(D116),MAX($C$10:C115)+1,"")</f>
        <v/>
      </c>
      <c r="D116" s="70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2"/>
      <c r="V116" s="10"/>
      <c r="W116" s="14"/>
      <c r="X116" s="14"/>
      <c r="Y116" s="14"/>
      <c r="Z116" s="14"/>
    </row>
    <row r="117" spans="2:26" s="15" customFormat="1" ht="16.149999999999999" customHeight="1" thickBot="1" x14ac:dyDescent="0.3">
      <c r="B117" s="8"/>
      <c r="C117" s="11" t="str">
        <f>IF(ISTEXT(D117),MAX($C$10:C116)+1,"")</f>
        <v/>
      </c>
      <c r="D117" s="66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8"/>
      <c r="V117" s="9"/>
      <c r="W117" s="14"/>
      <c r="X117" s="14"/>
      <c r="Y117" s="14"/>
      <c r="Z117" s="14"/>
    </row>
    <row r="118" spans="2:26" ht="15" customHeight="1" x14ac:dyDescent="0.25">
      <c r="B118" s="69" t="s">
        <v>98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</row>
    <row r="119" spans="2:26" x14ac:dyDescent="0.25">
      <c r="B119" s="20"/>
      <c r="C119" s="21"/>
      <c r="O119" s="22"/>
      <c r="P119" s="22"/>
      <c r="Q119" s="23"/>
      <c r="R119" s="23"/>
      <c r="S119" s="22"/>
      <c r="T119" s="22"/>
    </row>
    <row r="120" spans="2:26" ht="15.75" thickBot="1" x14ac:dyDescent="0.3">
      <c r="B120" s="57" t="s">
        <v>61</v>
      </c>
      <c r="C120" s="57"/>
      <c r="D120" s="57"/>
      <c r="E120" s="57"/>
      <c r="F120" s="57"/>
      <c r="G120" s="57"/>
      <c r="H120" s="57"/>
      <c r="I120" s="57"/>
      <c r="J120" s="57"/>
      <c r="K120" s="64">
        <f ca="1">$K$64</f>
        <v>45832</v>
      </c>
      <c r="L120" s="62"/>
      <c r="M120" s="62"/>
      <c r="N120" s="62"/>
      <c r="O120" s="59"/>
      <c r="P120" s="59"/>
      <c r="Q120" s="60"/>
      <c r="R120" s="60"/>
      <c r="S120" s="65"/>
      <c r="T120" s="65"/>
    </row>
    <row r="121" spans="2:26" ht="15" customHeight="1" x14ac:dyDescent="0.25">
      <c r="C121" s="29"/>
      <c r="I121" s="30"/>
      <c r="O121" s="65"/>
      <c r="P121" s="65"/>
      <c r="Q121" s="60"/>
      <c r="R121" s="60"/>
      <c r="S121" s="65"/>
      <c r="T121" s="65"/>
    </row>
    <row r="122" spans="2:26" ht="18" customHeight="1" thickBot="1" x14ac:dyDescent="0.3">
      <c r="B122" s="57" t="s">
        <v>62</v>
      </c>
      <c r="C122" s="57"/>
      <c r="D122" s="57"/>
      <c r="E122" s="57"/>
      <c r="F122" s="57"/>
      <c r="G122" s="57"/>
      <c r="H122" s="57"/>
      <c r="I122" s="57"/>
      <c r="J122" s="57"/>
      <c r="K122" s="58" t="s">
        <v>532</v>
      </c>
      <c r="L122" s="58"/>
      <c r="M122" s="58"/>
      <c r="N122" s="58"/>
      <c r="O122" s="59"/>
      <c r="P122" s="59"/>
      <c r="Q122" s="60"/>
      <c r="R122" s="60"/>
      <c r="S122" s="97" t="s">
        <v>63</v>
      </c>
      <c r="T122" s="97"/>
      <c r="U122" s="97"/>
      <c r="V122" s="62"/>
      <c r="W122" s="62"/>
      <c r="X122" s="62"/>
      <c r="Y122" s="62"/>
    </row>
    <row r="123" spans="2:26" ht="15" customHeight="1" x14ac:dyDescent="0.25"/>
    <row r="124" spans="2:26" ht="15" customHeight="1" thickBot="1" x14ac:dyDescent="0.3"/>
    <row r="125" spans="2:26" ht="15" customHeight="1" x14ac:dyDescent="0.25">
      <c r="E125" s="88" t="s">
        <v>64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2" t="s">
        <v>99</v>
      </c>
      <c r="X125" s="79"/>
      <c r="Y125" s="79"/>
      <c r="Z125" s="79"/>
    </row>
    <row r="126" spans="2:26" ht="15" customHeight="1" thickBot="1" x14ac:dyDescent="0.3">
      <c r="E126" s="90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</row>
    <row r="127" spans="2:26" ht="10.5" customHeight="1" thickBot="1" x14ac:dyDescent="0.3"/>
    <row r="128" spans="2:26" ht="15" customHeight="1" thickBot="1" x14ac:dyDescent="0.3">
      <c r="J128" s="79" t="s">
        <v>2</v>
      </c>
      <c r="K128" s="79"/>
      <c r="L128" s="79"/>
      <c r="M128" s="80" t="str">
        <f>M4</f>
        <v>C1003</v>
      </c>
      <c r="N128" s="80"/>
      <c r="O128" s="80"/>
      <c r="P128" s="80"/>
    </row>
    <row r="129" spans="2:26" s="15" customFormat="1" ht="15" customHeight="1" thickBot="1" x14ac:dyDescent="0.3">
      <c r="I129" s="79" t="s">
        <v>4</v>
      </c>
      <c r="J129" s="79"/>
      <c r="K129" s="79"/>
      <c r="L129" s="79"/>
      <c r="M129" s="80"/>
      <c r="N129" s="80"/>
      <c r="O129" s="80"/>
      <c r="P129" s="80"/>
      <c r="Q129" s="81"/>
      <c r="R129" s="82"/>
      <c r="S129" s="82"/>
      <c r="T129" s="82"/>
      <c r="U129" s="82"/>
      <c r="V129" s="82"/>
    </row>
    <row r="130" spans="2:26" s="15" customFormat="1" ht="17.100000000000001" customHeight="1" thickBot="1" x14ac:dyDescent="0.3"/>
    <row r="131" spans="2:26" s="15" customFormat="1" ht="15" customHeight="1" thickBot="1" x14ac:dyDescent="0.3">
      <c r="C131" s="83" t="s">
        <v>66</v>
      </c>
      <c r="D131" s="83"/>
      <c r="E131" s="83"/>
      <c r="F131" s="83"/>
      <c r="G131" s="83"/>
      <c r="H131" s="83"/>
      <c r="I131" s="83"/>
      <c r="J131" s="83"/>
      <c r="K131" s="83"/>
      <c r="L131" s="84"/>
      <c r="M131" s="85" t="s">
        <v>532</v>
      </c>
      <c r="N131" s="86"/>
      <c r="O131" s="86"/>
      <c r="P131" s="86"/>
      <c r="Q131" s="86"/>
      <c r="R131" s="86"/>
      <c r="S131" s="87"/>
      <c r="T131" s="60"/>
      <c r="U131" s="60"/>
      <c r="V131" s="60"/>
      <c r="W131" s="60"/>
      <c r="X131" s="23"/>
    </row>
    <row r="132" spans="2:26" s="15" customFormat="1" ht="10.5" customHeight="1" thickBot="1" x14ac:dyDescent="0.3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2:26" s="15" customFormat="1" ht="21" customHeight="1" thickBot="1" x14ac:dyDescent="0.3">
      <c r="B133" s="76" t="s">
        <v>67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  <c r="V133" s="35" t="s">
        <v>8</v>
      </c>
      <c r="W133" s="35" t="s">
        <v>9</v>
      </c>
      <c r="X133" s="35" t="s">
        <v>10</v>
      </c>
      <c r="Y133" s="7" t="s">
        <v>11</v>
      </c>
      <c r="Z133" s="35" t="s">
        <v>12</v>
      </c>
    </row>
    <row r="134" spans="2:26" s="15" customFormat="1" ht="16.149999999999999" customHeight="1" thickBot="1" x14ac:dyDescent="0.3">
      <c r="B134" s="8"/>
      <c r="C134" s="12"/>
      <c r="D134" s="73" t="s">
        <v>120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5"/>
      <c r="V134" s="14"/>
      <c r="W134" s="14"/>
      <c r="X134" s="14"/>
      <c r="Y134" s="14"/>
      <c r="Z134" s="14"/>
    </row>
    <row r="135" spans="2:26" s="15" customFormat="1" ht="16.149999999999999" customHeight="1" thickBot="1" x14ac:dyDescent="0.3">
      <c r="B135" s="8"/>
      <c r="C135" s="11">
        <f>IF(ISTEXT(D135),MAX($C$10:C134)+1,"")</f>
        <v>69</v>
      </c>
      <c r="D135" s="70" t="s">
        <v>1171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/>
      <c r="W135" s="14"/>
      <c r="X135" s="14"/>
      <c r="Y135" s="14"/>
      <c r="Z135" s="14"/>
    </row>
    <row r="136" spans="2:26" s="15" customFormat="1" ht="16.149999999999999" customHeight="1" thickBot="1" x14ac:dyDescent="0.3">
      <c r="B136" s="8"/>
      <c r="C136" s="11">
        <f>IF(ISTEXT(D136),MAX($C$10:C135)+1,"")</f>
        <v>70</v>
      </c>
      <c r="D136" s="70" t="s">
        <v>1172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/>
      <c r="W136" s="14"/>
      <c r="X136" s="14"/>
      <c r="Y136" s="14"/>
      <c r="Z136" s="14"/>
    </row>
    <row r="137" spans="2:26" s="15" customFormat="1" ht="16.149999999999999" customHeight="1" thickBot="1" x14ac:dyDescent="0.3">
      <c r="B137" s="8"/>
      <c r="C137" s="11">
        <f>IF(ISTEXT(D137),MAX($C$10:C136)+1,"")</f>
        <v>71</v>
      </c>
      <c r="D137" s="70" t="s">
        <v>840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/>
      <c r="W137" s="14"/>
      <c r="X137" s="14"/>
      <c r="Y137" s="14"/>
      <c r="Z137" s="14"/>
    </row>
    <row r="138" spans="2:26" s="15" customFormat="1" ht="16.149999999999999" customHeight="1" thickBot="1" x14ac:dyDescent="0.3">
      <c r="B138" s="8"/>
      <c r="C138" s="11">
        <f>IF(ISTEXT(D138),MAX($C$10:C137)+1,"")</f>
        <v>72</v>
      </c>
      <c r="D138" s="70" t="s">
        <v>1173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/>
      <c r="W138" s="14"/>
      <c r="X138" s="14"/>
      <c r="Y138" s="14"/>
      <c r="Z138" s="14"/>
    </row>
    <row r="139" spans="2:26" s="15" customFormat="1" ht="16.149999999999999" customHeight="1" thickBot="1" x14ac:dyDescent="0.3">
      <c r="B139" s="8"/>
      <c r="C139" s="11">
        <f>IF(ISTEXT(D139),MAX($C$10:C138)+1,"")</f>
        <v>73</v>
      </c>
      <c r="D139" s="70" t="s">
        <v>1174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/>
      <c r="W139" s="14"/>
      <c r="X139" s="14"/>
      <c r="Y139" s="14"/>
      <c r="Z139" s="14"/>
    </row>
    <row r="140" spans="2:26" s="15" customFormat="1" ht="16.149999999999999" customHeight="1" thickBot="1" x14ac:dyDescent="0.3">
      <c r="B140" s="8"/>
      <c r="C140" s="11">
        <f>IF(ISTEXT(D140),MAX($C$10:C139)+1,"")</f>
        <v>74</v>
      </c>
      <c r="D140" s="70" t="s">
        <v>1175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/>
      <c r="W140" s="14"/>
      <c r="X140" s="14"/>
      <c r="Y140" s="14"/>
      <c r="Z140" s="14"/>
    </row>
    <row r="141" spans="2:26" ht="16.149999999999999" customHeight="1" thickBot="1" x14ac:dyDescent="0.3">
      <c r="B141" s="8"/>
      <c r="C141" s="11">
        <f>IF(ISTEXT(D141),MAX($C$10:C140)+1,"")</f>
        <v>75</v>
      </c>
      <c r="D141" s="70" t="s">
        <v>1176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9"/>
      <c r="W141" s="14"/>
      <c r="X141" s="14"/>
      <c r="Y141" s="14"/>
      <c r="Z141" s="14"/>
    </row>
    <row r="142" spans="2:26" s="15" customFormat="1" ht="16.149999999999999" customHeight="1" thickBot="1" x14ac:dyDescent="0.3">
      <c r="B142" s="8"/>
      <c r="C142" s="11">
        <f>IF(ISTEXT(D142),MAX($C$10:C141)+1,"")</f>
        <v>76</v>
      </c>
      <c r="D142" s="70" t="s">
        <v>1177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/>
      <c r="W142" s="14"/>
      <c r="X142" s="14"/>
      <c r="Y142" s="14"/>
      <c r="Z142" s="14"/>
    </row>
    <row r="143" spans="2:26" s="15" customFormat="1" ht="16.149999999999999" customHeight="1" thickBot="1" x14ac:dyDescent="0.3">
      <c r="B143" s="8"/>
      <c r="C143" s="11">
        <f>IF(ISTEXT(D143),MAX($C$10:C142)+1,"")</f>
        <v>77</v>
      </c>
      <c r="D143" s="70" t="s">
        <v>1178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9"/>
      <c r="W143" s="14"/>
      <c r="X143" s="14"/>
      <c r="Y143" s="14"/>
      <c r="Z143" s="14"/>
    </row>
    <row r="144" spans="2:26" s="15" customFormat="1" ht="16.149999999999999" customHeight="1" thickBot="1" x14ac:dyDescent="0.3">
      <c r="B144" s="8"/>
      <c r="C144" s="11">
        <f>IF(ISTEXT(D144),MAX($C$10:C143)+1,"")</f>
        <v>78</v>
      </c>
      <c r="D144" s="70" t="s">
        <v>1179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/>
      <c r="W144" s="14"/>
      <c r="X144" s="14"/>
      <c r="Y144" s="14"/>
      <c r="Z144" s="14"/>
    </row>
    <row r="145" spans="2:26" s="15" customFormat="1" ht="16.149999999999999" customHeight="1" thickBot="1" x14ac:dyDescent="0.3">
      <c r="B145" s="8"/>
      <c r="C145" s="11">
        <f>IF(ISTEXT(D145),MAX($C$10:C144)+1,"")</f>
        <v>79</v>
      </c>
      <c r="D145" s="70" t="s">
        <v>1180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/>
      <c r="W145" s="14"/>
      <c r="X145" s="14"/>
      <c r="Y145" s="14"/>
      <c r="Z145" s="14"/>
    </row>
    <row r="146" spans="2:26" s="15" customFormat="1" ht="16.149999999999999" customHeight="1" thickBot="1" x14ac:dyDescent="0.3">
      <c r="B146" s="8"/>
      <c r="C146" s="11">
        <f>IF(ISTEXT(D146),MAX($C$10:C145)+1,"")</f>
        <v>80</v>
      </c>
      <c r="D146" s="70" t="s">
        <v>1181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/>
      <c r="W146" s="14"/>
      <c r="X146" s="14"/>
      <c r="Y146" s="14"/>
      <c r="Z146" s="14"/>
    </row>
    <row r="147" spans="2:26" s="15" customFormat="1" ht="16.149999999999999" customHeight="1" thickBot="1" x14ac:dyDescent="0.3">
      <c r="B147" s="8"/>
      <c r="C147" s="11"/>
      <c r="D147" s="194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6"/>
      <c r="V147" s="9"/>
      <c r="W147" s="14"/>
      <c r="X147" s="14"/>
      <c r="Y147" s="14"/>
      <c r="Z147" s="14"/>
    </row>
    <row r="148" spans="2:26" s="15" customFormat="1" ht="16.149999999999999" customHeight="1" thickBot="1" x14ac:dyDescent="0.3">
      <c r="B148" s="8"/>
      <c r="C148" s="11"/>
      <c r="D148" s="194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6"/>
      <c r="V148" s="9"/>
      <c r="W148" s="14"/>
      <c r="X148" s="14"/>
      <c r="Y148" s="14"/>
      <c r="Z148" s="14"/>
    </row>
    <row r="149" spans="2:26" s="15" customFormat="1" ht="16.149999999999999" customHeight="1" thickBot="1" x14ac:dyDescent="0.3">
      <c r="B149" s="8"/>
      <c r="C149" s="11"/>
      <c r="D149" s="73" t="s">
        <v>848</v>
      </c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5"/>
      <c r="V149" s="9"/>
      <c r="W149" s="14"/>
      <c r="X149" s="14"/>
      <c r="Y149" s="14"/>
      <c r="Z149" s="14"/>
    </row>
    <row r="150" spans="2:26" ht="15.75" thickBot="1" x14ac:dyDescent="0.3">
      <c r="B150" s="8"/>
      <c r="C150" s="11">
        <f>IF(ISTEXT(D150),MAX($C$10:C149)+1,"")</f>
        <v>81</v>
      </c>
      <c r="D150" s="70" t="s">
        <v>1182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/>
      <c r="W150" s="14"/>
      <c r="X150" s="14"/>
      <c r="Y150" s="14"/>
      <c r="Z150" s="14"/>
    </row>
    <row r="151" spans="2:26" s="15" customFormat="1" ht="16.149999999999999" customHeight="1" thickBot="1" x14ac:dyDescent="0.3">
      <c r="B151" s="8"/>
      <c r="C151" s="11">
        <f>IF(ISTEXT(D151),MAX($C$10:C150)+1,"")</f>
        <v>82</v>
      </c>
      <c r="D151" s="70" t="s">
        <v>1183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/>
      <c r="W151" s="14"/>
      <c r="X151" s="14"/>
      <c r="Y151" s="14"/>
      <c r="Z151" s="14"/>
    </row>
    <row r="152" spans="2:26" s="15" customFormat="1" ht="16.149999999999999" customHeight="1" thickBot="1" x14ac:dyDescent="0.3">
      <c r="B152" s="8"/>
      <c r="C152" s="11">
        <f>IF(ISTEXT(D152),MAX($C$10:C151)+1,"")</f>
        <v>83</v>
      </c>
      <c r="D152" s="70" t="s">
        <v>1184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/>
      <c r="W152" s="14"/>
      <c r="X152" s="14"/>
      <c r="Y152" s="14"/>
      <c r="Z152" s="14"/>
    </row>
    <row r="153" spans="2:26" s="15" customFormat="1" ht="16.149999999999999" customHeight="1" thickBot="1" x14ac:dyDescent="0.3">
      <c r="B153" s="8"/>
      <c r="C153" s="11">
        <f>IF(ISTEXT(D153),MAX($C$10:C152)+1,"")</f>
        <v>84</v>
      </c>
      <c r="D153" s="70" t="s">
        <v>1185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/>
      <c r="W153" s="14"/>
      <c r="X153" s="14"/>
      <c r="Y153" s="14"/>
      <c r="Z153" s="14"/>
    </row>
    <row r="154" spans="2:26" s="15" customFormat="1" ht="16.149999999999999" customHeight="1" thickBot="1" x14ac:dyDescent="0.3">
      <c r="B154" s="8"/>
      <c r="C154" s="11">
        <f>IF(ISTEXT(D154),MAX($C$10:C153)+1,"")</f>
        <v>85</v>
      </c>
      <c r="D154" s="70" t="s">
        <v>1186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/>
      <c r="W154" s="14"/>
      <c r="X154" s="14"/>
      <c r="Y154" s="14"/>
      <c r="Z154" s="14"/>
    </row>
    <row r="155" spans="2:26" s="15" customFormat="1" ht="16.149999999999999" customHeight="1" thickBot="1" x14ac:dyDescent="0.3">
      <c r="B155" s="8"/>
      <c r="C155" s="11">
        <f>IF(ISTEXT(D155),MAX($C$10:C154)+1,"")</f>
        <v>86</v>
      </c>
      <c r="D155" s="70" t="s">
        <v>1187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/>
      <c r="W155" s="14"/>
      <c r="X155" s="14"/>
      <c r="Y155" s="14"/>
      <c r="Z155" s="14"/>
    </row>
    <row r="156" spans="2:26" s="15" customFormat="1" ht="16.149999999999999" customHeight="1" thickBot="1" x14ac:dyDescent="0.3">
      <c r="B156" s="8"/>
      <c r="C156" s="11">
        <f>IF(ISTEXT(D156),MAX($C$10:C155)+1,"")</f>
        <v>87</v>
      </c>
      <c r="D156" s="70" t="s">
        <v>1188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/>
      <c r="W156" s="14"/>
      <c r="X156" s="14"/>
      <c r="Y156" s="14"/>
      <c r="Z156" s="14"/>
    </row>
    <row r="157" spans="2:26" s="15" customFormat="1" ht="16.149999999999999" customHeight="1" thickBot="1" x14ac:dyDescent="0.3">
      <c r="B157" s="8"/>
      <c r="C157" s="11">
        <f>IF(ISTEXT(D157),MAX($C$10:C156)+1,"")</f>
        <v>88</v>
      </c>
      <c r="D157" s="70" t="s">
        <v>1189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/>
      <c r="W157" s="14"/>
      <c r="X157" s="14"/>
      <c r="Y157" s="14"/>
      <c r="Z157" s="14"/>
    </row>
    <row r="158" spans="2:26" s="15" customFormat="1" ht="16.149999999999999" customHeight="1" thickBot="1" x14ac:dyDescent="0.3">
      <c r="B158" s="8"/>
      <c r="C158" s="11">
        <f>IF(ISTEXT(D158),MAX($C$10:C157)+1,"")</f>
        <v>89</v>
      </c>
      <c r="D158" s="70" t="s">
        <v>1190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/>
      <c r="W158" s="14"/>
      <c r="X158" s="14"/>
      <c r="Y158" s="14"/>
      <c r="Z158" s="14"/>
    </row>
    <row r="159" spans="2:26" s="15" customFormat="1" ht="16.149999999999999" customHeight="1" thickBot="1" x14ac:dyDescent="0.3">
      <c r="B159" s="8"/>
      <c r="C159" s="11">
        <f>IF(ISTEXT(D159),MAX($C$10:C158)+1,"")</f>
        <v>90</v>
      </c>
      <c r="D159" s="70" t="s">
        <v>1191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/>
      <c r="W159" s="14"/>
      <c r="X159" s="14"/>
      <c r="Y159" s="14"/>
      <c r="Z159" s="14"/>
    </row>
    <row r="160" spans="2:26" s="15" customFormat="1" ht="16.149999999999999" customHeight="1" thickBot="1" x14ac:dyDescent="0.3">
      <c r="B160" s="8"/>
      <c r="C160" s="11">
        <f>IF(ISTEXT(D160),MAX($C$10:C159)+1,"")</f>
        <v>91</v>
      </c>
      <c r="D160" s="70" t="s">
        <v>1192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/>
      <c r="W160" s="14"/>
      <c r="X160" s="14"/>
      <c r="Y160" s="14"/>
      <c r="Z160" s="14"/>
    </row>
    <row r="161" spans="2:26" s="15" customFormat="1" ht="16.149999999999999" customHeight="1" thickBot="1" x14ac:dyDescent="0.3">
      <c r="B161" s="8"/>
      <c r="C161" s="11">
        <f>IF(ISTEXT(D161),MAX($C$10:C160)+1,"")</f>
        <v>92</v>
      </c>
      <c r="D161" s="70" t="s">
        <v>1193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/>
      <c r="W161" s="14"/>
      <c r="X161" s="14"/>
      <c r="Y161" s="14"/>
      <c r="Z161" s="14"/>
    </row>
    <row r="162" spans="2:26" s="15" customFormat="1" ht="16.149999999999999" customHeight="1" thickBot="1" x14ac:dyDescent="0.3">
      <c r="B162" s="8"/>
      <c r="C162" s="11">
        <f>IF(ISTEXT(D162),MAX($C$10:C161)+1,"")</f>
        <v>93</v>
      </c>
      <c r="D162" s="70" t="s">
        <v>1194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/>
      <c r="W162" s="14"/>
      <c r="X162" s="14"/>
      <c r="Y162" s="14"/>
      <c r="Z162" s="14"/>
    </row>
    <row r="163" spans="2:26" s="15" customFormat="1" ht="16.149999999999999" customHeight="1" thickBot="1" x14ac:dyDescent="0.3">
      <c r="B163" s="8"/>
      <c r="C163" s="11">
        <f>IF(ISTEXT(D163),MAX($C$10:C162)+1,"")</f>
        <v>94</v>
      </c>
      <c r="D163" s="70" t="s">
        <v>821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/>
      <c r="W163" s="14"/>
      <c r="X163" s="14"/>
      <c r="Y163" s="14"/>
      <c r="Z163" s="14"/>
    </row>
    <row r="164" spans="2:26" s="15" customFormat="1" ht="16.149999999999999" customHeight="1" thickBot="1" x14ac:dyDescent="0.3">
      <c r="B164" s="8"/>
      <c r="C164" s="11">
        <f>IF(ISTEXT(D164),MAX($C$10:C163)+1,"")</f>
        <v>95</v>
      </c>
      <c r="D164" s="70" t="s">
        <v>1195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/>
      <c r="W164" s="14"/>
      <c r="X164" s="14"/>
      <c r="Y164" s="14"/>
      <c r="Z164" s="14"/>
    </row>
    <row r="165" spans="2:26" s="15" customFormat="1" ht="16.149999999999999" customHeight="1" thickBot="1" x14ac:dyDescent="0.3">
      <c r="B165" s="8"/>
      <c r="C165" s="11">
        <f>IF(ISTEXT(D165),MAX($C$10:C164)+1,"")</f>
        <v>96</v>
      </c>
      <c r="D165" s="70" t="s">
        <v>1196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/>
      <c r="W165" s="14"/>
      <c r="X165" s="14"/>
      <c r="Y165" s="14"/>
      <c r="Z165" s="14"/>
    </row>
    <row r="166" spans="2:26" s="15" customFormat="1" ht="16.149999999999999" customHeight="1" thickBot="1" x14ac:dyDescent="0.3">
      <c r="B166" s="8"/>
      <c r="C166" s="11">
        <f>IF(ISTEXT(D166),MAX($C$10:C165)+1,"")</f>
        <v>97</v>
      </c>
      <c r="D166" s="70" t="s">
        <v>1197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/>
      <c r="W166" s="14"/>
      <c r="X166" s="14"/>
      <c r="Y166" s="14"/>
      <c r="Z166" s="14"/>
    </row>
    <row r="167" spans="2:26" s="15" customFormat="1" ht="16.149999999999999" customHeight="1" thickBot="1" x14ac:dyDescent="0.3">
      <c r="B167" s="8"/>
      <c r="C167" s="11">
        <f>IF(ISTEXT(D167),MAX($C$10:C163)+1,"")</f>
        <v>95</v>
      </c>
      <c r="D167" s="70" t="s">
        <v>1198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/>
      <c r="W167" s="14"/>
      <c r="X167" s="14"/>
      <c r="Y167" s="14"/>
      <c r="Z167" s="14"/>
    </row>
    <row r="168" spans="2:26" s="15" customFormat="1" ht="16.149999999999999" customHeight="1" thickBot="1" x14ac:dyDescent="0.3">
      <c r="B168" s="8"/>
      <c r="C168" s="11"/>
      <c r="D168" s="194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6"/>
      <c r="V168" s="9"/>
      <c r="W168" s="14"/>
      <c r="X168" s="14"/>
      <c r="Y168" s="14"/>
      <c r="Z168" s="14"/>
    </row>
    <row r="169" spans="2:26" s="15" customFormat="1" ht="16.149999999999999" customHeight="1" thickBot="1" x14ac:dyDescent="0.3">
      <c r="B169" s="8"/>
      <c r="C169" s="11"/>
      <c r="D169" s="194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6"/>
      <c r="V169" s="9"/>
      <c r="W169" s="14"/>
      <c r="X169" s="14"/>
      <c r="Y169" s="14"/>
      <c r="Z169" s="14"/>
    </row>
    <row r="170" spans="2:26" s="15" customFormat="1" ht="16.149999999999999" customHeight="1" thickBot="1" x14ac:dyDescent="0.3">
      <c r="B170" s="8"/>
      <c r="C170" s="11"/>
      <c r="D170" s="73" t="s">
        <v>855</v>
      </c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5"/>
      <c r="V170" s="9"/>
      <c r="W170" s="14"/>
      <c r="X170" s="14"/>
      <c r="Y170" s="14"/>
      <c r="Z170" s="14"/>
    </row>
    <row r="171" spans="2:26" s="15" customFormat="1" ht="16.149999999999999" customHeight="1" thickBot="1" x14ac:dyDescent="0.3">
      <c r="B171" s="8"/>
      <c r="C171" s="11">
        <f>IF(ISTEXT(D171),MAX($C$10:C170)+1,"")</f>
        <v>98</v>
      </c>
      <c r="D171" s="70" t="s">
        <v>1199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/>
      <c r="W171" s="14"/>
      <c r="X171" s="14"/>
      <c r="Y171" s="14"/>
      <c r="Z171" s="14"/>
    </row>
    <row r="172" spans="2:26" s="15" customFormat="1" ht="16.149999999999999" customHeight="1" thickBot="1" x14ac:dyDescent="0.3">
      <c r="B172" s="8"/>
      <c r="C172" s="11">
        <f>IF(ISTEXT(D172),MAX($C$10:C171)+1,"")</f>
        <v>99</v>
      </c>
      <c r="D172" s="70" t="s">
        <v>1004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/>
      <c r="W172" s="14"/>
      <c r="X172" s="14"/>
      <c r="Y172" s="14"/>
      <c r="Z172" s="14"/>
    </row>
    <row r="173" spans="2:26" s="15" customFormat="1" ht="16.149999999999999" customHeight="1" thickBot="1" x14ac:dyDescent="0.3">
      <c r="B173" s="8"/>
      <c r="C173" s="11">
        <f>IF(ISTEXT(D173),MAX($C$10:C172)+1,"")</f>
        <v>100</v>
      </c>
      <c r="D173" s="70" t="s">
        <v>1168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/>
      <c r="W173" s="14"/>
      <c r="X173" s="14"/>
      <c r="Y173" s="14"/>
      <c r="Z173" s="14"/>
    </row>
    <row r="174" spans="2:26" s="15" customFormat="1" ht="16.149999999999999" customHeight="1" thickBot="1" x14ac:dyDescent="0.3">
      <c r="B174" s="8"/>
      <c r="C174" s="11">
        <f>IF(ISTEXT(D174),MAX($C$10:C173)+1,"")</f>
        <v>101</v>
      </c>
      <c r="D174" s="70" t="s">
        <v>1200</v>
      </c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/>
      <c r="W174" s="14"/>
      <c r="X174" s="14"/>
      <c r="Y174" s="14"/>
      <c r="Z174" s="14"/>
    </row>
    <row r="175" spans="2:26" s="15" customFormat="1" ht="16.149999999999999" customHeight="1" thickBot="1" x14ac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/>
      <c r="W175" s="14"/>
      <c r="X175" s="14"/>
      <c r="Y175" s="14"/>
      <c r="Z175" s="14"/>
    </row>
    <row r="176" spans="2:26" s="15" customFormat="1" ht="16.149999999999999" customHeight="1" thickBot="1" x14ac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9"/>
      <c r="W176" s="14"/>
      <c r="X176" s="14"/>
      <c r="Y176" s="14"/>
      <c r="Z176" s="14"/>
    </row>
    <row r="177" spans="2:26" s="15" customFormat="1" ht="16.149999999999999" customHeight="1" thickBot="1" x14ac:dyDescent="0.3">
      <c r="B177" s="8"/>
      <c r="C177" s="11" t="str">
        <f>IF(ISTEXT(D177),MAX($C$10:C176)+1,"")</f>
        <v/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2"/>
      <c r="V177" s="9"/>
      <c r="W177" s="14"/>
      <c r="X177" s="14"/>
      <c r="Y177" s="14"/>
      <c r="Z177" s="14"/>
    </row>
    <row r="178" spans="2:26" s="15" customFormat="1" ht="16.149999999999999" customHeight="1" thickBot="1" x14ac:dyDescent="0.3">
      <c r="B178" s="8"/>
      <c r="C178" s="11" t="str">
        <f>IF(ISTEXT(D178),MAX($C$10:C177)+1,"")</f>
        <v/>
      </c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8"/>
      <c r="V178" s="14"/>
      <c r="W178" s="14"/>
      <c r="X178" s="14"/>
      <c r="Y178" s="14"/>
      <c r="Z178" s="14"/>
    </row>
    <row r="179" spans="2:26" ht="15" customHeight="1" x14ac:dyDescent="0.25">
      <c r="B179" s="69" t="s">
        <v>98</v>
      </c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</row>
    <row r="180" spans="2:26" x14ac:dyDescent="0.25">
      <c r="B180" s="20"/>
      <c r="C180" s="21"/>
      <c r="O180" s="22"/>
      <c r="P180" s="22"/>
      <c r="Q180" s="23"/>
      <c r="R180" s="23"/>
      <c r="S180" s="22"/>
      <c r="T180" s="22"/>
    </row>
    <row r="181" spans="2:26" ht="15.75" thickBot="1" x14ac:dyDescent="0.3">
      <c r="B181" s="57" t="s">
        <v>61</v>
      </c>
      <c r="C181" s="57"/>
      <c r="D181" s="57"/>
      <c r="E181" s="57"/>
      <c r="F181" s="57"/>
      <c r="G181" s="57"/>
      <c r="H181" s="57"/>
      <c r="I181" s="57"/>
      <c r="J181" s="57"/>
      <c r="K181" s="64">
        <f ca="1">$K$64</f>
        <v>45832</v>
      </c>
      <c r="L181" s="62"/>
      <c r="M181" s="62"/>
      <c r="N181" s="62"/>
      <c r="O181" s="59"/>
      <c r="P181" s="59"/>
      <c r="Q181" s="60"/>
      <c r="R181" s="60"/>
      <c r="S181" s="65"/>
      <c r="T181" s="65"/>
    </row>
    <row r="182" spans="2:26" ht="15" customHeight="1" x14ac:dyDescent="0.25">
      <c r="C182" s="29"/>
      <c r="I182" s="30"/>
      <c r="O182" s="65"/>
      <c r="P182" s="65"/>
      <c r="Q182" s="60"/>
      <c r="R182" s="60"/>
      <c r="S182" s="65"/>
      <c r="T182" s="65"/>
    </row>
    <row r="183" spans="2:26" ht="15.75" thickBot="1" x14ac:dyDescent="0.3">
      <c r="B183" s="57" t="s">
        <v>62</v>
      </c>
      <c r="C183" s="57"/>
      <c r="D183" s="79"/>
      <c r="E183" s="79"/>
      <c r="F183" s="79"/>
      <c r="G183" s="79"/>
      <c r="H183" s="79"/>
      <c r="I183" s="79"/>
      <c r="J183" s="79"/>
      <c r="K183" s="58" t="s">
        <v>532</v>
      </c>
      <c r="L183" s="58"/>
      <c r="M183" s="58"/>
      <c r="N183" s="58"/>
      <c r="O183" s="59"/>
      <c r="P183" s="59"/>
      <c r="Q183" s="94"/>
      <c r="R183" s="94"/>
      <c r="S183" s="79" t="s">
        <v>63</v>
      </c>
      <c r="T183" s="79"/>
      <c r="U183" s="79"/>
      <c r="V183" s="93"/>
      <c r="W183" s="93"/>
      <c r="X183" s="93"/>
      <c r="Y183" s="93"/>
    </row>
    <row r="184" spans="2:26" ht="15" customHeight="1" x14ac:dyDescent="0.25"/>
    <row r="185" spans="2:26" ht="15" customHeight="1" thickBot="1" x14ac:dyDescent="0.3"/>
    <row r="186" spans="2:26" ht="15" customHeight="1" x14ac:dyDescent="0.25">
      <c r="E186" s="88" t="s">
        <v>64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2" t="s">
        <v>126</v>
      </c>
      <c r="X186" s="79"/>
      <c r="Y186" s="79"/>
      <c r="Z186" s="79"/>
    </row>
    <row r="187" spans="2:26" ht="15" customHeight="1" thickBot="1" x14ac:dyDescent="0.3">
      <c r="E187" s="90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</row>
    <row r="188" spans="2:26" ht="10.5" customHeight="1" thickBot="1" x14ac:dyDescent="0.3"/>
    <row r="189" spans="2:26" ht="15" customHeight="1" thickBot="1" x14ac:dyDescent="0.3">
      <c r="J189" s="79" t="s">
        <v>2</v>
      </c>
      <c r="K189" s="79"/>
      <c r="L189" s="79"/>
      <c r="M189" s="80" t="str">
        <f>M4</f>
        <v>C1003</v>
      </c>
      <c r="N189" s="80"/>
      <c r="O189" s="80"/>
      <c r="P189" s="80"/>
    </row>
    <row r="190" spans="2:26" s="15" customFormat="1" ht="15" customHeight="1" thickBot="1" x14ac:dyDescent="0.3">
      <c r="I190" s="79" t="s">
        <v>4</v>
      </c>
      <c r="J190" s="79"/>
      <c r="K190" s="79"/>
      <c r="L190" s="79"/>
      <c r="M190" s="80"/>
      <c r="N190" s="80"/>
      <c r="O190" s="80"/>
      <c r="P190" s="80"/>
      <c r="Q190" s="81"/>
      <c r="R190" s="82"/>
      <c r="S190" s="82"/>
      <c r="T190" s="82"/>
      <c r="U190" s="82"/>
      <c r="V190" s="82"/>
    </row>
    <row r="191" spans="2:26" s="15" customFormat="1" ht="8.25" customHeight="1" thickBot="1" x14ac:dyDescent="0.3">
      <c r="M191" s="38"/>
      <c r="N191" s="38"/>
      <c r="O191" s="38"/>
      <c r="P191" s="38"/>
    </row>
    <row r="192" spans="2:26" s="15" customFormat="1" ht="15" customHeight="1" thickBot="1" x14ac:dyDescent="0.3">
      <c r="C192" s="83" t="s">
        <v>66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5" t="s">
        <v>532</v>
      </c>
      <c r="N192" s="86"/>
      <c r="O192" s="86"/>
      <c r="P192" s="86"/>
      <c r="Q192" s="86"/>
      <c r="R192" s="86"/>
      <c r="S192" s="87"/>
      <c r="T192" s="60"/>
      <c r="U192" s="60"/>
      <c r="V192" s="60"/>
      <c r="W192" s="60"/>
      <c r="X192" s="23"/>
    </row>
    <row r="193" spans="2:26" s="15" customFormat="1" ht="10.5" customHeight="1" thickBot="1" x14ac:dyDescent="0.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2:26" s="15" customFormat="1" ht="21" customHeight="1" thickBot="1" x14ac:dyDescent="0.3">
      <c r="B194" s="76" t="s">
        <v>67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8"/>
      <c r="V194" s="35" t="s">
        <v>8</v>
      </c>
      <c r="W194" s="35" t="s">
        <v>9</v>
      </c>
      <c r="X194" s="35" t="s">
        <v>10</v>
      </c>
      <c r="Y194" s="7" t="s">
        <v>11</v>
      </c>
      <c r="Z194" s="35" t="s">
        <v>12</v>
      </c>
    </row>
    <row r="195" spans="2:26" s="15" customFormat="1" ht="16.149999999999999" customHeight="1" thickBot="1" x14ac:dyDescent="0.3">
      <c r="B195" s="8"/>
      <c r="C195" s="39"/>
      <c r="D195" s="73" t="s">
        <v>127</v>
      </c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5"/>
      <c r="V195" s="14"/>
      <c r="W195" s="14"/>
      <c r="X195" s="14"/>
      <c r="Y195" s="14"/>
      <c r="Z195" s="14"/>
    </row>
    <row r="196" spans="2:26" s="15" customFormat="1" ht="16.149999999999999" customHeight="1" thickBot="1" x14ac:dyDescent="0.3">
      <c r="B196" s="8"/>
      <c r="C196" s="11">
        <f>IF(ISTEXT(D196),MAX($C$10:C195),"")</f>
        <v>101</v>
      </c>
      <c r="D196" s="70" t="s">
        <v>1201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/>
      <c r="W196" s="14"/>
      <c r="X196" s="14"/>
      <c r="Y196" s="14"/>
      <c r="Z196" s="14"/>
    </row>
    <row r="197" spans="2:26" s="15" customFormat="1" ht="16.149999999999999" customHeight="1" thickBot="1" x14ac:dyDescent="0.3">
      <c r="B197" s="8"/>
      <c r="C197" s="11">
        <f>IF(ISTEXT(D197),MAX($C$10:C196)+1,"")</f>
        <v>102</v>
      </c>
      <c r="D197" s="66" t="s">
        <v>1202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/>
      <c r="W197" s="14"/>
      <c r="X197" s="14"/>
      <c r="Y197" s="14"/>
      <c r="Z197" s="14"/>
    </row>
    <row r="198" spans="2:26" s="15" customFormat="1" ht="16.149999999999999" customHeight="1" thickBot="1" x14ac:dyDescent="0.3">
      <c r="B198" s="8"/>
      <c r="C198" s="11">
        <f>IF(ISTEXT(D198),MAX($C$10:C197)+1,"")</f>
        <v>103</v>
      </c>
      <c r="D198" s="66" t="s">
        <v>1203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/>
      <c r="W198" s="14"/>
      <c r="X198" s="14"/>
      <c r="Y198" s="14"/>
      <c r="Z198" s="14"/>
    </row>
    <row r="199" spans="2:26" s="15" customFormat="1" ht="16.149999999999999" customHeight="1" thickBot="1" x14ac:dyDescent="0.3">
      <c r="B199" s="8"/>
      <c r="C199" s="11">
        <f>IF(ISTEXT(D199),MAX($C$10:C198)+1,"")</f>
        <v>104</v>
      </c>
      <c r="D199" s="66" t="s">
        <v>1204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/>
      <c r="W199" s="14"/>
      <c r="X199" s="14"/>
      <c r="Y199" s="14"/>
      <c r="Z199" s="14"/>
    </row>
    <row r="200" spans="2:26" s="15" customFormat="1" ht="16.149999999999999" customHeight="1" thickBot="1" x14ac:dyDescent="0.3">
      <c r="B200" s="8"/>
      <c r="C200" s="11">
        <f>IF(ISTEXT(D200),MAX($C$10:C199)+1,"")</f>
        <v>105</v>
      </c>
      <c r="D200" s="66" t="s">
        <v>1205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/>
      <c r="W200" s="14"/>
      <c r="X200" s="14"/>
      <c r="Y200" s="14"/>
      <c r="Z200" s="14"/>
    </row>
    <row r="201" spans="2:26" s="15" customFormat="1" ht="16.149999999999999" customHeight="1" thickBot="1" x14ac:dyDescent="0.3">
      <c r="B201" s="8"/>
      <c r="C201" s="11">
        <f>IF(ISTEXT(D201),MAX($C$10:C200)+1,"")</f>
        <v>106</v>
      </c>
      <c r="D201" s="70" t="s">
        <v>1206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/>
      <c r="W201" s="14"/>
      <c r="X201" s="14"/>
      <c r="Y201" s="14"/>
      <c r="Z201" s="14"/>
    </row>
    <row r="202" spans="2:26" ht="16.149999999999999" customHeight="1" thickBot="1" x14ac:dyDescent="0.3">
      <c r="B202" s="8"/>
      <c r="C202" s="11">
        <f>IF(ISTEXT(D202),MAX($C$10:C201)+1,"")</f>
        <v>107</v>
      </c>
      <c r="D202" s="66" t="s">
        <v>1207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/>
      <c r="W202" s="14"/>
      <c r="X202" s="14"/>
      <c r="Y202" s="14"/>
      <c r="Z202" s="14"/>
    </row>
    <row r="203" spans="2:26" s="15" customFormat="1" ht="16.149999999999999" customHeight="1" thickBot="1" x14ac:dyDescent="0.3">
      <c r="B203" s="8"/>
      <c r="C203" s="11">
        <f>IF(ISTEXT(D203),MAX($C$10:C202)+1,"")</f>
        <v>108</v>
      </c>
      <c r="D203" s="66" t="s">
        <v>1208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/>
      <c r="W203" s="14"/>
      <c r="X203" s="14"/>
      <c r="Y203" s="14"/>
      <c r="Z203" s="14"/>
    </row>
    <row r="204" spans="2:26" s="15" customFormat="1" ht="16.149999999999999" customHeight="1" thickBot="1" x14ac:dyDescent="0.3">
      <c r="B204" s="8"/>
      <c r="C204" s="11">
        <f>IF(ISTEXT(D204),MAX($C$10:C203)+1,"")</f>
        <v>109</v>
      </c>
      <c r="D204" s="70" t="s">
        <v>1209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/>
      <c r="W204" s="14"/>
      <c r="X204" s="14"/>
      <c r="Y204" s="14"/>
      <c r="Z204" s="14"/>
    </row>
    <row r="205" spans="2:26" s="15" customFormat="1" ht="16.149999999999999" customHeight="1" thickBot="1" x14ac:dyDescent="0.3">
      <c r="B205" s="8"/>
      <c r="C205" s="11">
        <f>IF(ISTEXT(D205),MAX($C$10:C204)+1,"")</f>
        <v>110</v>
      </c>
      <c r="D205" s="70" t="s">
        <v>1210</v>
      </c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/>
      <c r="W205" s="14"/>
      <c r="X205" s="14"/>
      <c r="Y205" s="14"/>
      <c r="Z205" s="14"/>
    </row>
    <row r="206" spans="2:26" s="15" customFormat="1" ht="15.95" customHeight="1" thickBot="1" x14ac:dyDescent="0.3">
      <c r="B206" s="8"/>
      <c r="C206" s="11">
        <f>IF(ISTEXT(D206),MAX($C$10:C205)+1,"")</f>
        <v>111</v>
      </c>
      <c r="D206" s="70" t="s">
        <v>1211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/>
      <c r="W206" s="14"/>
      <c r="X206" s="14"/>
      <c r="Y206" s="14"/>
      <c r="Z206" s="14"/>
    </row>
    <row r="207" spans="2:26" s="15" customFormat="1" ht="16.149999999999999" customHeight="1" thickBot="1" x14ac:dyDescent="0.3">
      <c r="B207" s="8"/>
      <c r="C207" s="11">
        <f>IF(ISTEXT(D207),MAX($C$10:C206)+1,"")</f>
        <v>112</v>
      </c>
      <c r="D207" s="66" t="s">
        <v>1212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/>
      <c r="W207" s="14"/>
      <c r="X207" s="14"/>
      <c r="Y207" s="14"/>
      <c r="Z207" s="14"/>
    </row>
    <row r="208" spans="2:26" s="15" customFormat="1" ht="16.149999999999999" customHeight="1" thickBot="1" x14ac:dyDescent="0.3">
      <c r="B208" s="8"/>
      <c r="C208" s="11">
        <f>IF(ISTEXT(D208),MAX($C$10:C207)+1,"")</f>
        <v>113</v>
      </c>
      <c r="D208" s="70" t="s">
        <v>1213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/>
      <c r="W208" s="14"/>
      <c r="X208" s="14"/>
      <c r="Y208" s="14"/>
      <c r="Z208" s="14"/>
    </row>
    <row r="209" spans="2:26" s="15" customFormat="1" ht="16.149999999999999" customHeight="1" thickBot="1" x14ac:dyDescent="0.3">
      <c r="B209" s="8"/>
      <c r="C209" s="11">
        <f>IF(ISTEXT(D209),MAX($C$10:C208)+1,"")</f>
        <v>114</v>
      </c>
      <c r="D209" s="66" t="s">
        <v>1214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/>
      <c r="W209" s="14"/>
      <c r="X209" s="14"/>
      <c r="Y209" s="14"/>
      <c r="Z209" s="14"/>
    </row>
    <row r="210" spans="2:26" s="15" customFormat="1" ht="16.149999999999999" customHeight="1" thickBot="1" x14ac:dyDescent="0.3">
      <c r="B210" s="8"/>
      <c r="C210" s="11">
        <f>IF(ISTEXT(D210),MAX($C$10:C209)+1,"")</f>
        <v>115</v>
      </c>
      <c r="D210" s="66" t="s">
        <v>1215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/>
      <c r="W210" s="14"/>
      <c r="X210" s="14"/>
      <c r="Y210" s="14"/>
      <c r="Z210" s="14"/>
    </row>
    <row r="211" spans="2:26" s="15" customFormat="1" ht="16.149999999999999" customHeight="1" thickBot="1" x14ac:dyDescent="0.3">
      <c r="B211" s="8"/>
      <c r="C211" s="11">
        <f>IF(ISTEXT(D211),MAX($C$10:C210)+1,"")</f>
        <v>116</v>
      </c>
      <c r="D211" s="66" t="s">
        <v>1215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/>
      <c r="W211" s="14"/>
      <c r="X211" s="14"/>
      <c r="Y211" s="14"/>
      <c r="Z211" s="14"/>
    </row>
    <row r="212" spans="2:26" s="15" customFormat="1" ht="16.149999999999999" customHeight="1" thickBot="1" x14ac:dyDescent="0.3">
      <c r="B212" s="8"/>
      <c r="C212" s="11">
        <f>IF(ISTEXT(D212),MAX($C$10:C211)+1,"")</f>
        <v>117</v>
      </c>
      <c r="D212" s="70" t="s">
        <v>1216</v>
      </c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/>
      <c r="W212" s="14"/>
      <c r="X212" s="14"/>
      <c r="Y212" s="14"/>
      <c r="Z212" s="14"/>
    </row>
    <row r="213" spans="2:26" s="15" customFormat="1" ht="16.149999999999999" customHeight="1" thickBot="1" x14ac:dyDescent="0.3">
      <c r="B213" s="8"/>
      <c r="C213" s="11">
        <f>IF(ISTEXT(D213),MAX($C$10:C212)+1,"")</f>
        <v>118</v>
      </c>
      <c r="D213" s="70" t="s">
        <v>1217</v>
      </c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/>
      <c r="W213" s="14"/>
      <c r="X213" s="14"/>
      <c r="Y213" s="14"/>
      <c r="Z213" s="14"/>
    </row>
    <row r="214" spans="2:26" s="15" customFormat="1" ht="16.149999999999999" customHeight="1" thickBot="1" x14ac:dyDescent="0.3">
      <c r="B214" s="8"/>
      <c r="C214" s="11">
        <f>IF(ISTEXT(D214),MAX($C$10:C213)+1,"")</f>
        <v>119</v>
      </c>
      <c r="D214" s="66" t="s">
        <v>1218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/>
      <c r="W214" s="14"/>
      <c r="X214" s="14"/>
      <c r="Y214" s="14"/>
      <c r="Z214" s="14"/>
    </row>
    <row r="215" spans="2:26" s="15" customFormat="1" ht="16.149999999999999" customHeight="1" thickBot="1" x14ac:dyDescent="0.3">
      <c r="B215" s="8"/>
      <c r="C215" s="11">
        <f>IF(ISTEXT(D215),MAX($C$10:C214)+1,"")</f>
        <v>120</v>
      </c>
      <c r="D215" s="70" t="s">
        <v>1219</v>
      </c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2"/>
      <c r="V215" s="10"/>
      <c r="W215" s="14"/>
      <c r="X215" s="14"/>
      <c r="Y215" s="14"/>
      <c r="Z215" s="14"/>
    </row>
    <row r="216" spans="2:26" s="15" customFormat="1" ht="16.149999999999999" customHeight="1" thickBot="1" x14ac:dyDescent="0.3">
      <c r="B216" s="8"/>
      <c r="C216" s="11">
        <f>IF(ISTEXT(D216),MAX($C$10:C215)+1,"")</f>
        <v>121</v>
      </c>
      <c r="D216" s="70" t="s">
        <v>1220</v>
      </c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2"/>
      <c r="V216" s="10"/>
      <c r="W216" s="14"/>
      <c r="X216" s="14"/>
      <c r="Y216" s="14"/>
      <c r="Z216" s="14"/>
    </row>
    <row r="217" spans="2:26" s="15" customFormat="1" ht="16.149999999999999" customHeight="1" thickBot="1" x14ac:dyDescent="0.3">
      <c r="B217" s="8"/>
      <c r="C217" s="11">
        <f>IF(ISTEXT(D217),MAX($C$10:C216)+1,"")</f>
        <v>122</v>
      </c>
      <c r="D217" s="66" t="s">
        <v>1221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/>
      <c r="W217" s="14"/>
      <c r="X217" s="14"/>
      <c r="Y217" s="14"/>
      <c r="Z217" s="14"/>
    </row>
    <row r="218" spans="2:26" s="15" customFormat="1" ht="16.149999999999999" customHeight="1" thickBot="1" x14ac:dyDescent="0.3">
      <c r="B218" s="8"/>
      <c r="C218" s="11">
        <f>IF(ISTEXT(D218),MAX($C$10:C217)+1,"")</f>
        <v>123</v>
      </c>
      <c r="D218" s="66" t="s">
        <v>1222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/>
      <c r="W218" s="14"/>
      <c r="X218" s="14"/>
      <c r="Y218" s="14"/>
      <c r="Z218" s="14"/>
    </row>
    <row r="219" spans="2:26" s="15" customFormat="1" ht="16.149999999999999" customHeight="1" thickBot="1" x14ac:dyDescent="0.3">
      <c r="B219" s="8"/>
      <c r="C219" s="11">
        <f>IF(ISTEXT(D219),MAX($C$10:C218)+1,"")</f>
        <v>124</v>
      </c>
      <c r="D219" s="66" t="s">
        <v>1223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/>
      <c r="W219" s="14"/>
      <c r="X219" s="14"/>
      <c r="Y219" s="14"/>
      <c r="Z219" s="14"/>
    </row>
    <row r="220" spans="2:26" s="15" customFormat="1" ht="16.149999999999999" customHeight="1" thickBot="1" x14ac:dyDescent="0.3">
      <c r="B220" s="8"/>
      <c r="C220" s="11">
        <f>IF(ISTEXT(D220),MAX($C$10:C219)+1,"")</f>
        <v>125</v>
      </c>
      <c r="D220" s="70" t="s">
        <v>1224</v>
      </c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2"/>
      <c r="V220" s="10"/>
      <c r="W220" s="14"/>
      <c r="X220" s="14"/>
      <c r="Y220" s="14"/>
      <c r="Z220" s="14"/>
    </row>
    <row r="221" spans="2:26" s="15" customFormat="1" ht="16.149999999999999" customHeight="1" thickBot="1" x14ac:dyDescent="0.3">
      <c r="B221" s="8"/>
      <c r="C221" s="11">
        <f>IF(ISTEXT(D221),MAX($C$10:C220)+1,"")</f>
        <v>126</v>
      </c>
      <c r="D221" s="66" t="s">
        <v>1225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/>
      <c r="W221" s="14"/>
      <c r="X221" s="14"/>
      <c r="Y221" s="14"/>
      <c r="Z221" s="14"/>
    </row>
    <row r="222" spans="2:26" s="15" customFormat="1" ht="16.149999999999999" customHeight="1" thickBot="1" x14ac:dyDescent="0.3">
      <c r="B222" s="8"/>
      <c r="C222" s="11" t="str">
        <f>IF(ISTEXT(D222),MAX($C$10:C221)+1,"")</f>
        <v/>
      </c>
      <c r="D222" s="70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2"/>
      <c r="V222" s="10"/>
      <c r="W222" s="14"/>
      <c r="X222" s="14"/>
      <c r="Y222" s="14"/>
      <c r="Z222" s="14"/>
    </row>
    <row r="223" spans="2:26" s="15" customFormat="1" ht="16.149999999999999" customHeight="1" thickBot="1" x14ac:dyDescent="0.3">
      <c r="B223" s="8"/>
      <c r="C223" s="11" t="str">
        <f>IF(ISTEXT(D223),MAX($C$10:C222)+1,"")</f>
        <v/>
      </c>
      <c r="D223" s="70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2"/>
      <c r="V223" s="10"/>
      <c r="W223" s="14"/>
      <c r="X223" s="14"/>
      <c r="Y223" s="14"/>
      <c r="Z223" s="14"/>
    </row>
    <row r="224" spans="2:26" s="15" customFormat="1" ht="16.149999999999999" customHeight="1" thickBot="1" x14ac:dyDescent="0.3">
      <c r="B224" s="8"/>
      <c r="C224" s="11" t="str">
        <f>IF(ISTEXT(D224),MAX($C$10:C223)+1,"")</f>
        <v/>
      </c>
      <c r="D224" s="70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2"/>
      <c r="V224" s="10"/>
      <c r="W224" s="14"/>
      <c r="X224" s="14"/>
      <c r="Y224" s="14"/>
      <c r="Z224" s="14"/>
    </row>
    <row r="225" spans="2:26" s="15" customFormat="1" ht="16.149999999999999" customHeight="1" thickBot="1" x14ac:dyDescent="0.3">
      <c r="B225" s="8"/>
      <c r="C225" s="11" t="str">
        <f>IF(ISTEXT(#REF!),MAX($C$10:C224)+1,"")</f>
        <v/>
      </c>
      <c r="D225" s="73" t="s">
        <v>148</v>
      </c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5"/>
      <c r="V225" s="10"/>
      <c r="W225" s="14"/>
      <c r="X225" s="14"/>
      <c r="Y225" s="14"/>
      <c r="Z225" s="14"/>
    </row>
    <row r="226" spans="2:26" s="15" customFormat="1" ht="16.149999999999999" customHeight="1" thickBot="1" x14ac:dyDescent="0.3">
      <c r="B226" s="8"/>
      <c r="C226" s="11">
        <f>IF(ISTEXT(D226),MAX($C$10:C225)+1,"")</f>
        <v>127</v>
      </c>
      <c r="D226" s="66" t="s">
        <v>1226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/>
      <c r="W226" s="14"/>
      <c r="X226" s="14"/>
      <c r="Y226" s="14"/>
      <c r="Z226" s="14"/>
    </row>
    <row r="227" spans="2:26" s="15" customFormat="1" ht="16.149999999999999" customHeight="1" thickBot="1" x14ac:dyDescent="0.3">
      <c r="B227" s="8"/>
      <c r="C227" s="11">
        <f>IF(ISTEXT(D227),MAX($C$10:C226)+1,"")</f>
        <v>128</v>
      </c>
      <c r="D227" s="66" t="s">
        <v>1227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/>
      <c r="W227" s="14"/>
      <c r="X227" s="14"/>
      <c r="Y227" s="14"/>
      <c r="Z227" s="14"/>
    </row>
    <row r="228" spans="2:26" s="15" customFormat="1" ht="16.149999999999999" customHeight="1" thickBot="1" x14ac:dyDescent="0.3">
      <c r="B228" s="8"/>
      <c r="C228" s="11">
        <f>IF(ISTEXT(D228),MAX($C$10:C227)+1,"")</f>
        <v>129</v>
      </c>
      <c r="D228" s="66" t="s">
        <v>1228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/>
      <c r="W228" s="14"/>
      <c r="X228" s="14"/>
      <c r="Y228" s="14"/>
      <c r="Z228" s="14"/>
    </row>
    <row r="229" spans="2:26" s="15" customFormat="1" ht="16.149999999999999" customHeight="1" thickBot="1" x14ac:dyDescent="0.3">
      <c r="B229" s="8"/>
      <c r="C229" s="11">
        <f>IF(ISTEXT(D229),MAX($C$10:C228)+1,"")</f>
        <v>130</v>
      </c>
      <c r="D229" s="66" t="s">
        <v>1229</v>
      </c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8"/>
      <c r="V229" s="10"/>
      <c r="W229" s="14"/>
      <c r="X229" s="14"/>
      <c r="Y229" s="14"/>
      <c r="Z229" s="14"/>
    </row>
    <row r="230" spans="2:26" s="15" customFormat="1" ht="16.149999999999999" customHeight="1" thickBot="1" x14ac:dyDescent="0.3">
      <c r="B230" s="8"/>
      <c r="C230" s="11">
        <f>IF(ISTEXT(D230),MAX($C$10:C229)+1,"")</f>
        <v>131</v>
      </c>
      <c r="D230" s="66" t="s">
        <v>1230</v>
      </c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8"/>
      <c r="V230" s="10"/>
      <c r="W230" s="14"/>
      <c r="X230" s="14"/>
      <c r="Y230" s="14"/>
      <c r="Z230" s="14"/>
    </row>
    <row r="231" spans="2:26" s="15" customFormat="1" ht="16.149999999999999" customHeight="1" thickBot="1" x14ac:dyDescent="0.3">
      <c r="B231" s="8"/>
      <c r="C231" s="11" t="str">
        <f>IF(ISTEXT(D231),MAX($C$10:C230)+1,"")</f>
        <v/>
      </c>
      <c r="D231" s="66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8"/>
      <c r="V231" s="14"/>
      <c r="W231" s="14"/>
      <c r="X231" s="14"/>
      <c r="Y231" s="14"/>
      <c r="Z231" s="14"/>
    </row>
    <row r="232" spans="2:26" ht="15" customHeight="1" x14ac:dyDescent="0.25">
      <c r="B232" s="69" t="s">
        <v>60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</row>
    <row r="233" spans="2:26" x14ac:dyDescent="0.25">
      <c r="B233" s="20"/>
      <c r="C233" s="21"/>
      <c r="O233" s="22"/>
      <c r="P233" s="22"/>
      <c r="Q233" s="23"/>
      <c r="R233" s="23"/>
      <c r="S233" s="22"/>
      <c r="T233" s="22"/>
    </row>
    <row r="234" spans="2:26" ht="15.75" thickBot="1" x14ac:dyDescent="0.3">
      <c r="B234" s="57" t="s">
        <v>61</v>
      </c>
      <c r="C234" s="57"/>
      <c r="D234" s="57"/>
      <c r="E234" s="57"/>
      <c r="F234" s="57"/>
      <c r="G234" s="57"/>
      <c r="H234" s="57"/>
      <c r="I234" s="57"/>
      <c r="J234" s="57"/>
      <c r="K234" s="64">
        <f ca="1">$K$64</f>
        <v>45832</v>
      </c>
      <c r="L234" s="62"/>
      <c r="M234" s="62"/>
      <c r="N234" s="62"/>
      <c r="O234" s="59"/>
      <c r="P234" s="59"/>
      <c r="Q234" s="60"/>
      <c r="R234" s="60"/>
      <c r="S234" s="65"/>
      <c r="T234" s="65"/>
    </row>
    <row r="235" spans="2:26" ht="15" customHeight="1" x14ac:dyDescent="0.25">
      <c r="C235" s="29"/>
      <c r="I235" s="30"/>
      <c r="K235" s="4"/>
      <c r="L235" s="4"/>
      <c r="M235" s="4"/>
      <c r="N235" s="4"/>
      <c r="O235" s="27"/>
      <c r="P235" s="27"/>
      <c r="Q235" s="60"/>
      <c r="R235" s="60"/>
      <c r="S235" s="65"/>
      <c r="T235" s="65"/>
    </row>
    <row r="236" spans="2:26" ht="18" customHeight="1" thickBot="1" x14ac:dyDescent="0.3">
      <c r="B236" s="57" t="s">
        <v>62</v>
      </c>
      <c r="C236" s="57"/>
      <c r="D236" s="57"/>
      <c r="E236" s="57"/>
      <c r="F236" s="57"/>
      <c r="G236" s="57"/>
      <c r="H236" s="57"/>
      <c r="I236" s="57"/>
      <c r="J236" s="57"/>
      <c r="K236" s="58" t="s">
        <v>532</v>
      </c>
      <c r="L236" s="58"/>
      <c r="M236" s="58"/>
      <c r="N236" s="58"/>
      <c r="O236" s="59"/>
      <c r="P236" s="59"/>
      <c r="Q236" s="60"/>
      <c r="R236" s="60"/>
      <c r="S236" s="61" t="s">
        <v>63</v>
      </c>
      <c r="T236" s="61"/>
      <c r="U236" s="61"/>
      <c r="V236" s="62"/>
      <c r="W236" s="63"/>
      <c r="X236" s="62"/>
      <c r="Y236" s="62"/>
    </row>
    <row r="237" spans="2:26" ht="18" customHeight="1" thickBot="1" x14ac:dyDescent="0.3">
      <c r="B237" s="24"/>
      <c r="C237" s="24"/>
      <c r="D237" s="24"/>
      <c r="E237" s="24"/>
      <c r="F237" s="24"/>
      <c r="G237" s="24"/>
      <c r="H237" s="24"/>
      <c r="I237" s="24"/>
      <c r="J237" s="24"/>
      <c r="K237" s="31"/>
      <c r="L237" s="31"/>
      <c r="M237" s="31"/>
      <c r="N237" s="31"/>
      <c r="O237" s="26"/>
      <c r="P237" s="26"/>
      <c r="Q237" s="23"/>
      <c r="R237" s="23"/>
      <c r="S237" s="40"/>
      <c r="T237" s="40"/>
      <c r="U237" s="40"/>
      <c r="V237" s="25"/>
      <c r="W237" s="1"/>
      <c r="X237" s="4"/>
      <c r="Y237" s="4"/>
    </row>
    <row r="238" spans="2:26" ht="18" customHeight="1" thickBot="1" x14ac:dyDescent="0.3">
      <c r="B238" s="24"/>
      <c r="C238" s="24"/>
      <c r="D238" s="24"/>
      <c r="E238" s="24"/>
      <c r="F238" s="24"/>
      <c r="G238" s="24"/>
      <c r="H238" s="24"/>
      <c r="I238" s="24"/>
      <c r="J238" s="24"/>
      <c r="K238" s="31"/>
      <c r="L238" s="31"/>
      <c r="M238" s="31"/>
      <c r="N238" s="31"/>
      <c r="O238" s="26"/>
      <c r="P238" s="26"/>
      <c r="Q238" s="23"/>
      <c r="R238" s="23"/>
      <c r="S238" s="40"/>
      <c r="T238" s="40"/>
      <c r="U238" s="40"/>
      <c r="V238" s="25"/>
      <c r="W238" s="1"/>
      <c r="X238" s="4"/>
      <c r="Y238" s="4"/>
    </row>
    <row r="239" spans="2:26" ht="15" customHeight="1" x14ac:dyDescent="0.25">
      <c r="E239" s="88" t="s">
        <v>64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2" t="s">
        <v>159</v>
      </c>
      <c r="X239" s="79"/>
      <c r="Y239" s="79"/>
      <c r="Z239" s="79"/>
    </row>
    <row r="240" spans="2:26" ht="15" customHeight="1" thickBot="1" x14ac:dyDescent="0.3">
      <c r="E240" s="90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</row>
    <row r="241" spans="2:26" ht="10.5" customHeight="1" thickBot="1" x14ac:dyDescent="0.3"/>
    <row r="242" spans="2:26" ht="15" customHeight="1" thickBot="1" x14ac:dyDescent="0.3">
      <c r="J242" s="79" t="s">
        <v>2</v>
      </c>
      <c r="K242" s="79"/>
      <c r="L242" s="79"/>
      <c r="M242" s="80" t="str">
        <f>M4</f>
        <v>C1003</v>
      </c>
      <c r="N242" s="80"/>
      <c r="O242" s="80"/>
      <c r="P242" s="80"/>
    </row>
    <row r="243" spans="2:26" s="15" customFormat="1" ht="15" customHeight="1" thickBot="1" x14ac:dyDescent="0.3">
      <c r="I243" s="79" t="s">
        <v>4</v>
      </c>
      <c r="J243" s="79"/>
      <c r="K243" s="79"/>
      <c r="L243" s="79"/>
      <c r="M243" s="80"/>
      <c r="N243" s="80"/>
      <c r="O243" s="80"/>
      <c r="P243" s="80"/>
      <c r="Q243" s="81"/>
      <c r="R243" s="82"/>
      <c r="S243" s="82"/>
      <c r="T243" s="82"/>
      <c r="U243" s="82"/>
      <c r="V243" s="82"/>
    </row>
    <row r="244" spans="2:26" s="15" customFormat="1" ht="8.25" customHeight="1" thickBot="1" x14ac:dyDescent="0.3">
      <c r="M244" s="38"/>
      <c r="N244" s="38"/>
      <c r="O244" s="38"/>
      <c r="P244" s="38"/>
    </row>
    <row r="245" spans="2:26" s="15" customFormat="1" ht="15" customHeight="1" thickBot="1" x14ac:dyDescent="0.3">
      <c r="C245" s="83" t="s">
        <v>66</v>
      </c>
      <c r="D245" s="83"/>
      <c r="E245" s="83"/>
      <c r="F245" s="83"/>
      <c r="G245" s="83"/>
      <c r="H245" s="83"/>
      <c r="I245" s="83"/>
      <c r="J245" s="83"/>
      <c r="K245" s="83"/>
      <c r="L245" s="84"/>
      <c r="M245" s="85" t="s">
        <v>532</v>
      </c>
      <c r="N245" s="86"/>
      <c r="O245" s="86"/>
      <c r="P245" s="86"/>
      <c r="Q245" s="86"/>
      <c r="R245" s="86"/>
      <c r="S245" s="87"/>
      <c r="T245" s="60"/>
      <c r="U245" s="60"/>
      <c r="V245" s="60"/>
      <c r="W245" s="60"/>
      <c r="X245" s="23"/>
    </row>
    <row r="246" spans="2:26" s="15" customFormat="1" ht="10.5" customHeight="1" thickBot="1" x14ac:dyDescent="0.3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2:26" s="15" customFormat="1" ht="21" customHeight="1" thickBot="1" x14ac:dyDescent="0.3">
      <c r="B247" s="76" t="s">
        <v>67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8"/>
      <c r="V247" s="35" t="s">
        <v>8</v>
      </c>
      <c r="W247" s="35" t="s">
        <v>9</v>
      </c>
      <c r="X247" s="35" t="s">
        <v>10</v>
      </c>
      <c r="Y247" s="7" t="s">
        <v>11</v>
      </c>
      <c r="Z247" s="35" t="s">
        <v>12</v>
      </c>
    </row>
    <row r="248" spans="2:26" s="15" customFormat="1" ht="16.149999999999999" customHeight="1" thickBot="1" x14ac:dyDescent="0.3">
      <c r="B248" s="8"/>
      <c r="C248" s="39"/>
      <c r="D248" s="66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4"/>
      <c r="W248" s="14"/>
      <c r="X248" s="14"/>
      <c r="Y248" s="14"/>
      <c r="Z248" s="14"/>
    </row>
    <row r="249" spans="2:26" s="15" customFormat="1" ht="16.149999999999999" customHeight="1" thickBot="1" x14ac:dyDescent="0.3">
      <c r="B249" s="8"/>
      <c r="C249" s="11" t="str">
        <f>IF(ISTEXT(D249),MAX($C$10:C248)+1,"")</f>
        <v/>
      </c>
      <c r="D249" s="70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2"/>
      <c r="V249" s="10"/>
      <c r="W249" s="14"/>
      <c r="X249" s="14"/>
      <c r="Y249" s="14"/>
      <c r="Z249" s="14"/>
    </row>
    <row r="250" spans="2:26" s="15" customFormat="1" ht="16.149999999999999" customHeight="1" thickBot="1" x14ac:dyDescent="0.3">
      <c r="B250" s="8"/>
      <c r="C250" s="11" t="str">
        <f>IF(ISTEXT(D250),MAX($C$10:C249)+1,"")</f>
        <v/>
      </c>
      <c r="D250" s="70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2"/>
      <c r="V250" s="10"/>
      <c r="W250" s="14"/>
      <c r="X250" s="14"/>
      <c r="Y250" s="14"/>
      <c r="Z250" s="14"/>
    </row>
    <row r="251" spans="2:26" s="15" customFormat="1" ht="16.149999999999999" customHeight="1" thickBot="1" x14ac:dyDescent="0.3">
      <c r="B251" s="8"/>
      <c r="C251" s="11" t="str">
        <f>IF(ISTEXT(#REF!),MAX($C$10:C250)+1,"")</f>
        <v/>
      </c>
      <c r="D251" s="73" t="s">
        <v>160</v>
      </c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5"/>
      <c r="V251" s="10"/>
      <c r="W251" s="14"/>
      <c r="X251" s="14"/>
      <c r="Y251" s="14"/>
      <c r="Z251" s="14"/>
    </row>
    <row r="252" spans="2:26" s="15" customFormat="1" ht="16.149999999999999" customHeight="1" thickBot="1" x14ac:dyDescent="0.3">
      <c r="B252" s="8"/>
      <c r="C252" s="11">
        <f>IF(ISTEXT(D252),MAX($C$10:C251)+1,"")</f>
        <v>132</v>
      </c>
      <c r="D252" s="66" t="s">
        <v>1231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/>
      <c r="W252" s="14"/>
      <c r="X252" s="14"/>
      <c r="Y252" s="14"/>
      <c r="Z252" s="14"/>
    </row>
    <row r="253" spans="2:26" s="15" customFormat="1" ht="16.149999999999999" customHeight="1" thickBot="1" x14ac:dyDescent="0.3">
      <c r="B253" s="8"/>
      <c r="C253" s="11">
        <f>IF(ISTEXT(D253),MAX($C$10:C252)+1,"")</f>
        <v>133</v>
      </c>
      <c r="D253" s="70" t="s">
        <v>1227</v>
      </c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2"/>
      <c r="V253" s="10"/>
      <c r="W253" s="14"/>
      <c r="X253" s="14"/>
      <c r="Y253" s="14"/>
      <c r="Z253" s="14"/>
    </row>
    <row r="254" spans="2:26" s="15" customFormat="1" ht="16.149999999999999" customHeight="1" thickBot="1" x14ac:dyDescent="0.3">
      <c r="B254" s="8"/>
      <c r="C254" s="11">
        <f>IF(ISTEXT(D254),MAX($C$10:C253)+1,"")</f>
        <v>134</v>
      </c>
      <c r="D254" s="70" t="s">
        <v>1232</v>
      </c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  <c r="V254" s="10"/>
      <c r="W254" s="14"/>
      <c r="X254" s="14"/>
      <c r="Y254" s="14"/>
      <c r="Z254" s="14"/>
    </row>
    <row r="255" spans="2:26" ht="16.149999999999999" customHeight="1" thickBot="1" x14ac:dyDescent="0.3">
      <c r="B255" s="8"/>
      <c r="C255" s="11">
        <f>IF(ISTEXT(D255),MAX($C$10:C254)+1,"")</f>
        <v>135</v>
      </c>
      <c r="D255" s="70" t="s">
        <v>1226</v>
      </c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2"/>
      <c r="V255" s="10"/>
      <c r="W255" s="14"/>
      <c r="X255" s="14"/>
      <c r="Y255" s="14"/>
      <c r="Z255" s="14"/>
    </row>
    <row r="256" spans="2:26" s="15" customFormat="1" ht="16.149999999999999" customHeight="1" thickBot="1" x14ac:dyDescent="0.3">
      <c r="B256" s="8"/>
      <c r="C256" s="44">
        <f>IF(ISTEXT(D256),MAX($C$10:C255)+1,"")</f>
        <v>136</v>
      </c>
      <c r="D256" s="150" t="s">
        <v>1233</v>
      </c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2"/>
      <c r="V256" s="10"/>
      <c r="W256" s="14"/>
      <c r="X256" s="14"/>
      <c r="Y256" s="14"/>
      <c r="Z256" s="14"/>
    </row>
    <row r="257" spans="2:26" s="15" customFormat="1" ht="16.149999999999999" customHeight="1" thickBot="1" x14ac:dyDescent="0.3">
      <c r="B257" s="13"/>
      <c r="C257" s="46"/>
      <c r="D257" s="197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8"/>
      <c r="W257" s="14"/>
      <c r="X257" s="14"/>
      <c r="Y257" s="14"/>
      <c r="Z257" s="14"/>
    </row>
    <row r="258" spans="2:26" s="15" customFormat="1" ht="16.149999999999999" customHeight="1" thickBot="1" x14ac:dyDescent="0.3">
      <c r="B258" s="13"/>
      <c r="C258" s="46"/>
      <c r="D258" s="197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8"/>
      <c r="W258" s="14"/>
      <c r="X258" s="14"/>
      <c r="Y258" s="14"/>
      <c r="Z258" s="14"/>
    </row>
    <row r="259" spans="2:26" s="15" customFormat="1" ht="15.95" customHeight="1" thickBot="1" x14ac:dyDescent="0.3">
      <c r="B259" s="13"/>
      <c r="C259" s="46"/>
      <c r="D259" s="197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8"/>
      <c r="W259" s="14"/>
      <c r="X259" s="14"/>
      <c r="Y259" s="14"/>
      <c r="Z259" s="14"/>
    </row>
    <row r="260" spans="2:26" s="15" customFormat="1" ht="16.149999999999999" customHeight="1" thickBot="1" x14ac:dyDescent="0.3">
      <c r="B260" s="13"/>
      <c r="C260" s="46"/>
      <c r="D260" s="197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8"/>
      <c r="W260" s="14"/>
      <c r="X260" s="14"/>
      <c r="Y260" s="14"/>
      <c r="Z260" s="14"/>
    </row>
    <row r="261" spans="2:26" s="15" customFormat="1" ht="16.149999999999999" customHeight="1" thickBot="1" x14ac:dyDescent="0.3">
      <c r="B261" s="8"/>
      <c r="C261" s="45"/>
      <c r="D261" s="200" t="s">
        <v>168</v>
      </c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2"/>
      <c r="V261" s="10"/>
      <c r="W261" s="14"/>
      <c r="X261" s="14"/>
      <c r="Y261" s="14"/>
      <c r="Z261" s="14"/>
    </row>
    <row r="262" spans="2:26" s="15" customFormat="1" ht="16.149999999999999" customHeight="1" thickBot="1" x14ac:dyDescent="0.3">
      <c r="B262" s="8"/>
      <c r="C262" s="11">
        <f>IF(ISTEXT(D262),MAX($C$10:C261)+1,"")</f>
        <v>137</v>
      </c>
      <c r="D262" s="70" t="s">
        <v>1234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/>
      <c r="W262" s="14"/>
      <c r="X262" s="14"/>
      <c r="Y262" s="14"/>
      <c r="Z262" s="14"/>
    </row>
    <row r="263" spans="2:26" s="15" customFormat="1" ht="16.149999999999999" customHeight="1" thickBot="1" x14ac:dyDescent="0.3">
      <c r="B263" s="8"/>
      <c r="C263" s="11" t="str">
        <f>IF(ISTEXT(D263),MAX($C$10:C262)+1,"")</f>
        <v/>
      </c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/>
      <c r="W263" s="14"/>
      <c r="X263" s="14"/>
      <c r="Y263" s="14"/>
      <c r="Z263" s="14"/>
    </row>
    <row r="264" spans="2:26" s="15" customFormat="1" ht="16.149999999999999" customHeight="1" thickBot="1" x14ac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/>
      <c r="W264" s="14"/>
      <c r="X264" s="14"/>
      <c r="Y264" s="14"/>
      <c r="Z264" s="14"/>
    </row>
    <row r="265" spans="2:26" s="15" customFormat="1" ht="16.149999999999999" customHeight="1" thickBot="1" x14ac:dyDescent="0.3">
      <c r="B265" s="8"/>
      <c r="C265" s="11" t="str">
        <f>IF(ISTEXT(D265),MAX($C$10:C264)+1,"")</f>
        <v/>
      </c>
      <c r="D265" s="66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8"/>
      <c r="V265" s="10"/>
      <c r="W265" s="14"/>
      <c r="X265" s="14"/>
      <c r="Y265" s="14"/>
      <c r="Z265" s="14"/>
    </row>
    <row r="266" spans="2:26" s="15" customFormat="1" ht="16.149999999999999" customHeight="1" thickBot="1" x14ac:dyDescent="0.3">
      <c r="B266" s="8"/>
      <c r="C266" s="11" t="str">
        <f>IF(ISTEXT(D266),MAX($C$10:C270)+1,"")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/>
      <c r="W266" s="14"/>
      <c r="X266" s="14"/>
      <c r="Y266" s="14"/>
      <c r="Z266" s="14"/>
    </row>
    <row r="267" spans="2:26" s="15" customFormat="1" ht="16.149999999999999" customHeight="1" thickBot="1" x14ac:dyDescent="0.3">
      <c r="B267" s="8"/>
      <c r="C267" s="11"/>
      <c r="D267" s="203" t="s">
        <v>1235</v>
      </c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5"/>
      <c r="V267" s="10"/>
      <c r="W267" s="14"/>
      <c r="X267" s="14"/>
      <c r="Y267" s="14"/>
      <c r="Z267" s="14"/>
    </row>
    <row r="268" spans="2:26" s="15" customFormat="1" ht="16.149999999999999" customHeight="1" thickBot="1" x14ac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/>
      <c r="W268" s="14"/>
      <c r="X268" s="14"/>
      <c r="Y268" s="14"/>
      <c r="Z268" s="14"/>
    </row>
    <row r="269" spans="2:26" s="15" customFormat="1" ht="16.149999999999999" customHeight="1" thickBot="1" x14ac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/>
      <c r="W269" s="14"/>
      <c r="X269" s="14"/>
      <c r="Y269" s="14"/>
      <c r="Z269" s="14"/>
    </row>
    <row r="270" spans="2:26" s="15" customFormat="1" ht="16.149999999999999" customHeight="1" thickBot="1" x14ac:dyDescent="0.3">
      <c r="B270" s="8"/>
      <c r="C270" s="11" t="str">
        <f>IF(ISTEXT(D270),MAX($C$10:C269)+1,"")</f>
        <v/>
      </c>
      <c r="D270" s="66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8"/>
      <c r="V270" s="10"/>
      <c r="W270" s="14"/>
      <c r="X270" s="14"/>
      <c r="Y270" s="14"/>
      <c r="Z270" s="14"/>
    </row>
    <row r="271" spans="2:26" s="15" customFormat="1" ht="16.149999999999999" customHeight="1" thickBot="1" x14ac:dyDescent="0.3">
      <c r="B271" s="8"/>
      <c r="C271" s="11" t="str">
        <f>IF(ISTEXT(D271),MAX($C$10:C270)+1,"")</f>
        <v/>
      </c>
      <c r="D271" s="66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/>
      <c r="W271" s="14"/>
      <c r="X271" s="14"/>
      <c r="Y271" s="14"/>
      <c r="Z271" s="14"/>
    </row>
    <row r="272" spans="2:26" s="15" customFormat="1" ht="16.149999999999999" customHeight="1" thickBot="1" x14ac:dyDescent="0.3">
      <c r="B272" s="8"/>
      <c r="C272" s="11" t="str">
        <f>IF(ISTEXT(D272),MAX($C$10:C271)+1,"")</f>
        <v/>
      </c>
      <c r="D272" s="66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/>
      <c r="W272" s="14"/>
      <c r="X272" s="14"/>
      <c r="Y272" s="14"/>
      <c r="Z272" s="14"/>
    </row>
    <row r="273" spans="2:26" s="15" customFormat="1" ht="16.149999999999999" customHeight="1" thickBot="1" x14ac:dyDescent="0.3">
      <c r="B273" s="8"/>
      <c r="C273" s="11" t="str">
        <f>IF(ISTEXT(D273),MAX($C$10:C270)+1,"")</f>
        <v/>
      </c>
      <c r="D273" s="66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/>
      <c r="W273" s="14"/>
      <c r="X273" s="14"/>
      <c r="Y273" s="14"/>
      <c r="Z273" s="14"/>
    </row>
    <row r="274" spans="2:26" s="15" customFormat="1" ht="16.149999999999999" customHeight="1" thickBot="1" x14ac:dyDescent="0.3">
      <c r="B274" s="8"/>
      <c r="C274" s="11" t="str">
        <f>IF(ISTEXT(D274),MAX($C$10:C273)+1,"")</f>
        <v/>
      </c>
      <c r="D274" s="66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/>
      <c r="W274" s="14"/>
      <c r="X274" s="14"/>
      <c r="Y274" s="14"/>
      <c r="Z274" s="14"/>
    </row>
    <row r="275" spans="2:26" s="15" customFormat="1" ht="16.149999999999999" customHeight="1" thickBot="1" x14ac:dyDescent="0.3">
      <c r="B275" s="8"/>
      <c r="C275" s="11" t="str">
        <f>IF(ISTEXT(D275),MAX($C$10:C274)+1,"")</f>
        <v/>
      </c>
      <c r="D275" s="70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2"/>
      <c r="V275" s="10"/>
      <c r="W275" s="14"/>
      <c r="X275" s="14"/>
      <c r="Y275" s="14"/>
      <c r="Z275" s="14"/>
    </row>
    <row r="276" spans="2:26" s="15" customFormat="1" ht="16.149999999999999" customHeight="1" thickBot="1" x14ac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0"/>
      <c r="W276" s="14"/>
      <c r="X276" s="14"/>
      <c r="Y276" s="14"/>
      <c r="Z276" s="14"/>
    </row>
    <row r="277" spans="2:26" s="15" customFormat="1" ht="16.149999999999999" customHeight="1" thickBot="1" x14ac:dyDescent="0.3">
      <c r="B277" s="8"/>
      <c r="C277" s="11" t="str">
        <f>IF(ISTEXT(D277),MAX($C$10:C276)+1,"")</f>
        <v/>
      </c>
      <c r="D277" s="70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2"/>
      <c r="V277" s="10"/>
      <c r="W277" s="14"/>
      <c r="X277" s="14"/>
      <c r="Y277" s="14"/>
      <c r="Z277" s="14"/>
    </row>
    <row r="278" spans="2:26" s="15" customFormat="1" ht="16.149999999999999" customHeight="1" thickBot="1" x14ac:dyDescent="0.3">
      <c r="B278" s="8"/>
      <c r="C278" s="11" t="str">
        <f>IF(ISTEXT(D278),MAX($C$10:C277)+1,"")</f>
        <v/>
      </c>
      <c r="D278" s="159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1"/>
      <c r="V278" s="10"/>
      <c r="W278" s="14"/>
      <c r="X278" s="14"/>
      <c r="Y278" s="14"/>
      <c r="Z278" s="14"/>
    </row>
    <row r="279" spans="2:26" s="15" customFormat="1" ht="16.149999999999999" customHeight="1" thickBot="1" x14ac:dyDescent="0.3">
      <c r="B279" s="8"/>
      <c r="C279" s="11" t="str">
        <f>IF(ISTEXT(D279),MAX($C$10:C278)+1,"")</f>
        <v/>
      </c>
      <c r="D279" s="66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8"/>
      <c r="V279" s="10"/>
      <c r="W279" s="14"/>
      <c r="X279" s="14"/>
      <c r="Y279" s="14"/>
      <c r="Z279" s="14"/>
    </row>
    <row r="280" spans="2:26" s="15" customFormat="1" ht="16.149999999999999" customHeight="1" thickBot="1" x14ac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/>
      <c r="W280" s="14"/>
      <c r="X280" s="14"/>
      <c r="Y280" s="14"/>
      <c r="Z280" s="14"/>
    </row>
    <row r="281" spans="2:26" s="15" customFormat="1" ht="16.149999999999999" customHeight="1" thickBot="1" x14ac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/>
      <c r="W281" s="14"/>
      <c r="X281" s="14"/>
      <c r="Y281" s="14"/>
      <c r="Z281" s="14"/>
    </row>
    <row r="282" spans="2:26" s="15" customFormat="1" ht="16.149999999999999" customHeight="1" thickBot="1" x14ac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/>
      <c r="W282" s="14"/>
      <c r="X282" s="14"/>
      <c r="Y282" s="14"/>
      <c r="Z282" s="14"/>
    </row>
    <row r="283" spans="2:26" s="15" customFormat="1" ht="16.149999999999999" customHeight="1" thickBot="1" x14ac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/>
      <c r="W283" s="14"/>
      <c r="X283" s="14"/>
      <c r="Y283" s="14"/>
      <c r="Z283" s="14"/>
    </row>
    <row r="284" spans="2:26" s="15" customFormat="1" ht="16.149999999999999" customHeight="1" thickBot="1" x14ac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4"/>
      <c r="W284" s="14"/>
      <c r="X284" s="14"/>
      <c r="Y284" s="14"/>
      <c r="Z284" s="14"/>
    </row>
    <row r="285" spans="2:26" ht="15" customHeight="1" x14ac:dyDescent="0.25">
      <c r="B285" s="69" t="s">
        <v>60</v>
      </c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</row>
    <row r="286" spans="2:26" x14ac:dyDescent="0.25">
      <c r="B286" s="20"/>
      <c r="C286" s="21"/>
      <c r="O286" s="22"/>
      <c r="P286" s="22"/>
      <c r="Q286" s="23"/>
      <c r="R286" s="23"/>
      <c r="S286" s="22"/>
      <c r="T286" s="22"/>
    </row>
    <row r="287" spans="2:26" ht="15.75" thickBot="1" x14ac:dyDescent="0.3">
      <c r="B287" s="57" t="s">
        <v>61</v>
      </c>
      <c r="C287" s="57"/>
      <c r="D287" s="57"/>
      <c r="E287" s="57"/>
      <c r="F287" s="57"/>
      <c r="G287" s="57"/>
      <c r="H287" s="57"/>
      <c r="I287" s="57"/>
      <c r="J287" s="57"/>
      <c r="K287" s="64">
        <f ca="1">$K$64</f>
        <v>45832</v>
      </c>
      <c r="L287" s="62"/>
      <c r="M287" s="62"/>
      <c r="N287" s="62"/>
      <c r="O287" s="59"/>
      <c r="P287" s="59"/>
      <c r="Q287" s="60"/>
      <c r="R287" s="60"/>
      <c r="S287" s="65"/>
      <c r="T287" s="65"/>
    </row>
    <row r="288" spans="2:26" ht="15" customHeight="1" x14ac:dyDescent="0.25">
      <c r="C288" s="29"/>
      <c r="I288" s="30"/>
      <c r="K288" s="4"/>
      <c r="L288" s="4"/>
      <c r="M288" s="4"/>
      <c r="N288" s="4"/>
      <c r="O288" s="27"/>
      <c r="P288" s="27"/>
      <c r="Q288" s="60"/>
      <c r="R288" s="60"/>
      <c r="S288" s="65"/>
      <c r="T288" s="65"/>
    </row>
    <row r="289" spans="2:256" ht="18" customHeight="1" thickBot="1" x14ac:dyDescent="0.3">
      <c r="B289" s="57" t="s">
        <v>62</v>
      </c>
      <c r="C289" s="57"/>
      <c r="D289" s="57"/>
      <c r="E289" s="57"/>
      <c r="F289" s="57"/>
      <c r="G289" s="57"/>
      <c r="H289" s="57"/>
      <c r="I289" s="57"/>
      <c r="J289" s="57"/>
      <c r="K289" s="58" t="s">
        <v>532</v>
      </c>
      <c r="L289" s="58"/>
      <c r="M289" s="58"/>
      <c r="N289" s="58"/>
      <c r="O289" s="59"/>
      <c r="P289" s="59"/>
      <c r="Q289" s="60"/>
      <c r="R289" s="60"/>
      <c r="S289" s="61" t="s">
        <v>63</v>
      </c>
      <c r="T289" s="61"/>
      <c r="U289" s="61"/>
      <c r="V289" s="62"/>
      <c r="W289" s="63"/>
      <c r="X289" s="62"/>
      <c r="Y289" s="62"/>
    </row>
    <row r="290" spans="2:256" ht="20.100000000000001" customHeight="1" x14ac:dyDescent="0.25">
      <c r="B290" s="15"/>
      <c r="C290" s="15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ht="15" customHeight="1" x14ac:dyDescent="0.25">
      <c r="B291" s="15"/>
      <c r="C291" s="15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8" customHeight="1" x14ac:dyDescent="0.25">
      <c r="B292" s="15"/>
      <c r="C292" s="15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5" customHeight="1" x14ac:dyDescent="0.25">
      <c r="B293" s="15"/>
      <c r="C293" s="15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21.95" customHeight="1" x14ac:dyDescent="0.25">
      <c r="B294" s="15"/>
      <c r="C294" s="15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" customHeight="1" x14ac:dyDescent="0.25">
      <c r="B295" s="15"/>
      <c r="C295" s="1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18.95" customHeight="1" x14ac:dyDescent="0.25">
      <c r="B296" s="15"/>
      <c r="C296" s="15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5.95" customHeight="1" x14ac:dyDescent="0.25">
      <c r="B297" s="15"/>
      <c r="C297" s="15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x14ac:dyDescent="0.25">
      <c r="B298" s="15"/>
      <c r="C298" s="15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s="15" customFormat="1" ht="15" customHeight="1" x14ac:dyDescent="0.25"/>
    <row r="300" spans="2:256" s="15" customFormat="1" ht="15.95" customHeight="1" x14ac:dyDescent="0.25"/>
    <row r="301" spans="2:256" s="15" customFormat="1" ht="17.100000000000001" customHeight="1" x14ac:dyDescent="0.25"/>
    <row r="302" spans="2:256" s="15" customFormat="1" ht="18.95" customHeight="1" x14ac:dyDescent="0.25"/>
    <row r="303" spans="2:256" s="15" customFormat="1" ht="21" customHeight="1" x14ac:dyDescent="0.25"/>
    <row r="304" spans="2:256" s="15" customFormat="1" ht="16.149999999999999" customHeight="1" x14ac:dyDescent="0.25"/>
    <row r="305" spans="2:256" s="15" customFormat="1" ht="16.149999999999999" customHeight="1" x14ac:dyDescent="0.25"/>
    <row r="306" spans="2:256" s="15" customFormat="1" ht="16.149999999999999" customHeight="1" x14ac:dyDescent="0.25"/>
    <row r="307" spans="2:256" s="15" customFormat="1" ht="16.149999999999999" customHeight="1" x14ac:dyDescent="0.25"/>
    <row r="308" spans="2:256" s="15" customFormat="1" ht="16.149999999999999" customHeight="1" x14ac:dyDescent="0.25"/>
    <row r="309" spans="2:256" s="15" customFormat="1" ht="16.149999999999999" customHeight="1" x14ac:dyDescent="0.25"/>
    <row r="310" spans="2:256" s="15" customFormat="1" ht="16.149999999999999" customHeight="1" x14ac:dyDescent="0.25"/>
    <row r="311" spans="2:256" ht="16.149999999999999" customHeight="1" x14ac:dyDescent="0.25">
      <c r="B311" s="15"/>
      <c r="C311" s="15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</row>
    <row r="312" spans="2:256" s="15" customFormat="1" ht="16.149999999999999" customHeight="1" x14ac:dyDescent="0.25"/>
    <row r="313" spans="2:256" s="15" customFormat="1" ht="16.149999999999999" customHeight="1" x14ac:dyDescent="0.25"/>
    <row r="314" spans="2:256" s="15" customFormat="1" ht="16.149999999999999" customHeight="1" x14ac:dyDescent="0.25"/>
    <row r="315" spans="2:256" s="15" customFormat="1" ht="16.149999999999999" customHeight="1" x14ac:dyDescent="0.25"/>
    <row r="316" spans="2:256" s="15" customFormat="1" ht="16.149999999999999" customHeight="1" x14ac:dyDescent="0.25"/>
    <row r="317" spans="2:256" s="15" customFormat="1" ht="16.149999999999999" customHeight="1" x14ac:dyDescent="0.25"/>
    <row r="318" spans="2:256" s="15" customFormat="1" ht="16.149999999999999" customHeight="1" x14ac:dyDescent="0.25"/>
    <row r="319" spans="2:256" s="15" customFormat="1" ht="16.149999999999999" customHeight="1" x14ac:dyDescent="0.25"/>
    <row r="320" spans="2:256" s="15" customFormat="1" ht="16.149999999999999" customHeight="1" x14ac:dyDescent="0.25"/>
    <row r="321" s="15" customFormat="1" ht="16.149999999999999" customHeight="1" x14ac:dyDescent="0.25"/>
    <row r="322" s="15" customFormat="1" ht="16.149999999999999" customHeight="1" x14ac:dyDescent="0.25"/>
    <row r="323" s="15" customFormat="1" ht="16.149999999999999" customHeight="1" x14ac:dyDescent="0.25"/>
    <row r="324" s="15" customFormat="1" ht="16.149999999999999" customHeight="1" x14ac:dyDescent="0.25"/>
    <row r="325" s="15" customFormat="1" ht="16.149999999999999" customHeight="1" x14ac:dyDescent="0.25"/>
    <row r="326" s="15" customFormat="1" ht="16.149999999999999" customHeight="1" x14ac:dyDescent="0.25"/>
    <row r="327" s="15" customFormat="1" ht="16.149999999999999" customHeight="1" x14ac:dyDescent="0.25"/>
    <row r="328" s="15" customFormat="1" ht="16.149999999999999" customHeight="1" x14ac:dyDescent="0.25"/>
    <row r="329" s="15" customFormat="1" ht="16.149999999999999" customHeight="1" x14ac:dyDescent="0.25"/>
    <row r="330" s="15" customFormat="1" ht="16.149999999999999" customHeight="1" x14ac:dyDescent="0.25"/>
    <row r="331" s="15" customFormat="1" ht="16.149999999999999" customHeight="1" x14ac:dyDescent="0.25"/>
    <row r="332" s="15" customFormat="1" ht="16.149999999999999" customHeight="1" x14ac:dyDescent="0.25"/>
    <row r="333" s="15" customFormat="1" ht="16.149999999999999" customHeight="1" x14ac:dyDescent="0.25"/>
    <row r="334" s="15" customFormat="1" ht="16.149999999999999" customHeight="1" x14ac:dyDescent="0.25"/>
    <row r="335" s="15" customFormat="1" ht="16.149999999999999" customHeight="1" x14ac:dyDescent="0.25"/>
    <row r="336" s="15" customFormat="1" ht="16.149999999999999" customHeight="1" x14ac:dyDescent="0.25"/>
    <row r="337" spans="2:256" s="15" customFormat="1" ht="16.149999999999999" customHeight="1" x14ac:dyDescent="0.25"/>
    <row r="338" spans="2:256" s="15" customFormat="1" ht="16.149999999999999" customHeight="1" x14ac:dyDescent="0.25"/>
    <row r="339" spans="2:256" s="15" customFormat="1" ht="16.149999999999999" customHeight="1" x14ac:dyDescent="0.25"/>
    <row r="340" spans="2:256" s="15" customFormat="1" ht="16.149999999999999" customHeight="1" x14ac:dyDescent="0.25"/>
    <row r="341" spans="2:256" s="15" customFormat="1" ht="16.149999999999999" customHeight="1" x14ac:dyDescent="0.25"/>
    <row r="342" spans="2:256" ht="15" customHeight="1" x14ac:dyDescent="0.25">
      <c r="B342" s="15"/>
      <c r="C342" s="15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ht="12.95" customHeight="1" x14ac:dyDescent="0.25">
      <c r="B343" s="15"/>
      <c r="C343" s="15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8" customHeight="1" x14ac:dyDescent="0.25">
      <c r="B344" s="15"/>
      <c r="C344" s="15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x14ac:dyDescent="0.25">
      <c r="B345" s="15"/>
      <c r="C345" s="1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ht="18" customHeight="1" x14ac:dyDescent="0.25">
      <c r="B346" s="15"/>
      <c r="C346" s="15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2.95" customHeight="1" x14ac:dyDescent="0.25">
      <c r="B347" s="15"/>
      <c r="C347" s="15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5" customHeight="1" x14ac:dyDescent="0.25">
      <c r="B348" s="15"/>
      <c r="C348" s="15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x14ac:dyDescent="0.25">
      <c r="B349" s="15"/>
      <c r="C349" s="15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x14ac:dyDescent="0.25">
      <c r="B350" s="15"/>
      <c r="C350" s="15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x14ac:dyDescent="0.25">
      <c r="B351" s="15"/>
      <c r="C351" s="15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x14ac:dyDescent="0.25">
      <c r="B352" s="15"/>
      <c r="C352" s="15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x14ac:dyDescent="0.25">
      <c r="B353" s="15"/>
      <c r="C353" s="15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x14ac:dyDescent="0.25">
      <c r="B354" s="15"/>
      <c r="C354" s="15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x14ac:dyDescent="0.25">
      <c r="B355" s="15"/>
      <c r="C355" s="1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x14ac:dyDescent="0.25">
      <c r="B356" s="15"/>
      <c r="C356" s="15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x14ac:dyDescent="0.25">
      <c r="B357" s="15"/>
      <c r="C357" s="15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x14ac:dyDescent="0.25">
      <c r="B358" s="15"/>
      <c r="C358" s="15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x14ac:dyDescent="0.25">
      <c r="B359" s="15"/>
      <c r="C359" s="15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x14ac:dyDescent="0.25">
      <c r="B360" s="15"/>
      <c r="C360" s="15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x14ac:dyDescent="0.25">
      <c r="B361" s="15"/>
      <c r="C361" s="15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x14ac:dyDescent="0.25">
      <c r="B362" s="15"/>
      <c r="C362" s="15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x14ac:dyDescent="0.25">
      <c r="B363" s="15"/>
      <c r="C363" s="15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x14ac:dyDescent="0.25">
      <c r="B364" s="15"/>
      <c r="C364" s="15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x14ac:dyDescent="0.25">
      <c r="B365" s="15"/>
      <c r="C365" s="1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x14ac:dyDescent="0.25">
      <c r="B366" s="15"/>
      <c r="C366" s="15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x14ac:dyDescent="0.25">
      <c r="B367" s="15"/>
      <c r="C367" s="15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ht="15" customHeight="1" x14ac:dyDescent="0.25">
      <c r="B368" s="15"/>
      <c r="C368" s="15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x14ac:dyDescent="0.25">
      <c r="B369" s="15"/>
      <c r="C369" s="15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x14ac:dyDescent="0.25">
      <c r="B370" s="15"/>
      <c r="C370" s="15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x14ac:dyDescent="0.25">
      <c r="B371" s="15"/>
      <c r="C371" s="15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x14ac:dyDescent="0.25">
      <c r="B372" s="15"/>
      <c r="C372" s="15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x14ac:dyDescent="0.25">
      <c r="B373" s="15"/>
      <c r="C373" s="15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x14ac:dyDescent="0.25">
      <c r="B374" s="15"/>
      <c r="C374" s="15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x14ac:dyDescent="0.25">
      <c r="B375" s="15"/>
      <c r="C375" s="1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x14ac:dyDescent="0.25">
      <c r="B376" s="15"/>
      <c r="C376" s="15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x14ac:dyDescent="0.25">
      <c r="B377" s="15"/>
      <c r="C377" s="15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x14ac:dyDescent="0.25">
      <c r="B378" s="15"/>
      <c r="C378" s="15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x14ac:dyDescent="0.25">
      <c r="B379" s="15"/>
      <c r="C379" s="15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x14ac:dyDescent="0.25">
      <c r="B380" s="15"/>
      <c r="C380" s="15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x14ac:dyDescent="0.25">
      <c r="B381" s="15"/>
      <c r="C381" s="15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x14ac:dyDescent="0.25">
      <c r="B382" s="15"/>
      <c r="C382" s="15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x14ac:dyDescent="0.25">
      <c r="B383" s="15"/>
      <c r="C383" s="15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x14ac:dyDescent="0.25">
      <c r="B384" s="15"/>
      <c r="C384" s="15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x14ac:dyDescent="0.25">
      <c r="B385" s="15"/>
      <c r="C385" s="1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x14ac:dyDescent="0.25">
      <c r="B386" s="15"/>
      <c r="C386" s="15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x14ac:dyDescent="0.25">
      <c r="B387" s="15"/>
      <c r="C387" s="15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x14ac:dyDescent="0.25">
      <c r="B388" s="15"/>
      <c r="C388" s="15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x14ac:dyDescent="0.25">
      <c r="B389" s="15"/>
      <c r="C389" s="15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x14ac:dyDescent="0.25">
      <c r="B390" s="15"/>
      <c r="C390" s="15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x14ac:dyDescent="0.25">
      <c r="B391" s="15"/>
      <c r="C391" s="15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x14ac:dyDescent="0.25">
      <c r="B392" s="15"/>
      <c r="C392" s="15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x14ac:dyDescent="0.25">
      <c r="B393" s="15"/>
      <c r="C393" s="15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x14ac:dyDescent="0.25">
      <c r="B394" s="15"/>
      <c r="C394" s="15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x14ac:dyDescent="0.25">
      <c r="B395" s="15"/>
      <c r="C395" s="1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x14ac:dyDescent="0.25">
      <c r="B396" s="15"/>
      <c r="C396" s="15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ht="20.100000000000001" customHeight="1" x14ac:dyDescent="0.25">
      <c r="B397" s="15"/>
      <c r="C397" s="15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x14ac:dyDescent="0.25">
      <c r="B398" s="15"/>
      <c r="C398" s="15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ht="21" customHeight="1" x14ac:dyDescent="0.25">
      <c r="B399" s="15"/>
      <c r="C399" s="15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</sheetData>
  <sheetProtection algorithmName="SHA-512" hashValue="5z34eWqHOTKZSbpXSFYLozOAxb2Gaa3nBIS2k91dzM/3TjzbitmSzoihFRRq3ASeJn3pXUu46QEILQ4oPl6+RQ==" saltValue="8gtDpt1AeCrv+3xeu05/Xg==" spinCount="100000" sheet="1" formatCells="0" formatColumns="0" formatRows="0" insertColumns="0" insertRows="0" insertHyperlinks="0" deleteColumns="0" deleteRows="0" sort="0" autoFilter="0" pivotTables="0"/>
  <mergeCells count="327">
    <mergeCell ref="D30:U30"/>
    <mergeCell ref="D32:U32"/>
    <mergeCell ref="D31:U31"/>
    <mergeCell ref="D56:U56"/>
    <mergeCell ref="D33:U33"/>
    <mergeCell ref="D34:U34"/>
    <mergeCell ref="D35:U35"/>
    <mergeCell ref="D53:U53"/>
    <mergeCell ref="D147:U147"/>
    <mergeCell ref="D142:U142"/>
    <mergeCell ref="D143:U143"/>
    <mergeCell ref="D144:U144"/>
    <mergeCell ref="D145:U145"/>
    <mergeCell ref="D146:U146"/>
    <mergeCell ref="D115:U115"/>
    <mergeCell ref="D116:U116"/>
    <mergeCell ref="D117:U117"/>
    <mergeCell ref="B118:T118"/>
    <mergeCell ref="B120:J120"/>
    <mergeCell ref="K120:P120"/>
    <mergeCell ref="Q120:R120"/>
    <mergeCell ref="S120:T120"/>
    <mergeCell ref="D109:U109"/>
    <mergeCell ref="D110:U110"/>
    <mergeCell ref="B289:J289"/>
    <mergeCell ref="K289:P289"/>
    <mergeCell ref="Q289:R289"/>
    <mergeCell ref="S289:U289"/>
    <mergeCell ref="V289:Y289"/>
    <mergeCell ref="B287:J287"/>
    <mergeCell ref="K287:P287"/>
    <mergeCell ref="Q287:R287"/>
    <mergeCell ref="S287:T287"/>
    <mergeCell ref="Q288:R288"/>
    <mergeCell ref="S288:T288"/>
    <mergeCell ref="D280:U280"/>
    <mergeCell ref="D281:U281"/>
    <mergeCell ref="D282:U282"/>
    <mergeCell ref="D283:U283"/>
    <mergeCell ref="D284:U284"/>
    <mergeCell ref="B285:T285"/>
    <mergeCell ref="D274:U274"/>
    <mergeCell ref="D275:U275"/>
    <mergeCell ref="D276:U276"/>
    <mergeCell ref="D277:U277"/>
    <mergeCell ref="D278:U278"/>
    <mergeCell ref="D279:U279"/>
    <mergeCell ref="D268:U268"/>
    <mergeCell ref="D269:U269"/>
    <mergeCell ref="D270:U270"/>
    <mergeCell ref="D273:U273"/>
    <mergeCell ref="D263:U263"/>
    <mergeCell ref="D261:U261"/>
    <mergeCell ref="D262:U262"/>
    <mergeCell ref="D266:U266"/>
    <mergeCell ref="D267:U267"/>
    <mergeCell ref="D271:U271"/>
    <mergeCell ref="D272:U272"/>
    <mergeCell ref="D259:U259"/>
    <mergeCell ref="D260:U260"/>
    <mergeCell ref="C245:L245"/>
    <mergeCell ref="M245:S245"/>
    <mergeCell ref="T245:W245"/>
    <mergeCell ref="B247:U247"/>
    <mergeCell ref="D249:U249"/>
    <mergeCell ref="V236:Y236"/>
    <mergeCell ref="E239:V240"/>
    <mergeCell ref="W239:Z239"/>
    <mergeCell ref="J242:L242"/>
    <mergeCell ref="M242:P242"/>
    <mergeCell ref="I243:L243"/>
    <mergeCell ref="M243:P243"/>
    <mergeCell ref="Q243:V243"/>
    <mergeCell ref="D253:U253"/>
    <mergeCell ref="D254:U254"/>
    <mergeCell ref="D255:U255"/>
    <mergeCell ref="D256:U256"/>
    <mergeCell ref="D250:U250"/>
    <mergeCell ref="D251:U251"/>
    <mergeCell ref="D252:U252"/>
    <mergeCell ref="D257:U257"/>
    <mergeCell ref="D258:U258"/>
    <mergeCell ref="Q235:R235"/>
    <mergeCell ref="S235:T235"/>
    <mergeCell ref="B236:J236"/>
    <mergeCell ref="K236:P236"/>
    <mergeCell ref="Q236:R236"/>
    <mergeCell ref="S236:U236"/>
    <mergeCell ref="D230:U230"/>
    <mergeCell ref="D231:U231"/>
    <mergeCell ref="B232:T232"/>
    <mergeCell ref="B234:J234"/>
    <mergeCell ref="K234:P234"/>
    <mergeCell ref="Q234:R234"/>
    <mergeCell ref="S234:T234"/>
    <mergeCell ref="D225:U225"/>
    <mergeCell ref="D211:U211"/>
    <mergeCell ref="D218:U218"/>
    <mergeCell ref="D224:U224"/>
    <mergeCell ref="D226:U226"/>
    <mergeCell ref="D227:U227"/>
    <mergeCell ref="D228:U228"/>
    <mergeCell ref="D219:U219"/>
    <mergeCell ref="D220:U220"/>
    <mergeCell ref="D221:U221"/>
    <mergeCell ref="D222:U222"/>
    <mergeCell ref="D223:U223"/>
    <mergeCell ref="D212:U212"/>
    <mergeCell ref="D213:U213"/>
    <mergeCell ref="D214:U214"/>
    <mergeCell ref="D215:U215"/>
    <mergeCell ref="D216:U216"/>
    <mergeCell ref="D217:U217"/>
    <mergeCell ref="D206:U206"/>
    <mergeCell ref="D207:U207"/>
    <mergeCell ref="D208:U208"/>
    <mergeCell ref="D209:U209"/>
    <mergeCell ref="D210:U210"/>
    <mergeCell ref="D200:U200"/>
    <mergeCell ref="D201:U201"/>
    <mergeCell ref="D202:U202"/>
    <mergeCell ref="D203:U203"/>
    <mergeCell ref="D204:U204"/>
    <mergeCell ref="D205:U205"/>
    <mergeCell ref="B194:U194"/>
    <mergeCell ref="D195:U195"/>
    <mergeCell ref="D196:U196"/>
    <mergeCell ref="D197:U197"/>
    <mergeCell ref="D198:U198"/>
    <mergeCell ref="D199:U199"/>
    <mergeCell ref="J189:L189"/>
    <mergeCell ref="M189:P189"/>
    <mergeCell ref="I190:L190"/>
    <mergeCell ref="M190:P190"/>
    <mergeCell ref="Q190:V190"/>
    <mergeCell ref="C192:L192"/>
    <mergeCell ref="M192:S192"/>
    <mergeCell ref="T192:W192"/>
    <mergeCell ref="B183:J183"/>
    <mergeCell ref="K183:P183"/>
    <mergeCell ref="Q183:R183"/>
    <mergeCell ref="S183:U183"/>
    <mergeCell ref="V183:Y183"/>
    <mergeCell ref="E186:V187"/>
    <mergeCell ref="W186:Z186"/>
    <mergeCell ref="B179:T179"/>
    <mergeCell ref="B181:J181"/>
    <mergeCell ref="K181:P181"/>
    <mergeCell ref="Q181:R181"/>
    <mergeCell ref="S181:T181"/>
    <mergeCell ref="O182:P182"/>
    <mergeCell ref="Q182:R182"/>
    <mergeCell ref="S182:T182"/>
    <mergeCell ref="D173:U173"/>
    <mergeCell ref="D174:U174"/>
    <mergeCell ref="D175:U175"/>
    <mergeCell ref="D176:U176"/>
    <mergeCell ref="D177:U177"/>
    <mergeCell ref="D178:U178"/>
    <mergeCell ref="D162:U162"/>
    <mergeCell ref="D163:U163"/>
    <mergeCell ref="D167:U167"/>
    <mergeCell ref="D170:U170"/>
    <mergeCell ref="D171:U171"/>
    <mergeCell ref="D172:U172"/>
    <mergeCell ref="D156:U156"/>
    <mergeCell ref="D157:U157"/>
    <mergeCell ref="D158:U158"/>
    <mergeCell ref="D159:U159"/>
    <mergeCell ref="D160:U160"/>
    <mergeCell ref="D161:U161"/>
    <mergeCell ref="D168:U168"/>
    <mergeCell ref="D169:U169"/>
    <mergeCell ref="D150:U150"/>
    <mergeCell ref="D151:U151"/>
    <mergeCell ref="D152:U152"/>
    <mergeCell ref="D153:U153"/>
    <mergeCell ref="D154:U154"/>
    <mergeCell ref="D155:U155"/>
    <mergeCell ref="D149:U149"/>
    <mergeCell ref="D148:U148"/>
    <mergeCell ref="D136:U136"/>
    <mergeCell ref="D137:U137"/>
    <mergeCell ref="D138:U138"/>
    <mergeCell ref="D139:U139"/>
    <mergeCell ref="D140:U140"/>
    <mergeCell ref="D141:U141"/>
    <mergeCell ref="C131:L131"/>
    <mergeCell ref="M131:S131"/>
    <mergeCell ref="T131:W131"/>
    <mergeCell ref="B133:U133"/>
    <mergeCell ref="D134:U134"/>
    <mergeCell ref="D135:U135"/>
    <mergeCell ref="V122:Y122"/>
    <mergeCell ref="E125:V126"/>
    <mergeCell ref="W125:Z125"/>
    <mergeCell ref="J128:L128"/>
    <mergeCell ref="M128:P128"/>
    <mergeCell ref="I129:L129"/>
    <mergeCell ref="M129:P129"/>
    <mergeCell ref="Q129:V129"/>
    <mergeCell ref="O121:P121"/>
    <mergeCell ref="Q121:R121"/>
    <mergeCell ref="S121:T121"/>
    <mergeCell ref="B122:J122"/>
    <mergeCell ref="K122:P122"/>
    <mergeCell ref="Q122:R122"/>
    <mergeCell ref="S122:U122"/>
    <mergeCell ref="D111:U111"/>
    <mergeCell ref="D112:U112"/>
    <mergeCell ref="D113:U113"/>
    <mergeCell ref="D114:U114"/>
    <mergeCell ref="D103:U103"/>
    <mergeCell ref="D104:U104"/>
    <mergeCell ref="D105:U105"/>
    <mergeCell ref="D106:U106"/>
    <mergeCell ref="D107:U107"/>
    <mergeCell ref="D108:U108"/>
    <mergeCell ref="D97:U97"/>
    <mergeCell ref="D98:U98"/>
    <mergeCell ref="D99:U99"/>
    <mergeCell ref="D100:U100"/>
    <mergeCell ref="D101:U101"/>
    <mergeCell ref="D102:U102"/>
    <mergeCell ref="D91:U91"/>
    <mergeCell ref="D92:U92"/>
    <mergeCell ref="D93:U93"/>
    <mergeCell ref="D94:U94"/>
    <mergeCell ref="D95:U95"/>
    <mergeCell ref="D96:U96"/>
    <mergeCell ref="D85:U85"/>
    <mergeCell ref="D86:U86"/>
    <mergeCell ref="D87:U87"/>
    <mergeCell ref="D88:U88"/>
    <mergeCell ref="D89:U89"/>
    <mergeCell ref="D90:U90"/>
    <mergeCell ref="B77:U77"/>
    <mergeCell ref="D80:U80"/>
    <mergeCell ref="D81:U81"/>
    <mergeCell ref="D82:U82"/>
    <mergeCell ref="D83:U83"/>
    <mergeCell ref="D84:U84"/>
    <mergeCell ref="J72:L72"/>
    <mergeCell ref="M72:P72"/>
    <mergeCell ref="I73:L73"/>
    <mergeCell ref="M73:P73"/>
    <mergeCell ref="Q73:V73"/>
    <mergeCell ref="C75:L75"/>
    <mergeCell ref="M75:S75"/>
    <mergeCell ref="T75:W75"/>
    <mergeCell ref="B66:J66"/>
    <mergeCell ref="K66:P66"/>
    <mergeCell ref="Q66:R66"/>
    <mergeCell ref="S66:U66"/>
    <mergeCell ref="V66:Y66"/>
    <mergeCell ref="E69:V70"/>
    <mergeCell ref="W69:Z69"/>
    <mergeCell ref="B64:J64"/>
    <mergeCell ref="K64:P64"/>
    <mergeCell ref="Q64:R64"/>
    <mergeCell ref="S64:T64"/>
    <mergeCell ref="O65:P65"/>
    <mergeCell ref="Q65:R65"/>
    <mergeCell ref="S65:T65"/>
    <mergeCell ref="D38:U38"/>
    <mergeCell ref="D39:U39"/>
    <mergeCell ref="D57:U57"/>
    <mergeCell ref="D58:U58"/>
    <mergeCell ref="D59:U59"/>
    <mergeCell ref="D60:U60"/>
    <mergeCell ref="D61:U61"/>
    <mergeCell ref="B62:T62"/>
    <mergeCell ref="D47:U47"/>
    <mergeCell ref="D48:U48"/>
    <mergeCell ref="D49:U49"/>
    <mergeCell ref="D51:U51"/>
    <mergeCell ref="D55:U55"/>
    <mergeCell ref="D52:U52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24:U24"/>
    <mergeCell ref="D25:U25"/>
    <mergeCell ref="D36:U36"/>
    <mergeCell ref="D46:U46"/>
    <mergeCell ref="D43:U43"/>
    <mergeCell ref="D264:U264"/>
    <mergeCell ref="D265:U265"/>
    <mergeCell ref="D248:U248"/>
    <mergeCell ref="D229:U229"/>
    <mergeCell ref="D50:U50"/>
    <mergeCell ref="D166:U166"/>
    <mergeCell ref="D165:U165"/>
    <mergeCell ref="D164:U164"/>
    <mergeCell ref="D27:U27"/>
    <mergeCell ref="D26:U26"/>
    <mergeCell ref="D28:U28"/>
    <mergeCell ref="D29:U29"/>
    <mergeCell ref="D40:U40"/>
    <mergeCell ref="D41:U41"/>
    <mergeCell ref="D42:U42"/>
    <mergeCell ref="D54:U54"/>
    <mergeCell ref="D44:U44"/>
    <mergeCell ref="D45:U45"/>
    <mergeCell ref="D37:U37"/>
  </mergeCell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3" max="16383" man="1"/>
    <brk id="184" max="16383" man="1"/>
    <brk id="2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F06E-9F56-4D1C-B2D1-53E1019480DB}">
  <dimension ref="A1:S122"/>
  <sheetViews>
    <sheetView zoomScale="85" zoomScaleNormal="85" workbookViewId="0">
      <selection activeCell="B2" sqref="B2:B122"/>
    </sheetView>
  </sheetViews>
  <sheetFormatPr defaultRowHeight="15" x14ac:dyDescent="0.25"/>
  <cols>
    <col min="1" max="1" width="79.42578125" customWidth="1"/>
    <col min="2" max="2" width="16.7109375" customWidth="1"/>
    <col min="3" max="3" width="13.7109375" customWidth="1"/>
    <col min="4" max="4" width="12.5703125" customWidth="1"/>
    <col min="5" max="5" width="13" customWidth="1"/>
    <col min="6" max="6" width="15.28515625" customWidth="1"/>
    <col min="7" max="7" width="12.42578125" customWidth="1"/>
    <col min="8" max="8" width="14.5703125" customWidth="1"/>
    <col min="9" max="9" width="16.85546875" customWidth="1"/>
    <col min="10" max="10" width="15.5703125" customWidth="1"/>
    <col min="11" max="11" width="20.7109375" customWidth="1"/>
    <col min="12" max="12" width="19.85546875" customWidth="1"/>
    <col min="13" max="13" width="48.7109375" customWidth="1"/>
  </cols>
  <sheetData>
    <row r="1" spans="1:19" x14ac:dyDescent="0.25">
      <c r="A1" t="s">
        <v>1236</v>
      </c>
      <c r="B1" t="s">
        <v>1237</v>
      </c>
      <c r="C1" t="s">
        <v>1238</v>
      </c>
      <c r="D1" t="s">
        <v>1239</v>
      </c>
      <c r="E1" t="s">
        <v>1240</v>
      </c>
      <c r="F1" t="s">
        <v>1241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168</v>
      </c>
      <c r="N1" t="s">
        <v>1235</v>
      </c>
      <c r="R1" t="s">
        <v>1248</v>
      </c>
      <c r="S1" t="s">
        <v>1237</v>
      </c>
    </row>
    <row r="2" spans="1:19" x14ac:dyDescent="0.25">
      <c r="A2" t="s">
        <v>257</v>
      </c>
      <c r="B2" t="s">
        <v>76</v>
      </c>
      <c r="C2" t="s">
        <v>1249</v>
      </c>
      <c r="D2" s="54" t="s">
        <v>1249</v>
      </c>
      <c r="E2" t="s">
        <v>1249</v>
      </c>
      <c r="F2" t="s">
        <v>1249</v>
      </c>
      <c r="G2" t="s">
        <v>1249</v>
      </c>
      <c r="I2" t="s">
        <v>1249</v>
      </c>
      <c r="R2" t="s">
        <v>1249</v>
      </c>
      <c r="S2" t="s">
        <v>76</v>
      </c>
    </row>
    <row r="3" spans="1:19" x14ac:dyDescent="0.25">
      <c r="A3" t="s">
        <v>80</v>
      </c>
      <c r="B3" t="s">
        <v>76</v>
      </c>
      <c r="C3" t="s">
        <v>1249</v>
      </c>
      <c r="D3" t="s">
        <v>1249</v>
      </c>
      <c r="E3" t="s">
        <v>1249</v>
      </c>
      <c r="F3" t="s">
        <v>1249</v>
      </c>
      <c r="G3" t="s">
        <v>1249</v>
      </c>
      <c r="I3" t="s">
        <v>1249</v>
      </c>
      <c r="S3" t="s">
        <v>22</v>
      </c>
    </row>
    <row r="4" spans="1:19" x14ac:dyDescent="0.25">
      <c r="A4" t="s">
        <v>1250</v>
      </c>
      <c r="B4" t="s">
        <v>76</v>
      </c>
      <c r="C4" t="s">
        <v>1249</v>
      </c>
      <c r="D4" t="s">
        <v>1249</v>
      </c>
      <c r="E4" t="s">
        <v>1249</v>
      </c>
      <c r="F4" t="s">
        <v>1249</v>
      </c>
      <c r="G4" t="s">
        <v>1249</v>
      </c>
      <c r="I4" t="s">
        <v>1249</v>
      </c>
      <c r="S4" t="s">
        <v>72</v>
      </c>
    </row>
    <row r="5" spans="1:19" x14ac:dyDescent="0.25">
      <c r="A5" t="s">
        <v>438</v>
      </c>
      <c r="B5" t="s">
        <v>22</v>
      </c>
      <c r="C5" t="s">
        <v>1249</v>
      </c>
      <c r="D5" t="s">
        <v>1249</v>
      </c>
      <c r="E5" t="s">
        <v>1249</v>
      </c>
      <c r="F5" t="s">
        <v>1249</v>
      </c>
      <c r="G5" t="s">
        <v>1249</v>
      </c>
      <c r="H5" t="s">
        <v>1249</v>
      </c>
      <c r="I5" t="s">
        <v>1249</v>
      </c>
      <c r="J5" t="s">
        <v>1249</v>
      </c>
      <c r="K5" t="s">
        <v>1249</v>
      </c>
      <c r="L5" t="s">
        <v>1249</v>
      </c>
      <c r="M5" t="s">
        <v>1249</v>
      </c>
      <c r="S5" t="s">
        <v>52</v>
      </c>
    </row>
    <row r="6" spans="1:19" x14ac:dyDescent="0.25">
      <c r="A6" t="s">
        <v>1251</v>
      </c>
      <c r="B6" t="s">
        <v>22</v>
      </c>
      <c r="C6" t="s">
        <v>1249</v>
      </c>
      <c r="D6" t="s">
        <v>1249</v>
      </c>
      <c r="E6" t="s">
        <v>1249</v>
      </c>
      <c r="F6" t="s">
        <v>1249</v>
      </c>
      <c r="G6" t="s">
        <v>1249</v>
      </c>
      <c r="H6" t="s">
        <v>1249</v>
      </c>
      <c r="I6" t="s">
        <v>1249</v>
      </c>
      <c r="J6" t="s">
        <v>1249</v>
      </c>
      <c r="M6" t="s">
        <v>1249</v>
      </c>
      <c r="S6" t="s">
        <v>129</v>
      </c>
    </row>
    <row r="7" spans="1:19" x14ac:dyDescent="0.25">
      <c r="A7" t="s">
        <v>29</v>
      </c>
      <c r="B7" t="s">
        <v>22</v>
      </c>
      <c r="C7" t="s">
        <v>1249</v>
      </c>
      <c r="S7" t="s">
        <v>28</v>
      </c>
    </row>
    <row r="8" spans="1:19" x14ac:dyDescent="0.25">
      <c r="A8" t="s">
        <v>35</v>
      </c>
      <c r="B8" t="s">
        <v>22</v>
      </c>
      <c r="C8" t="s">
        <v>1249</v>
      </c>
    </row>
    <row r="9" spans="1:19" x14ac:dyDescent="0.25">
      <c r="A9" t="s">
        <v>1252</v>
      </c>
      <c r="B9" t="s">
        <v>22</v>
      </c>
      <c r="C9" t="s">
        <v>1249</v>
      </c>
      <c r="I9" t="s">
        <v>1249</v>
      </c>
    </row>
    <row r="10" spans="1:19" x14ac:dyDescent="0.25">
      <c r="A10" t="s">
        <v>20</v>
      </c>
      <c r="B10" t="s">
        <v>22</v>
      </c>
      <c r="C10" t="s">
        <v>1249</v>
      </c>
    </row>
    <row r="11" spans="1:19" x14ac:dyDescent="0.25">
      <c r="A11" t="s">
        <v>1253</v>
      </c>
      <c r="B11" t="s">
        <v>22</v>
      </c>
      <c r="C11" t="s">
        <v>1249</v>
      </c>
    </row>
    <row r="12" spans="1:19" x14ac:dyDescent="0.25">
      <c r="A12" t="s">
        <v>1254</v>
      </c>
      <c r="B12" t="s">
        <v>76</v>
      </c>
      <c r="C12" t="s">
        <v>1249</v>
      </c>
    </row>
    <row r="13" spans="1:19" x14ac:dyDescent="0.25">
      <c r="A13" t="s">
        <v>1255</v>
      </c>
      <c r="B13" t="s">
        <v>22</v>
      </c>
      <c r="C13" t="s">
        <v>1249</v>
      </c>
    </row>
    <row r="14" spans="1:19" x14ac:dyDescent="0.25">
      <c r="A14" t="s">
        <v>23</v>
      </c>
      <c r="B14" t="s">
        <v>28</v>
      </c>
      <c r="C14" t="s">
        <v>1249</v>
      </c>
    </row>
    <row r="15" spans="1:19" x14ac:dyDescent="0.25">
      <c r="A15" t="s">
        <v>1256</v>
      </c>
      <c r="B15" t="s">
        <v>22</v>
      </c>
      <c r="C15" t="s">
        <v>1249</v>
      </c>
    </row>
    <row r="16" spans="1:19" x14ac:dyDescent="0.25">
      <c r="A16" t="s">
        <v>24</v>
      </c>
      <c r="B16" t="s">
        <v>52</v>
      </c>
      <c r="C16" t="s">
        <v>1249</v>
      </c>
    </row>
    <row r="17" spans="1:10" x14ac:dyDescent="0.25">
      <c r="A17" t="s">
        <v>1257</v>
      </c>
      <c r="B17" t="s">
        <v>28</v>
      </c>
      <c r="C17" t="s">
        <v>1249</v>
      </c>
    </row>
    <row r="18" spans="1:10" x14ac:dyDescent="0.25">
      <c r="A18" t="s">
        <v>25</v>
      </c>
      <c r="B18" t="s">
        <v>28</v>
      </c>
      <c r="C18" t="s">
        <v>1249</v>
      </c>
    </row>
    <row r="19" spans="1:10" x14ac:dyDescent="0.25">
      <c r="A19" t="s">
        <v>1258</v>
      </c>
      <c r="B19" t="s">
        <v>22</v>
      </c>
      <c r="C19" t="s">
        <v>1249</v>
      </c>
    </row>
    <row r="20" spans="1:10" x14ac:dyDescent="0.25">
      <c r="A20" t="s">
        <v>1259</v>
      </c>
      <c r="B20" t="s">
        <v>22</v>
      </c>
      <c r="C20" t="s">
        <v>1249</v>
      </c>
      <c r="J20" t="s">
        <v>1249</v>
      </c>
    </row>
    <row r="21" spans="1:10" x14ac:dyDescent="0.25">
      <c r="A21" t="s">
        <v>26</v>
      </c>
      <c r="B21" t="s">
        <v>28</v>
      </c>
      <c r="C21" t="s">
        <v>1249</v>
      </c>
    </row>
    <row r="22" spans="1:10" x14ac:dyDescent="0.25">
      <c r="A22" t="s">
        <v>1260</v>
      </c>
      <c r="B22" t="s">
        <v>22</v>
      </c>
      <c r="C22" t="s">
        <v>1249</v>
      </c>
      <c r="J22" t="s">
        <v>1249</v>
      </c>
    </row>
    <row r="23" spans="1:10" x14ac:dyDescent="0.25">
      <c r="A23" t="s">
        <v>1261</v>
      </c>
      <c r="B23" t="s">
        <v>28</v>
      </c>
      <c r="C23" t="s">
        <v>1249</v>
      </c>
    </row>
    <row r="24" spans="1:10" x14ac:dyDescent="0.25">
      <c r="A24" t="s">
        <v>1262</v>
      </c>
      <c r="B24" t="s">
        <v>76</v>
      </c>
      <c r="C24" t="s">
        <v>1249</v>
      </c>
    </row>
    <row r="25" spans="1:10" x14ac:dyDescent="0.25">
      <c r="A25" t="s">
        <v>14</v>
      </c>
      <c r="B25" t="s">
        <v>22</v>
      </c>
      <c r="C25" t="s">
        <v>1249</v>
      </c>
    </row>
    <row r="26" spans="1:10" x14ac:dyDescent="0.25">
      <c r="A26" t="s">
        <v>15</v>
      </c>
      <c r="B26" t="s">
        <v>52</v>
      </c>
      <c r="C26" t="s">
        <v>1249</v>
      </c>
    </row>
    <row r="27" spans="1:10" x14ac:dyDescent="0.25">
      <c r="A27" t="s">
        <v>35</v>
      </c>
      <c r="B27" t="s">
        <v>22</v>
      </c>
      <c r="C27" t="s">
        <v>1249</v>
      </c>
    </row>
    <row r="28" spans="1:10" x14ac:dyDescent="0.25">
      <c r="A28" t="s">
        <v>16</v>
      </c>
      <c r="B28" t="s">
        <v>22</v>
      </c>
      <c r="C28" t="s">
        <v>1249</v>
      </c>
      <c r="D28" t="s">
        <v>1249</v>
      </c>
      <c r="F28" t="s">
        <v>1249</v>
      </c>
      <c r="G28" t="s">
        <v>1249</v>
      </c>
      <c r="I28" t="s">
        <v>1249</v>
      </c>
    </row>
    <row r="29" spans="1:10" x14ac:dyDescent="0.25">
      <c r="A29" t="s">
        <v>17</v>
      </c>
      <c r="B29" t="s">
        <v>22</v>
      </c>
      <c r="C29" t="s">
        <v>1249</v>
      </c>
    </row>
    <row r="30" spans="1:10" x14ac:dyDescent="0.25">
      <c r="A30" t="s">
        <v>18</v>
      </c>
      <c r="B30" t="s">
        <v>22</v>
      </c>
      <c r="C30" t="s">
        <v>1249</v>
      </c>
    </row>
    <row r="31" spans="1:10" x14ac:dyDescent="0.25">
      <c r="A31" t="s">
        <v>1263</v>
      </c>
      <c r="B31" t="s">
        <v>22</v>
      </c>
      <c r="C31" t="s">
        <v>1249</v>
      </c>
      <c r="D31" t="s">
        <v>1249</v>
      </c>
      <c r="F31" t="s">
        <v>1249</v>
      </c>
      <c r="G31" t="s">
        <v>1249</v>
      </c>
      <c r="I31" t="s">
        <v>1249</v>
      </c>
    </row>
    <row r="32" spans="1:10" x14ac:dyDescent="0.25">
      <c r="A32" t="s">
        <v>19</v>
      </c>
      <c r="B32" t="s">
        <v>28</v>
      </c>
      <c r="C32" t="s">
        <v>1249</v>
      </c>
    </row>
    <row r="33" spans="1:13" x14ac:dyDescent="0.25">
      <c r="A33" t="s">
        <v>1264</v>
      </c>
      <c r="B33" t="s">
        <v>76</v>
      </c>
      <c r="C33" t="s">
        <v>1249</v>
      </c>
      <c r="D33" t="s">
        <v>1249</v>
      </c>
      <c r="F33" t="s">
        <v>1249</v>
      </c>
      <c r="G33" t="s">
        <v>1249</v>
      </c>
      <c r="I33" t="s">
        <v>1249</v>
      </c>
    </row>
    <row r="34" spans="1:13" x14ac:dyDescent="0.25">
      <c r="A34" t="s">
        <v>1265</v>
      </c>
      <c r="B34" t="s">
        <v>22</v>
      </c>
      <c r="C34" t="s">
        <v>1249</v>
      </c>
      <c r="D34" t="s">
        <v>1249</v>
      </c>
      <c r="G34" t="s">
        <v>1249</v>
      </c>
      <c r="I34" t="s">
        <v>1249</v>
      </c>
    </row>
    <row r="35" spans="1:13" x14ac:dyDescent="0.25">
      <c r="A35" t="s">
        <v>1266</v>
      </c>
      <c r="B35" t="s">
        <v>22</v>
      </c>
      <c r="C35" t="s">
        <v>1249</v>
      </c>
      <c r="J35" t="s">
        <v>1249</v>
      </c>
      <c r="M35" t="s">
        <v>1249</v>
      </c>
    </row>
    <row r="36" spans="1:13" x14ac:dyDescent="0.25">
      <c r="A36" t="s">
        <v>1267</v>
      </c>
      <c r="B36" t="s">
        <v>76</v>
      </c>
      <c r="D36" t="s">
        <v>1249</v>
      </c>
      <c r="E36" t="s">
        <v>1249</v>
      </c>
      <c r="F36" t="s">
        <v>1249</v>
      </c>
      <c r="G36" t="s">
        <v>1249</v>
      </c>
      <c r="I36" t="s">
        <v>1249</v>
      </c>
    </row>
    <row r="37" spans="1:13" x14ac:dyDescent="0.25">
      <c r="A37" t="s">
        <v>498</v>
      </c>
      <c r="B37" t="s">
        <v>129</v>
      </c>
      <c r="J37" t="s">
        <v>1249</v>
      </c>
    </row>
    <row r="38" spans="1:13" x14ac:dyDescent="0.25">
      <c r="A38" t="s">
        <v>157</v>
      </c>
      <c r="B38" t="s">
        <v>22</v>
      </c>
      <c r="K38" t="s">
        <v>1249</v>
      </c>
      <c r="L38" t="s">
        <v>1249</v>
      </c>
    </row>
    <row r="39" spans="1:13" x14ac:dyDescent="0.25">
      <c r="A39" t="s">
        <v>1268</v>
      </c>
      <c r="B39" t="s">
        <v>72</v>
      </c>
      <c r="K39" t="s">
        <v>1249</v>
      </c>
      <c r="L39" t="s">
        <v>1249</v>
      </c>
    </row>
    <row r="40" spans="1:13" x14ac:dyDescent="0.25">
      <c r="A40" t="s">
        <v>506</v>
      </c>
      <c r="B40" t="s">
        <v>72</v>
      </c>
      <c r="K40" t="s">
        <v>1249</v>
      </c>
      <c r="L40" t="s">
        <v>1249</v>
      </c>
    </row>
    <row r="41" spans="1:13" x14ac:dyDescent="0.25">
      <c r="A41" t="s">
        <v>1269</v>
      </c>
      <c r="B41" t="s">
        <v>72</v>
      </c>
      <c r="K41" t="s">
        <v>1249</v>
      </c>
      <c r="L41" t="s">
        <v>1249</v>
      </c>
    </row>
    <row r="42" spans="1:13" x14ac:dyDescent="0.25">
      <c r="A42" t="s">
        <v>113</v>
      </c>
      <c r="B42" t="s">
        <v>76</v>
      </c>
      <c r="D42" t="s">
        <v>1249</v>
      </c>
      <c r="E42" t="s">
        <v>1249</v>
      </c>
      <c r="G42" t="s">
        <v>1249</v>
      </c>
    </row>
    <row r="43" spans="1:13" x14ac:dyDescent="0.25">
      <c r="A43" t="s">
        <v>79</v>
      </c>
      <c r="B43" t="s">
        <v>76</v>
      </c>
      <c r="D43" t="s">
        <v>1249</v>
      </c>
      <c r="E43" t="s">
        <v>1249</v>
      </c>
      <c r="F43" t="s">
        <v>1249</v>
      </c>
      <c r="G43" t="s">
        <v>1249</v>
      </c>
      <c r="I43" t="s">
        <v>1249</v>
      </c>
    </row>
    <row r="44" spans="1:13" x14ac:dyDescent="0.25">
      <c r="A44" t="s">
        <v>1270</v>
      </c>
      <c r="B44" t="s">
        <v>72</v>
      </c>
      <c r="D44" t="s">
        <v>1249</v>
      </c>
      <c r="E44" t="s">
        <v>1249</v>
      </c>
      <c r="G44" t="s">
        <v>1249</v>
      </c>
    </row>
    <row r="45" spans="1:13" x14ac:dyDescent="0.25">
      <c r="A45" t="s">
        <v>1271</v>
      </c>
      <c r="B45" t="s">
        <v>28</v>
      </c>
      <c r="D45" t="s">
        <v>1249</v>
      </c>
      <c r="E45" t="s">
        <v>1249</v>
      </c>
      <c r="F45" t="s">
        <v>1249</v>
      </c>
      <c r="G45" t="s">
        <v>1249</v>
      </c>
      <c r="I45" t="s">
        <v>1249</v>
      </c>
    </row>
    <row r="46" spans="1:13" x14ac:dyDescent="0.25">
      <c r="A46" t="s">
        <v>1272</v>
      </c>
      <c r="B46" t="s">
        <v>22</v>
      </c>
      <c r="D46" t="s">
        <v>1249</v>
      </c>
      <c r="E46" t="s">
        <v>1249</v>
      </c>
      <c r="F46" t="s">
        <v>1249</v>
      </c>
      <c r="G46" t="s">
        <v>1249</v>
      </c>
      <c r="I46" t="s">
        <v>1249</v>
      </c>
    </row>
    <row r="47" spans="1:13" x14ac:dyDescent="0.25">
      <c r="A47" t="s">
        <v>151</v>
      </c>
      <c r="B47" t="s">
        <v>72</v>
      </c>
      <c r="K47" t="s">
        <v>1249</v>
      </c>
      <c r="L47" t="s">
        <v>1249</v>
      </c>
    </row>
    <row r="48" spans="1:13" x14ac:dyDescent="0.25">
      <c r="A48" t="s">
        <v>291</v>
      </c>
      <c r="B48" t="s">
        <v>72</v>
      </c>
      <c r="K48" t="s">
        <v>1249</v>
      </c>
      <c r="L48" t="s">
        <v>1249</v>
      </c>
    </row>
    <row r="49" spans="1:13" x14ac:dyDescent="0.25">
      <c r="A49" t="s">
        <v>1273</v>
      </c>
      <c r="B49" t="s">
        <v>72</v>
      </c>
      <c r="K49" t="s">
        <v>1249</v>
      </c>
      <c r="L49" t="s">
        <v>1249</v>
      </c>
    </row>
    <row r="50" spans="1:13" x14ac:dyDescent="0.25">
      <c r="A50" t="s">
        <v>1274</v>
      </c>
      <c r="B50" t="s">
        <v>72</v>
      </c>
      <c r="K50" t="s">
        <v>1249</v>
      </c>
      <c r="L50" t="s">
        <v>1249</v>
      </c>
    </row>
    <row r="51" spans="1:13" x14ac:dyDescent="0.25">
      <c r="A51" t="s">
        <v>1275</v>
      </c>
      <c r="B51" t="s">
        <v>72</v>
      </c>
      <c r="K51" t="s">
        <v>1249</v>
      </c>
      <c r="L51" t="s">
        <v>1249</v>
      </c>
    </row>
    <row r="52" spans="1:13" x14ac:dyDescent="0.25">
      <c r="A52" t="s">
        <v>474</v>
      </c>
      <c r="B52" t="s">
        <v>76</v>
      </c>
      <c r="D52" t="s">
        <v>1249</v>
      </c>
      <c r="E52" t="s">
        <v>1249</v>
      </c>
      <c r="F52" t="s">
        <v>1249</v>
      </c>
      <c r="G52" t="s">
        <v>1249</v>
      </c>
      <c r="I52" t="s">
        <v>1249</v>
      </c>
    </row>
    <row r="53" spans="1:13" x14ac:dyDescent="0.25">
      <c r="A53" t="s">
        <v>1276</v>
      </c>
      <c r="B53" t="s">
        <v>76</v>
      </c>
      <c r="D53" t="s">
        <v>1249</v>
      </c>
      <c r="E53" t="s">
        <v>1249</v>
      </c>
      <c r="F53" t="s">
        <v>1249</v>
      </c>
      <c r="G53" t="s">
        <v>1249</v>
      </c>
      <c r="I53" t="s">
        <v>1249</v>
      </c>
    </row>
    <row r="54" spans="1:13" x14ac:dyDescent="0.25">
      <c r="A54" t="s">
        <v>1277</v>
      </c>
      <c r="B54" t="s">
        <v>22</v>
      </c>
      <c r="I54" t="s">
        <v>1249</v>
      </c>
      <c r="K54" t="s">
        <v>1249</v>
      </c>
      <c r="L54" t="s">
        <v>1249</v>
      </c>
      <c r="M54" t="s">
        <v>1249</v>
      </c>
    </row>
    <row r="55" spans="1:13" x14ac:dyDescent="0.25">
      <c r="A55" t="s">
        <v>1278</v>
      </c>
      <c r="B55" t="s">
        <v>76</v>
      </c>
      <c r="D55" t="s">
        <v>1249</v>
      </c>
      <c r="E55" t="s">
        <v>1249</v>
      </c>
      <c r="F55" t="s">
        <v>1249</v>
      </c>
      <c r="H55" t="s">
        <v>1249</v>
      </c>
    </row>
    <row r="56" spans="1:13" x14ac:dyDescent="0.25">
      <c r="A56" t="s">
        <v>597</v>
      </c>
      <c r="B56" t="s">
        <v>76</v>
      </c>
      <c r="D56" t="s">
        <v>1249</v>
      </c>
      <c r="E56" t="s">
        <v>1249</v>
      </c>
      <c r="F56" t="s">
        <v>1249</v>
      </c>
      <c r="G56" t="s">
        <v>1249</v>
      </c>
      <c r="I56" t="s">
        <v>1249</v>
      </c>
    </row>
    <row r="57" spans="1:13" x14ac:dyDescent="0.25">
      <c r="A57" t="s">
        <v>1279</v>
      </c>
      <c r="B57" t="s">
        <v>129</v>
      </c>
      <c r="J57" t="s">
        <v>1249</v>
      </c>
    </row>
    <row r="58" spans="1:13" x14ac:dyDescent="0.25">
      <c r="A58" t="s">
        <v>329</v>
      </c>
      <c r="B58" t="s">
        <v>72</v>
      </c>
      <c r="D58" t="s">
        <v>1249</v>
      </c>
      <c r="G58" t="s">
        <v>1249</v>
      </c>
    </row>
    <row r="59" spans="1:13" x14ac:dyDescent="0.25">
      <c r="A59" t="s">
        <v>1280</v>
      </c>
      <c r="B59" t="s">
        <v>72</v>
      </c>
      <c r="D59" t="s">
        <v>1249</v>
      </c>
      <c r="G59" t="s">
        <v>1249</v>
      </c>
      <c r="K59" t="s">
        <v>1249</v>
      </c>
      <c r="L59" t="s">
        <v>1249</v>
      </c>
    </row>
    <row r="60" spans="1:13" x14ac:dyDescent="0.25">
      <c r="A60" t="s">
        <v>111</v>
      </c>
      <c r="B60" t="s">
        <v>76</v>
      </c>
      <c r="D60" t="s">
        <v>1249</v>
      </c>
      <c r="E60" t="s">
        <v>1249</v>
      </c>
      <c r="F60" t="s">
        <v>1249</v>
      </c>
      <c r="G60" t="s">
        <v>1249</v>
      </c>
      <c r="I60" t="s">
        <v>1249</v>
      </c>
    </row>
    <row r="61" spans="1:13" x14ac:dyDescent="0.25">
      <c r="A61" t="s">
        <v>1281</v>
      </c>
      <c r="B61" t="s">
        <v>22</v>
      </c>
      <c r="D61" t="s">
        <v>1249</v>
      </c>
      <c r="E61" t="s">
        <v>1249</v>
      </c>
      <c r="H61" t="s">
        <v>1249</v>
      </c>
    </row>
    <row r="62" spans="1:13" x14ac:dyDescent="0.25">
      <c r="A62" t="s">
        <v>1282</v>
      </c>
      <c r="B62" t="s">
        <v>22</v>
      </c>
      <c r="D62" t="s">
        <v>1249</v>
      </c>
      <c r="E62" t="s">
        <v>1249</v>
      </c>
      <c r="H62" t="s">
        <v>1249</v>
      </c>
    </row>
    <row r="63" spans="1:13" x14ac:dyDescent="0.25">
      <c r="A63" t="s">
        <v>1283</v>
      </c>
      <c r="B63" t="s">
        <v>22</v>
      </c>
      <c r="K63" t="s">
        <v>1249</v>
      </c>
      <c r="L63" t="s">
        <v>1249</v>
      </c>
    </row>
    <row r="64" spans="1:13" x14ac:dyDescent="0.25">
      <c r="A64" t="s">
        <v>151</v>
      </c>
      <c r="B64" t="s">
        <v>72</v>
      </c>
      <c r="K64" t="s">
        <v>1249</v>
      </c>
      <c r="L64" t="s">
        <v>1249</v>
      </c>
    </row>
    <row r="65" spans="1:12" x14ac:dyDescent="0.25">
      <c r="A65" t="s">
        <v>145</v>
      </c>
      <c r="B65" t="s">
        <v>22</v>
      </c>
      <c r="J65" t="s">
        <v>1249</v>
      </c>
      <c r="K65" t="s">
        <v>1249</v>
      </c>
      <c r="L65" t="s">
        <v>1249</v>
      </c>
    </row>
    <row r="66" spans="1:12" x14ac:dyDescent="0.25">
      <c r="A66" t="s">
        <v>1284</v>
      </c>
      <c r="B66" t="s">
        <v>22</v>
      </c>
      <c r="F66" t="s">
        <v>1249</v>
      </c>
      <c r="H66" t="s">
        <v>1249</v>
      </c>
    </row>
    <row r="67" spans="1:12" x14ac:dyDescent="0.25">
      <c r="A67" t="s">
        <v>97</v>
      </c>
      <c r="B67" t="s">
        <v>76</v>
      </c>
      <c r="D67" t="s">
        <v>1249</v>
      </c>
      <c r="E67" t="s">
        <v>1249</v>
      </c>
      <c r="F67" t="s">
        <v>1249</v>
      </c>
      <c r="G67" t="s">
        <v>1249</v>
      </c>
      <c r="I67" t="s">
        <v>1249</v>
      </c>
    </row>
    <row r="68" spans="1:12" x14ac:dyDescent="0.25">
      <c r="A68" t="s">
        <v>567</v>
      </c>
      <c r="B68" t="s">
        <v>22</v>
      </c>
      <c r="D68" t="s">
        <v>1249</v>
      </c>
      <c r="E68" t="s">
        <v>1249</v>
      </c>
      <c r="F68" t="s">
        <v>1249</v>
      </c>
      <c r="G68" t="s">
        <v>1249</v>
      </c>
      <c r="I68" t="s">
        <v>1249</v>
      </c>
    </row>
    <row r="69" spans="1:12" x14ac:dyDescent="0.25">
      <c r="A69" t="s">
        <v>1285</v>
      </c>
      <c r="B69" t="s">
        <v>22</v>
      </c>
      <c r="H69" t="s">
        <v>1249</v>
      </c>
    </row>
    <row r="70" spans="1:12" x14ac:dyDescent="0.25">
      <c r="A70" t="s">
        <v>91</v>
      </c>
      <c r="B70" t="s">
        <v>22</v>
      </c>
      <c r="D70" t="s">
        <v>1249</v>
      </c>
      <c r="E70" t="s">
        <v>1249</v>
      </c>
      <c r="F70" t="s">
        <v>1249</v>
      </c>
      <c r="G70" t="s">
        <v>1249</v>
      </c>
      <c r="I70" t="s">
        <v>1249</v>
      </c>
    </row>
    <row r="71" spans="1:12" x14ac:dyDescent="0.25">
      <c r="A71" t="s">
        <v>1286</v>
      </c>
      <c r="B71" t="s">
        <v>22</v>
      </c>
      <c r="J71" t="s">
        <v>1249</v>
      </c>
    </row>
    <row r="72" spans="1:12" x14ac:dyDescent="0.25">
      <c r="A72" t="s">
        <v>1287</v>
      </c>
      <c r="B72" t="s">
        <v>22</v>
      </c>
      <c r="D72" t="s">
        <v>1249</v>
      </c>
      <c r="E72" t="s">
        <v>1249</v>
      </c>
      <c r="F72" t="s">
        <v>1249</v>
      </c>
      <c r="G72" t="s">
        <v>1249</v>
      </c>
      <c r="I72" t="s">
        <v>1249</v>
      </c>
    </row>
    <row r="73" spans="1:12" x14ac:dyDescent="0.25">
      <c r="A73" t="s">
        <v>1288</v>
      </c>
      <c r="B73" t="s">
        <v>22</v>
      </c>
      <c r="D73" t="s">
        <v>1249</v>
      </c>
      <c r="E73" t="s">
        <v>1249</v>
      </c>
      <c r="F73" t="s">
        <v>1249</v>
      </c>
      <c r="G73" t="s">
        <v>1249</v>
      </c>
      <c r="I73" t="s">
        <v>1249</v>
      </c>
    </row>
    <row r="74" spans="1:12" x14ac:dyDescent="0.25">
      <c r="A74" t="s">
        <v>78</v>
      </c>
      <c r="B74" t="s">
        <v>76</v>
      </c>
      <c r="D74" t="s">
        <v>1249</v>
      </c>
      <c r="E74" t="s">
        <v>1249</v>
      </c>
      <c r="F74" t="s">
        <v>1249</v>
      </c>
      <c r="G74" t="s">
        <v>1249</v>
      </c>
      <c r="I74" t="s">
        <v>1249</v>
      </c>
    </row>
    <row r="75" spans="1:12" x14ac:dyDescent="0.25">
      <c r="A75" t="s">
        <v>1289</v>
      </c>
      <c r="B75" t="s">
        <v>76</v>
      </c>
      <c r="D75" t="s">
        <v>1249</v>
      </c>
      <c r="E75" t="s">
        <v>1249</v>
      </c>
      <c r="F75" t="s">
        <v>1249</v>
      </c>
      <c r="G75" t="s">
        <v>1249</v>
      </c>
      <c r="H75" t="s">
        <v>1249</v>
      </c>
      <c r="I75" t="s">
        <v>1249</v>
      </c>
    </row>
    <row r="76" spans="1:12" x14ac:dyDescent="0.25">
      <c r="A76" t="s">
        <v>108</v>
      </c>
      <c r="B76" t="s">
        <v>22</v>
      </c>
      <c r="D76" t="s">
        <v>1249</v>
      </c>
      <c r="E76" t="s">
        <v>1249</v>
      </c>
      <c r="F76" t="s">
        <v>1249</v>
      </c>
      <c r="G76" t="s">
        <v>1249</v>
      </c>
      <c r="I76" t="s">
        <v>1249</v>
      </c>
    </row>
    <row r="77" spans="1:12" x14ac:dyDescent="0.25">
      <c r="A77" t="s">
        <v>1290</v>
      </c>
      <c r="B77" t="s">
        <v>76</v>
      </c>
      <c r="D77" t="s">
        <v>1249</v>
      </c>
      <c r="E77" t="s">
        <v>1249</v>
      </c>
      <c r="F77" t="s">
        <v>1249</v>
      </c>
      <c r="G77" t="s">
        <v>1249</v>
      </c>
      <c r="I77" t="s">
        <v>1249</v>
      </c>
    </row>
    <row r="78" spans="1:12" x14ac:dyDescent="0.25">
      <c r="A78" t="s">
        <v>1291</v>
      </c>
      <c r="B78" t="s">
        <v>76</v>
      </c>
      <c r="D78" t="s">
        <v>1249</v>
      </c>
      <c r="E78" t="s">
        <v>1249</v>
      </c>
      <c r="F78" t="s">
        <v>1249</v>
      </c>
      <c r="G78" t="s">
        <v>1249</v>
      </c>
      <c r="I78" t="s">
        <v>1249</v>
      </c>
    </row>
    <row r="79" spans="1:12" x14ac:dyDescent="0.25">
      <c r="A79" t="s">
        <v>104</v>
      </c>
      <c r="B79" t="s">
        <v>22</v>
      </c>
      <c r="I79" t="s">
        <v>1249</v>
      </c>
    </row>
    <row r="80" spans="1:12" x14ac:dyDescent="0.25">
      <c r="A80" t="s">
        <v>1292</v>
      </c>
      <c r="B80" t="s">
        <v>28</v>
      </c>
      <c r="D80" t="s">
        <v>1249</v>
      </c>
      <c r="E80" t="s">
        <v>1249</v>
      </c>
      <c r="F80" t="s">
        <v>1249</v>
      </c>
      <c r="G80" t="s">
        <v>1249</v>
      </c>
      <c r="I80" t="s">
        <v>1249</v>
      </c>
    </row>
    <row r="81" spans="1:13" x14ac:dyDescent="0.25">
      <c r="A81" t="s">
        <v>69</v>
      </c>
      <c r="B81" t="s">
        <v>76</v>
      </c>
      <c r="D81" t="s">
        <v>1249</v>
      </c>
      <c r="G81" t="s">
        <v>1249</v>
      </c>
    </row>
    <row r="82" spans="1:13" x14ac:dyDescent="0.25">
      <c r="A82" t="s">
        <v>1293</v>
      </c>
      <c r="B82" t="s">
        <v>22</v>
      </c>
      <c r="D82" t="s">
        <v>1249</v>
      </c>
      <c r="E82" t="s">
        <v>1249</v>
      </c>
      <c r="F82" t="s">
        <v>1249</v>
      </c>
      <c r="G82" t="s">
        <v>1249</v>
      </c>
      <c r="I82" t="s">
        <v>1249</v>
      </c>
    </row>
    <row r="83" spans="1:13" x14ac:dyDescent="0.25">
      <c r="A83" t="s">
        <v>1294</v>
      </c>
      <c r="B83" t="s">
        <v>76</v>
      </c>
      <c r="F83" t="s">
        <v>1249</v>
      </c>
      <c r="H83" t="s">
        <v>1249</v>
      </c>
    </row>
    <row r="84" spans="1:13" x14ac:dyDescent="0.25">
      <c r="A84" t="s">
        <v>122</v>
      </c>
      <c r="B84" t="s">
        <v>22</v>
      </c>
      <c r="H84" t="s">
        <v>1249</v>
      </c>
    </row>
    <row r="85" spans="1:13" x14ac:dyDescent="0.25">
      <c r="A85" t="s">
        <v>1295</v>
      </c>
      <c r="B85" t="s">
        <v>22</v>
      </c>
      <c r="H85" t="s">
        <v>1249</v>
      </c>
    </row>
    <row r="86" spans="1:13" x14ac:dyDescent="0.25">
      <c r="A86" t="s">
        <v>1296</v>
      </c>
      <c r="B86" t="s">
        <v>22</v>
      </c>
      <c r="F86" t="s">
        <v>1249</v>
      </c>
      <c r="H86" t="s">
        <v>1249</v>
      </c>
    </row>
    <row r="87" spans="1:13" x14ac:dyDescent="0.25">
      <c r="A87" t="s">
        <v>1297</v>
      </c>
      <c r="B87" t="s">
        <v>22</v>
      </c>
      <c r="F87" t="s">
        <v>1249</v>
      </c>
      <c r="H87" t="s">
        <v>1249</v>
      </c>
    </row>
    <row r="88" spans="1:13" x14ac:dyDescent="0.25">
      <c r="A88" t="s">
        <v>1298</v>
      </c>
      <c r="B88" t="s">
        <v>22</v>
      </c>
      <c r="F88" t="s">
        <v>1249</v>
      </c>
      <c r="H88" t="s">
        <v>1249</v>
      </c>
    </row>
    <row r="89" spans="1:13" x14ac:dyDescent="0.25">
      <c r="A89" t="s">
        <v>1299</v>
      </c>
      <c r="B89" t="s">
        <v>52</v>
      </c>
      <c r="J89" t="s">
        <v>1249</v>
      </c>
    </row>
    <row r="90" spans="1:13" x14ac:dyDescent="0.25">
      <c r="A90" t="s">
        <v>1300</v>
      </c>
      <c r="B90" t="s">
        <v>52</v>
      </c>
      <c r="J90" t="s">
        <v>1249</v>
      </c>
    </row>
    <row r="91" spans="1:13" x14ac:dyDescent="0.25">
      <c r="A91" t="s">
        <v>1301</v>
      </c>
      <c r="B91" t="s">
        <v>52</v>
      </c>
      <c r="J91" t="s">
        <v>1249</v>
      </c>
    </row>
    <row r="92" spans="1:13" x14ac:dyDescent="0.25">
      <c r="A92" t="s">
        <v>1302</v>
      </c>
      <c r="B92" t="s">
        <v>52</v>
      </c>
      <c r="J92" t="s">
        <v>1249</v>
      </c>
    </row>
    <row r="93" spans="1:13" x14ac:dyDescent="0.25">
      <c r="A93" t="s">
        <v>1303</v>
      </c>
      <c r="B93" t="s">
        <v>129</v>
      </c>
      <c r="J93" t="s">
        <v>1249</v>
      </c>
      <c r="M93" t="s">
        <v>1249</v>
      </c>
    </row>
    <row r="94" spans="1:13" x14ac:dyDescent="0.25">
      <c r="A94" t="s">
        <v>1304</v>
      </c>
      <c r="B94" t="s">
        <v>129</v>
      </c>
      <c r="J94" t="s">
        <v>1249</v>
      </c>
    </row>
    <row r="95" spans="1:13" x14ac:dyDescent="0.25">
      <c r="A95" t="s">
        <v>1305</v>
      </c>
      <c r="B95" t="s">
        <v>72</v>
      </c>
      <c r="I95" t="s">
        <v>1249</v>
      </c>
      <c r="K95" t="s">
        <v>1249</v>
      </c>
      <c r="L95" t="s">
        <v>1249</v>
      </c>
    </row>
    <row r="96" spans="1:13" x14ac:dyDescent="0.25">
      <c r="A96" t="s">
        <v>157</v>
      </c>
      <c r="B96" t="s">
        <v>22</v>
      </c>
      <c r="K96" t="s">
        <v>1249</v>
      </c>
      <c r="L96" t="s">
        <v>1249</v>
      </c>
    </row>
    <row r="97" spans="1:14" x14ac:dyDescent="0.25">
      <c r="A97" t="s">
        <v>1306</v>
      </c>
      <c r="B97" t="s">
        <v>22</v>
      </c>
      <c r="K97" t="s">
        <v>1249</v>
      </c>
      <c r="L97" t="s">
        <v>1249</v>
      </c>
    </row>
    <row r="98" spans="1:14" x14ac:dyDescent="0.25">
      <c r="A98" t="s">
        <v>1307</v>
      </c>
      <c r="B98" t="s">
        <v>22</v>
      </c>
      <c r="K98" t="s">
        <v>1249</v>
      </c>
    </row>
    <row r="99" spans="1:14" x14ac:dyDescent="0.25">
      <c r="A99" t="s">
        <v>1308</v>
      </c>
      <c r="B99" t="s">
        <v>72</v>
      </c>
      <c r="K99" t="s">
        <v>1249</v>
      </c>
      <c r="L99" t="s">
        <v>1249</v>
      </c>
    </row>
    <row r="100" spans="1:14" x14ac:dyDescent="0.25">
      <c r="A100" t="s">
        <v>1309</v>
      </c>
      <c r="B100" t="s">
        <v>22</v>
      </c>
      <c r="K100" t="s">
        <v>1249</v>
      </c>
      <c r="L100" t="s">
        <v>1249</v>
      </c>
    </row>
    <row r="101" spans="1:14" x14ac:dyDescent="0.25">
      <c r="A101" t="s">
        <v>1310</v>
      </c>
      <c r="B101" t="s">
        <v>72</v>
      </c>
      <c r="D101" t="s">
        <v>1249</v>
      </c>
      <c r="K101" t="s">
        <v>1249</v>
      </c>
      <c r="L101" t="s">
        <v>1249</v>
      </c>
    </row>
    <row r="102" spans="1:14" x14ac:dyDescent="0.25">
      <c r="A102" t="s">
        <v>1311</v>
      </c>
      <c r="B102" t="s">
        <v>22</v>
      </c>
      <c r="K102" t="s">
        <v>1249</v>
      </c>
    </row>
    <row r="103" spans="1:14" x14ac:dyDescent="0.25">
      <c r="A103" t="s">
        <v>1312</v>
      </c>
      <c r="B103" t="s">
        <v>22</v>
      </c>
      <c r="K103" t="s">
        <v>1249</v>
      </c>
      <c r="L103" t="s">
        <v>1249</v>
      </c>
    </row>
    <row r="104" spans="1:14" x14ac:dyDescent="0.25">
      <c r="A104" t="s">
        <v>1313</v>
      </c>
      <c r="B104" t="s">
        <v>72</v>
      </c>
      <c r="J104" t="s">
        <v>1249</v>
      </c>
      <c r="K104" t="s">
        <v>1249</v>
      </c>
      <c r="L104" t="s">
        <v>1249</v>
      </c>
    </row>
    <row r="105" spans="1:14" x14ac:dyDescent="0.25">
      <c r="A105" t="s">
        <v>1314</v>
      </c>
      <c r="B105" t="s">
        <v>28</v>
      </c>
      <c r="J105" t="s">
        <v>1249</v>
      </c>
    </row>
    <row r="106" spans="1:14" x14ac:dyDescent="0.25">
      <c r="A106" t="s">
        <v>1315</v>
      </c>
      <c r="B106" t="s">
        <v>129</v>
      </c>
      <c r="M106" t="s">
        <v>1249</v>
      </c>
    </row>
    <row r="107" spans="1:14" x14ac:dyDescent="0.25">
      <c r="A107" t="s">
        <v>1316</v>
      </c>
      <c r="B107" t="s">
        <v>129</v>
      </c>
      <c r="M107" t="s">
        <v>1249</v>
      </c>
    </row>
    <row r="108" spans="1:14" x14ac:dyDescent="0.25">
      <c r="A108" t="s">
        <v>1317</v>
      </c>
      <c r="B108" t="s">
        <v>76</v>
      </c>
      <c r="M108" t="s">
        <v>1249</v>
      </c>
    </row>
    <row r="109" spans="1:14" x14ac:dyDescent="0.25">
      <c r="A109" t="s">
        <v>1318</v>
      </c>
      <c r="B109" t="s">
        <v>22</v>
      </c>
      <c r="J109" t="s">
        <v>1249</v>
      </c>
    </row>
    <row r="110" spans="1:14" x14ac:dyDescent="0.25">
      <c r="A110" t="s">
        <v>1319</v>
      </c>
      <c r="B110" t="s">
        <v>22</v>
      </c>
      <c r="M110" t="s">
        <v>1249</v>
      </c>
    </row>
    <row r="111" spans="1:14" x14ac:dyDescent="0.25">
      <c r="A111" t="s">
        <v>1320</v>
      </c>
      <c r="B111" t="s">
        <v>22</v>
      </c>
      <c r="M111" t="s">
        <v>1249</v>
      </c>
    </row>
    <row r="112" spans="1:14" x14ac:dyDescent="0.25">
      <c r="A112" t="s">
        <v>1321</v>
      </c>
      <c r="N112" t="s">
        <v>1249</v>
      </c>
    </row>
    <row r="113" spans="1:14" x14ac:dyDescent="0.25">
      <c r="A113" t="s">
        <v>1322</v>
      </c>
      <c r="N113" t="s">
        <v>1249</v>
      </c>
    </row>
    <row r="114" spans="1:14" x14ac:dyDescent="0.25">
      <c r="A114" t="s">
        <v>1323</v>
      </c>
    </row>
    <row r="115" spans="1:14" x14ac:dyDescent="0.25">
      <c r="A115" t="s">
        <v>1323</v>
      </c>
    </row>
    <row r="116" spans="1:14" x14ac:dyDescent="0.25">
      <c r="A116" t="s">
        <v>1323</v>
      </c>
    </row>
    <row r="117" spans="1:14" x14ac:dyDescent="0.25">
      <c r="A117" t="s">
        <v>1323</v>
      </c>
    </row>
    <row r="118" spans="1:14" x14ac:dyDescent="0.25">
      <c r="A118" t="s">
        <v>1323</v>
      </c>
    </row>
    <row r="119" spans="1:14" x14ac:dyDescent="0.25">
      <c r="A119" t="s">
        <v>1323</v>
      </c>
    </row>
    <row r="120" spans="1:14" x14ac:dyDescent="0.25">
      <c r="A120" t="s">
        <v>1323</v>
      </c>
    </row>
    <row r="121" spans="1:14" x14ac:dyDescent="0.25">
      <c r="A121" t="s">
        <v>1323</v>
      </c>
    </row>
    <row r="122" spans="1:14" x14ac:dyDescent="0.25">
      <c r="A122" t="s">
        <v>1323</v>
      </c>
    </row>
  </sheetData>
  <sheetProtection algorithmName="SHA-512" hashValue="QYJ284FVVVrfOokyoRBm4BniZ7hkHvZfSsKsEzpLD/ewvaFHXGSFRf6Z16aROe+C5UdIkz65ohUDctY2L/gf2Q==" saltValue="CGAnGwsroWSIGH2P5bfYxA==" spinCount="100000" sheet="1" formatCells="0" formatColumns="0" formatRows="0" insertColumns="0" insertRows="0" insertHyperlinks="0" deleteColumns="0" deleteRows="0" sort="0" autoFilter="0" pivotTables="0"/>
  <phoneticPr fontId="16" type="noConversion"/>
  <dataValidations count="2">
    <dataValidation type="list" allowBlank="1" showInputMessage="1" showErrorMessage="1" sqref="B2:B122" xr:uid="{7872E639-507E-4C64-AE51-863E4C73C725}">
      <formula1>$S$2:$S$7</formula1>
    </dataValidation>
    <dataValidation type="list" allowBlank="1" showInputMessage="1" showErrorMessage="1" sqref="C2:N122" xr:uid="{59F0D287-ACDE-42C6-8F91-78E22A7502AE}">
      <formula1>$R$2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FCCE-137D-47EB-A720-8772B1F3A552}">
  <dimension ref="A1:L39"/>
  <sheetViews>
    <sheetView workbookViewId="0">
      <selection activeCell="L23" sqref="L23"/>
    </sheetView>
  </sheetViews>
  <sheetFormatPr defaultRowHeight="15" x14ac:dyDescent="0.25"/>
  <cols>
    <col min="1" max="12" width="18.5703125" customWidth="1"/>
  </cols>
  <sheetData>
    <row r="1" spans="1:12" x14ac:dyDescent="0.25">
      <c r="A1" s="55" t="s">
        <v>1238</v>
      </c>
      <c r="B1" s="55" t="s">
        <v>1239</v>
      </c>
      <c r="C1" s="55" t="s">
        <v>1240</v>
      </c>
      <c r="D1" s="55" t="s">
        <v>1241</v>
      </c>
      <c r="E1" s="55" t="s">
        <v>1242</v>
      </c>
      <c r="F1" s="55" t="s">
        <v>1243</v>
      </c>
      <c r="G1" s="55" t="s">
        <v>1244</v>
      </c>
      <c r="H1" s="55" t="s">
        <v>1245</v>
      </c>
      <c r="I1" s="55" t="s">
        <v>1246</v>
      </c>
      <c r="J1" s="55" t="s">
        <v>1247</v>
      </c>
      <c r="K1" s="55" t="s">
        <v>168</v>
      </c>
      <c r="L1" s="56" t="s">
        <v>1235</v>
      </c>
    </row>
    <row r="2" spans="1:12" x14ac:dyDescent="0.25">
      <c r="A2" t="str" cm="1">
        <f t="array" ref="A2:A35">_xlfn._xlws.FILTER(Common_Defect_List!A:A,Common_Defect_List!C:C="Yes")</f>
        <v>Leak On Basin Plumbing</v>
      </c>
      <c r="B2" t="str" cm="1">
        <f t="array" ref="B2:B39">_xlfn._xlws.FILTER(Common_Defect_List!A:A,Common_Defect_List!D:D="Yes")</f>
        <v>Leak On Basin Plumbing</v>
      </c>
      <c r="C2" t="str" cm="1">
        <f t="array" ref="C2:C31">_xlfn._xlws.FILTER(Common_Defect_List!A:A,Common_Defect_List!E:E="Yes")</f>
        <v>Leak On Basin Plumbing</v>
      </c>
      <c r="D2" t="str" cm="1">
        <f t="array" ref="D2:D35">_xlfn._xlws.FILTER(Common_Defect_List!A:A,Common_Defect_List!F:F="Yes")</f>
        <v>Leak On Basin Plumbing</v>
      </c>
      <c r="E2" t="str" cm="1">
        <f t="array" ref="E2:E35">_xlfn._xlws.FILTER(Common_Defect_List!A:A,Common_Defect_List!G:G="Yes")</f>
        <v>Leak On Basin Plumbing</v>
      </c>
      <c r="F2" t="str" cm="1">
        <f t="array" ref="F2:F15">_xlfn._xlws.FILTER(Common_Defect_List!A:A,Common_Defect_List!H:H ="Yes")</f>
        <v>Junction Box Not Labeled</v>
      </c>
      <c r="G2" t="str" cm="1">
        <f t="array" ref="G2:G34">_xlfn._xlws.FILTER(Common_Defect_List!A:A,Common_Defect_List!I:I="Yes")</f>
        <v>Leak On Basin Plumbing</v>
      </c>
      <c r="H2" t="str" cm="1">
        <f t="array" ref="H2:H19">_xlfn._xlws.FILTER(Common_Defect_List!A:A,Common_Defect_List!J:J="Yes")</f>
        <v>Junction Box Not Labeled</v>
      </c>
      <c r="I2" t="str" cm="1">
        <f t="array" ref="I2:I26">_xlfn._xlws.FILTER(Common_Defect_List!A:A,Common_Defect_List!K:K="Yes")</f>
        <v>Junction Box Not Labeled</v>
      </c>
      <c r="J2" t="str" cm="1">
        <f t="array" ref="J2:J24">_xlfn._xlws.FILTER(Common_Defect_List!A:A,Common_Defect_List!L:L="Yes")</f>
        <v>Junction Box Not Labeled</v>
      </c>
      <c r="K2" t="str" cm="1">
        <f t="array" ref="K2:K11">_xlfn._xlws.FILTER(Common_Defect_List!A:A,Common_Defect_List!M:M="Yes")</f>
        <v>Junction Box Not Labeled</v>
      </c>
      <c r="L2" t="str" cm="1">
        <f t="array" ref="L2:L3">_xlfn._xlws.FILTER(Common_Defect_List!A:A,Common_Defect_List!N:N="Yes")</f>
        <v>Aircon Display Covers (Sf)</v>
      </c>
    </row>
    <row r="3" spans="1:12" x14ac:dyDescent="0.25">
      <c r="A3" t="str">
        <v>Basin Mixer Loose</v>
      </c>
      <c r="B3" t="str">
        <v>Basin Mixer Loose</v>
      </c>
      <c r="C3" t="str">
        <v>Basin Mixer Loose</v>
      </c>
      <c r="D3" t="str">
        <v>Basin Mixer Loose</v>
      </c>
      <c r="E3" t="str">
        <v>Basin Mixer Loose</v>
      </c>
      <c r="F3" t="str">
        <v>Strip Lights Not Working</v>
      </c>
      <c r="G3" t="str">
        <v>Basin Mixer Loose</v>
      </c>
      <c r="H3" t="str">
        <v>Strip Lights Not Working</v>
      </c>
      <c r="I3" t="str">
        <v>Ecu Not Labeled</v>
      </c>
      <c r="J3" t="str">
        <v>Ecu Not Labeled</v>
      </c>
      <c r="K3" t="str">
        <v>Strip Lights Not Working</v>
      </c>
      <c r="L3" t="str">
        <v>All Fire Extinguishers To Be Installed (Sf)</v>
      </c>
    </row>
    <row r="4" spans="1:12" x14ac:dyDescent="0.25">
      <c r="A4" t="str">
        <v>Basin Cross Plumbed</v>
      </c>
      <c r="B4" t="str">
        <v>Basin Cross Plumbed</v>
      </c>
      <c r="C4" t="str">
        <v>Basin Cross Plumbed</v>
      </c>
      <c r="D4" t="str">
        <v>Basin Cross Plumbed</v>
      </c>
      <c r="E4" t="str">
        <v>Basin Cross Plumbed</v>
      </c>
      <c r="F4" t="str">
        <v>Waste Tank Leaking</v>
      </c>
      <c r="G4" t="str">
        <v>Basin Cross Plumbed</v>
      </c>
      <c r="H4" t="str">
        <v>Mfd Not Showing Volts And Amps Of House Battery</v>
      </c>
      <c r="I4" t="str">
        <v>Topup Engine Fluids</v>
      </c>
      <c r="J4" t="str">
        <v>Topup Engine Fluids</v>
      </c>
      <c r="K4" t="str">
        <v>Speakers Not Working</v>
      </c>
    </row>
    <row r="5" spans="1:12" x14ac:dyDescent="0.25">
      <c r="A5" t="str">
        <v>Junction Box Not Labeled</v>
      </c>
      <c r="B5" t="str">
        <v>Junction Box Not Labeled</v>
      </c>
      <c r="C5" t="str">
        <v>Junction Box Not Labeled</v>
      </c>
      <c r="D5" t="str">
        <v>Junction Box Not Labeled</v>
      </c>
      <c r="E5" t="str">
        <v>Junction Box Not Labeled</v>
      </c>
      <c r="F5" t="str">
        <v>High Level Float Not Working</v>
      </c>
      <c r="G5" t="str">
        <v>Junction Box Not Labeled</v>
      </c>
      <c r="H5" t="str">
        <v>Autopilot Cross Wired</v>
      </c>
      <c r="I5" t="str">
        <v>Fuel Prefilter Pipe Clamps Loose</v>
      </c>
      <c r="J5" t="str">
        <v>Fuel Prefilter Pipe Clamps Loose</v>
      </c>
      <c r="K5" t="str">
        <v>Touch Light Not Working</v>
      </c>
    </row>
    <row r="6" spans="1:12" x14ac:dyDescent="0.25">
      <c r="A6" t="str">
        <v>Strip Lights Not Working</v>
      </c>
      <c r="B6" t="str">
        <v>Strip Lights Not Working</v>
      </c>
      <c r="C6" t="str">
        <v>Strip Lights Not Working</v>
      </c>
      <c r="D6" t="str">
        <v>Strip Lights Not Working</v>
      </c>
      <c r="E6" t="str">
        <v>Strip Lights Not Working</v>
      </c>
      <c r="F6" t="str">
        <v>Low Level Float Not Working</v>
      </c>
      <c r="G6" t="str">
        <v>Strip Lights Not Working</v>
      </c>
      <c r="H6" t="str">
        <v>Speakers Not Working</v>
      </c>
      <c r="I6" t="str">
        <v>Expansion Tank Pipe Clamps Loose</v>
      </c>
      <c r="J6" t="str">
        <v>Expansion Tank Pipe Clamps Loose</v>
      </c>
      <c r="K6" t="str">
        <v>Jammer Labels Not Fitted</v>
      </c>
    </row>
    <row r="7" spans="1:12" x14ac:dyDescent="0.25">
      <c r="A7" t="str">
        <v>Inverter Not Programmed On Acdc</v>
      </c>
      <c r="B7" t="str">
        <v>Aircon Switching On Wrong Pump</v>
      </c>
      <c r="C7" t="str">
        <v>Shower Mixer Loose</v>
      </c>
      <c r="D7" t="str">
        <v>Aircon Switching On Wrong Pump</v>
      </c>
      <c r="E7" t="str">
        <v>Aircon Switching On Wrong Pump</v>
      </c>
      <c r="F7" t="str">
        <v>Aircon Pump Not Working</v>
      </c>
      <c r="G7" t="str">
        <v>Watermaker Not Wired</v>
      </c>
      <c r="H7" t="str">
        <v>Swim Ladder Bolts Loose</v>
      </c>
      <c r="I7" t="str">
        <v>Morse Control Splitpins Not Properly Bent Open</v>
      </c>
      <c r="J7" t="str">
        <v>Morse Control Splitpins Not Properly Bent Open</v>
      </c>
      <c r="K7" t="str">
        <v>Pulleys And Rope Painter Needs To Be Installed</v>
      </c>
    </row>
    <row r="8" spans="1:12" x14ac:dyDescent="0.25">
      <c r="A8" t="str">
        <v>Inverter Alarm Not Working</v>
      </c>
      <c r="B8" t="str">
        <v>Aircon Not Working</v>
      </c>
      <c r="C8" t="str">
        <v>Debree In Water Tank</v>
      </c>
      <c r="D8" t="str">
        <v>Aircon Not Working</v>
      </c>
      <c r="E8" t="str">
        <v>Aircon Not Working</v>
      </c>
      <c r="F8" t="str">
        <v>Touchlight In High Voltage Locker Not Working</v>
      </c>
      <c r="G8" t="str">
        <v>Aircon Switching On Wrong Pump</v>
      </c>
      <c r="H8" t="str">
        <v>Davit Skew</v>
      </c>
      <c r="I8" t="str">
        <v>Loose L-Bracket On Starter Motor</v>
      </c>
      <c r="J8" t="str">
        <v>Loose L-Bracket On Starter Motor</v>
      </c>
      <c r="K8" t="str">
        <v>Boom Labels Needs To Be Fitted</v>
      </c>
    </row>
    <row r="9" spans="1:12" x14ac:dyDescent="0.25">
      <c r="A9" t="str">
        <v>Watermaker Not Wired</v>
      </c>
      <c r="B9" t="str">
        <v>Aircon Not Draining</v>
      </c>
      <c r="C9" t="str">
        <v>Toilet Seat Loose</v>
      </c>
      <c r="D9" t="str">
        <v>Aircon Not Draining</v>
      </c>
      <c r="E9" t="str">
        <v>Aircon Not Draining</v>
      </c>
      <c r="F9" t="str">
        <v>Shower Leaking Into Bilge</v>
      </c>
      <c r="G9" t="str">
        <v>Aircon Not Working</v>
      </c>
      <c r="H9" t="str">
        <v>Battery Link Not Working</v>
      </c>
      <c r="I9" t="str">
        <v>Steering Cable Loose</v>
      </c>
      <c r="J9" t="str">
        <v>Steering Cable Loose</v>
      </c>
      <c r="K9" t="str">
        <v>Oven Gas Shutoff Label Not Fitted</v>
      </c>
    </row>
    <row r="10" spans="1:12" x14ac:dyDescent="0.25">
      <c r="A10" t="str">
        <v>Loose Wires Behind Acdc</v>
      </c>
      <c r="B10" t="str">
        <v>Incomplete Wiring On Db</v>
      </c>
      <c r="C10" t="str">
        <v>Water Tank Brace Loose</v>
      </c>
      <c r="D10" t="str">
        <v>Shower Mixer Loose</v>
      </c>
      <c r="E10" t="str">
        <v>Incomplete Wiring On Db</v>
      </c>
      <c r="F10" t="str">
        <v>Aircon Pump Pipes Leaking</v>
      </c>
      <c r="G10" t="str">
        <v>Aircon Not Draining</v>
      </c>
      <c r="H10" t="str">
        <v>Vhf Wire Not Pulled Through</v>
      </c>
      <c r="I10" t="str">
        <v>Missing Labels At Filters Outboard</v>
      </c>
      <c r="J10" t="str">
        <v>Missing Labels At Filters Outboard</v>
      </c>
      <c r="K10" t="str">
        <v>Genset Breaker Not Labeled</v>
      </c>
    </row>
    <row r="11" spans="1:12" x14ac:dyDescent="0.25">
      <c r="A11" t="str">
        <v>Bilge Override Lights Not Working</v>
      </c>
      <c r="B11" t="str">
        <v>Shower Mixer Loose</v>
      </c>
      <c r="C11" t="str">
        <v>Toilet Roll Holder Loose</v>
      </c>
      <c r="D11" t="str">
        <v>Toilet Seat Loose</v>
      </c>
      <c r="E11" t="str">
        <v>Shower Mixer Loose</v>
      </c>
      <c r="F11" t="str">
        <v>Inverter Fans Not Working</v>
      </c>
      <c r="G11" t="str">
        <v>Incomplete Wiring On Db</v>
      </c>
      <c r="H11" t="str">
        <v>Hin Number Incorrect</v>
      </c>
      <c r="I11" t="str">
        <v>Missing Label On Battery</v>
      </c>
      <c r="J11" t="str">
        <v>Missing Label On Battery</v>
      </c>
      <c r="K11" t="str">
        <v>Gas Solenoid Not Wired</v>
      </c>
    </row>
    <row r="12" spans="1:12" x14ac:dyDescent="0.25">
      <c r="A12" t="str">
        <v>Filter Tap Fitted Wrong (Too Tight)</v>
      </c>
      <c r="B12" t="str">
        <v>Debree In Water Tank</v>
      </c>
      <c r="C12" t="str">
        <v>Shower Sump Not Working</v>
      </c>
      <c r="D12" t="str">
        <v>Toilet Roll Holder Loose</v>
      </c>
      <c r="E12" t="str">
        <v>Debree In Water Tank</v>
      </c>
      <c r="F12" t="str">
        <v>Inverter Touch Light Not Working</v>
      </c>
      <c r="G12" t="str">
        <v>Shower Mixer Loose</v>
      </c>
      <c r="H12" t="str">
        <v>Hin Number Sticker Not Fitted</v>
      </c>
      <c r="I12" t="str">
        <v>Touch Light Not Working</v>
      </c>
      <c r="J12" t="str">
        <v>Touch Light Not Working</v>
      </c>
    </row>
    <row r="13" spans="1:12" x14ac:dyDescent="0.25">
      <c r="A13" t="str">
        <v>Galley Fridge Not Working</v>
      </c>
      <c r="B13" t="str">
        <v>Toilet Seat Loose</v>
      </c>
      <c r="C13" t="str">
        <v>Shower Rose Leaking</v>
      </c>
      <c r="D13" t="str">
        <v>Shower Sump Not Working</v>
      </c>
      <c r="E13" t="str">
        <v>Toilet Seat Loose</v>
      </c>
      <c r="F13" t="str">
        <v>Aircon Connection Box Not Labeled</v>
      </c>
      <c r="G13" t="str">
        <v>Toilet Seat Loose</v>
      </c>
      <c r="H13" t="str">
        <v>Shore Power Label Not Fitted</v>
      </c>
      <c r="I13" t="str">
        <v>Fuel Clamps Loose At Bulkhead</v>
      </c>
      <c r="J13" t="str">
        <v>Fuel Clamps Loose At Bulkhead</v>
      </c>
    </row>
    <row r="14" spans="1:12" x14ac:dyDescent="0.25">
      <c r="A14" t="str">
        <v>Genset Isolator Switch Not Mounted</v>
      </c>
      <c r="B14" t="str">
        <v>Water Tank Brace Loose</v>
      </c>
      <c r="C14" t="str">
        <v>Shower Mixer Leaking</v>
      </c>
      <c r="D14" t="str">
        <v>Shower Rose Leaking</v>
      </c>
      <c r="E14" t="str">
        <v>Water Tank Brace Loose</v>
      </c>
      <c r="F14" t="str">
        <v>Aircon Box Incorrectly Wired</v>
      </c>
      <c r="G14" t="str">
        <v>Toilet Roll Holder Loose</v>
      </c>
      <c r="H14" t="str">
        <v>R&amp;C Decal Label / Dome Tag</v>
      </c>
      <c r="I14" t="str">
        <v>Engine Fuse Not Covered</v>
      </c>
      <c r="J14" t="str">
        <v>Engine Fuse Not Covered</v>
      </c>
    </row>
    <row r="15" spans="1:12" x14ac:dyDescent="0.25">
      <c r="A15" t="str">
        <v>2X Amplifiers Not Fitted</v>
      </c>
      <c r="B15" t="str">
        <v>Toilet Roll Holder Loose</v>
      </c>
      <c r="C15" t="str">
        <v>Waste Tank Leaking</v>
      </c>
      <c r="D15" t="str">
        <v>Shower Mixer Leaking</v>
      </c>
      <c r="E15" t="str">
        <v>Toilet Roll Holder Loose</v>
      </c>
      <c r="F15" t="str">
        <v>Missing Timmer Module For Aircon Relays</v>
      </c>
      <c r="G15" t="str">
        <v>Shower Sump Not Working</v>
      </c>
      <c r="H15" t="str">
        <v>Jammer Labels Not Fitted</v>
      </c>
      <c r="I15" t="str">
        <v>Morse Control Splitpins Not Properly Bent Open</v>
      </c>
      <c r="J15" t="str">
        <v>Morse Control Splitpins Not Properly Bent Open</v>
      </c>
    </row>
    <row r="16" spans="1:12" x14ac:dyDescent="0.25">
      <c r="A16" t="str">
        <v>Saloon Clear Plastic Db Cover Not Mounted</v>
      </c>
      <c r="B16" t="str">
        <v>Shower Sump Not Working</v>
      </c>
      <c r="C16" t="str">
        <v>Leak On Toilet Plumbing</v>
      </c>
      <c r="D16" t="str">
        <v>Waste Tank Leaking</v>
      </c>
      <c r="E16" t="str">
        <v>Shower Sump Not Working</v>
      </c>
      <c r="G16" t="str">
        <v>Shower Rose Leaking</v>
      </c>
      <c r="H16" t="str">
        <v>Raymic Fitting Upside Down</v>
      </c>
      <c r="I16" t="str">
        <v>Battery Link Not Working</v>
      </c>
      <c r="J16" t="str">
        <v>Battery Link Not Working</v>
      </c>
    </row>
    <row r="17" spans="1:10" x14ac:dyDescent="0.25">
      <c r="A17" t="str">
        <v>Table Top Not Installed</v>
      </c>
      <c r="B17" t="str">
        <v>Shower Rose Leaking</v>
      </c>
      <c r="C17" t="str">
        <v>Toilet Base Loose</v>
      </c>
      <c r="D17" t="str">
        <v>Leak On Toilet Plumbing</v>
      </c>
      <c r="E17" t="str">
        <v>Shower Rose Leaking</v>
      </c>
      <c r="G17" t="str">
        <v>Shower Mixer Leaking</v>
      </c>
      <c r="H17" t="str">
        <v>Engine Revs Do Not Align</v>
      </c>
      <c r="I17" t="str">
        <v>Battery Cover Not Fitted</v>
      </c>
      <c r="J17" t="str">
        <v>Battery Cover Not Fitted</v>
      </c>
    </row>
    <row r="18" spans="1:10" x14ac:dyDescent="0.25">
      <c r="A18" t="str">
        <v>Fire Blanket Not Fitted (Sf)</v>
      </c>
      <c r="B18" t="str">
        <v>Shower Mixer Leaking</v>
      </c>
      <c r="C18" t="str">
        <v>High Level Float Not Working</v>
      </c>
      <c r="D18" t="str">
        <v>Toilet Base Loose</v>
      </c>
      <c r="E18" t="str">
        <v>Shower Mixer Leaking</v>
      </c>
      <c r="G18" t="str">
        <v>Touch Light Not Working</v>
      </c>
      <c r="H18" t="str">
        <v>No Teak Steps To Coach Roof Fitted</v>
      </c>
      <c r="I18" t="str">
        <v>Ecu Not Labeled</v>
      </c>
      <c r="J18" t="str">
        <v>Ecu Not Labeled</v>
      </c>
    </row>
    <row r="19" spans="1:10" x14ac:dyDescent="0.25">
      <c r="A19" t="str">
        <v>House Batteries Not Booted</v>
      </c>
      <c r="B19" t="str">
        <v>Waste Tank Leaking</v>
      </c>
      <c r="C19" t="str">
        <v>Low Level Float Not Working</v>
      </c>
      <c r="D19" t="str">
        <v>Aircon Pump Not Working</v>
      </c>
      <c r="E19" t="str">
        <v>Leak On Toilet Plumbing</v>
      </c>
      <c r="G19" t="str">
        <v>Leak On Toilet Plumbing</v>
      </c>
      <c r="H19" t="str">
        <v>Mfd Needs To Be Updated</v>
      </c>
      <c r="I19" t="str">
        <v>Loose Wire On Starter Solenoid</v>
      </c>
      <c r="J19" t="str">
        <v>Loose Wire On Starter Solenoid</v>
      </c>
    </row>
    <row r="20" spans="1:10" x14ac:dyDescent="0.25">
      <c r="A20" t="str">
        <v>Mfd Not Showing Volts And Amps Of House Battery</v>
      </c>
      <c r="B20" t="str">
        <v>Leak On Toilet Plumbing</v>
      </c>
      <c r="C20" t="str">
        <v>Toilet Anti-Syphen Leaking</v>
      </c>
      <c r="D20" t="str">
        <v>Toilet Anti-Syphen Leaking</v>
      </c>
      <c r="E20" t="str">
        <v>Fuel Tank Brace Loose</v>
      </c>
      <c r="G20" t="str">
        <v>Toilet Base Loose</v>
      </c>
      <c r="I20" t="str">
        <v>Galvanic Isolator Wires Loose</v>
      </c>
      <c r="J20" t="str">
        <v>Steering Bar Laying On Raw Fibre Glass</v>
      </c>
    </row>
    <row r="21" spans="1:10" x14ac:dyDescent="0.25">
      <c r="A21" t="str">
        <v>Co2 Sensor Not Mounted</v>
      </c>
      <c r="B21" t="str">
        <v>Fuel Tank Brace Loose</v>
      </c>
      <c r="C21" t="str">
        <v>Toilet Fresh Water Solenoid Not Working</v>
      </c>
      <c r="D21" t="str">
        <v>Toilet Fresh Water Solenoid Not Working</v>
      </c>
      <c r="E21" t="str">
        <v>Fuel Clamps Loose At Bulkhead</v>
      </c>
      <c r="G21" t="str">
        <v>Toilet Anti-Syphen Leaking</v>
      </c>
      <c r="I21" t="str">
        <v>Steering Bar Laying On Raw Fibre Glass</v>
      </c>
      <c r="J21" t="str">
        <v>Alternator Negative Wire Not Connected</v>
      </c>
    </row>
    <row r="22" spans="1:10" x14ac:dyDescent="0.25">
      <c r="A22" t="str">
        <v>Autopilot Cross Wired</v>
      </c>
      <c r="B22" t="str">
        <v>Fuel Clamps Loose At Bulkhead</v>
      </c>
      <c r="C22" t="str">
        <v>Waste Tank Indicator Not Working</v>
      </c>
      <c r="D22" t="str">
        <v>Waste Tank Indicator Not Working</v>
      </c>
      <c r="E22" t="str">
        <v>Toilet Base Loose</v>
      </c>
      <c r="G22" t="str">
        <v>Toilet Fresh Water Solenoid Not Working</v>
      </c>
      <c r="I22" t="str">
        <v>Alternator Negative Wire Not Connected</v>
      </c>
      <c r="J22" t="str">
        <v>Morse Control Cables Are Badly Routed</v>
      </c>
    </row>
    <row r="23" spans="1:10" x14ac:dyDescent="0.25">
      <c r="A23" t="str">
        <v>Galley Fridge Compressor Loosely Mounted</v>
      </c>
      <c r="B23" t="str">
        <v>Toilet Base Loose</v>
      </c>
      <c r="C23" t="str">
        <v>Cabin Fan Not Working</v>
      </c>
      <c r="D23" t="str">
        <v>Cabin Fan Not Working</v>
      </c>
      <c r="E23" t="str">
        <v>Toilet Anti-Syphen Leaking</v>
      </c>
      <c r="G23" t="str">
        <v>Waste Tank Indicator Not Working</v>
      </c>
      <c r="I23" t="str">
        <v>Morse Control Cables Are Badly Routed</v>
      </c>
      <c r="J23" t="str">
        <v>Engine Harness Not Strapped Up</v>
      </c>
    </row>
    <row r="24" spans="1:10" x14ac:dyDescent="0.25">
      <c r="A24" t="str">
        <v>Saloon Tap Weight Mounted On Wrong Side Of Hose</v>
      </c>
      <c r="B24" t="str">
        <v>High Level Float Not Working</v>
      </c>
      <c r="C24" t="str">
        <v>Waste Tank Indicator Light Not Fitted</v>
      </c>
      <c r="D24" t="str">
        <v>Waste Tank Indicator Light Not Fitted</v>
      </c>
      <c r="E24" t="str">
        <v>Toilet Fresh Water Solenoid Not Working</v>
      </c>
      <c r="G24" t="str">
        <v>Cabin Fan Not Working</v>
      </c>
      <c r="I24" t="str">
        <v>Shore Power Breakers Not Labeled And No Rail Stopper</v>
      </c>
      <c r="J24" t="str">
        <v>Engine Revs Do Not Align</v>
      </c>
    </row>
    <row r="25" spans="1:10" x14ac:dyDescent="0.25">
      <c r="A25" t="str">
        <v>Telly Mute Not Working</v>
      </c>
      <c r="B25" t="str">
        <v>Low Level Float Not Working</v>
      </c>
      <c r="C25" t="str">
        <v>Missing Salt/Fresh Label At Toilet</v>
      </c>
      <c r="D25" t="str">
        <v>Missing Salt/Fresh Label At Toilet</v>
      </c>
      <c r="E25" t="str">
        <v>Waste Tank Indicator Not Working</v>
      </c>
      <c r="G25" t="str">
        <v>Waste Tank Indicator Light Not Fitted</v>
      </c>
      <c r="I25" t="str">
        <v>Engine Harness Not Strapped Up</v>
      </c>
    </row>
    <row r="26" spans="1:10" x14ac:dyDescent="0.25">
      <c r="A26" t="str">
        <v>Nmma Label Needs To Be Mounted</v>
      </c>
      <c r="B26" t="str">
        <v>Toilet Anti-Syphen Leaking</v>
      </c>
      <c r="C26" t="str">
        <v>Shower Leaking Into Bilge</v>
      </c>
      <c r="D26" t="str">
        <v>Shower Leaking Into Bilge</v>
      </c>
      <c r="E26" t="str">
        <v>Cabin Fan Not Working</v>
      </c>
      <c r="G26" t="str">
        <v>Missing Salt/Fresh Label At Toilet</v>
      </c>
      <c r="I26" t="str">
        <v>Engine Revs Do Not Align</v>
      </c>
    </row>
    <row r="27" spans="1:10" x14ac:dyDescent="0.25">
      <c r="A27" t="str">
        <v>Inverter Alarm Not Working</v>
      </c>
      <c r="B27" t="str">
        <v>Toilet Fresh Water Solenoid Not Working</v>
      </c>
      <c r="C27" t="str">
        <v>Toilet Salt/Fresh Is Cross Wired</v>
      </c>
      <c r="D27" t="str">
        <v>Toilet Salt/Fresh Is Cross Wired</v>
      </c>
      <c r="E27" t="str">
        <v>Waste Tank Indicator Light Not Fitted</v>
      </c>
      <c r="G27" t="str">
        <v>Shower Leaking Into Bilge</v>
      </c>
    </row>
    <row r="28" spans="1:10" x14ac:dyDescent="0.25">
      <c r="A28" t="str">
        <v>Aircon Switching On Wrong Pump</v>
      </c>
      <c r="B28" t="str">
        <v>Waste Tank Indicator Not Working</v>
      </c>
      <c r="C28" t="str">
        <v>Shower Head Leaking</v>
      </c>
      <c r="D28" t="str">
        <v>Shower Head Leaking</v>
      </c>
      <c r="E28" t="str">
        <v>Missing Salt/Fresh Label At Toilet</v>
      </c>
      <c r="G28" t="str">
        <v>Toilet Salt/Fresh Is Cross Wired</v>
      </c>
    </row>
    <row r="29" spans="1:10" x14ac:dyDescent="0.25">
      <c r="A29" t="str">
        <v>Incomplete Wiring Behind Acdc Panel</v>
      </c>
      <c r="B29" t="str">
        <v>Cabin Fan Not Working</v>
      </c>
      <c r="C29" t="str">
        <v>Toilet Flush Defective</v>
      </c>
      <c r="D29" t="str">
        <v>Toilet Flush Defective</v>
      </c>
      <c r="E29" t="str">
        <v>Shower Leaking Into Bilge</v>
      </c>
      <c r="G29" t="str">
        <v>Shower Head Leaking</v>
      </c>
    </row>
    <row r="30" spans="1:10" x14ac:dyDescent="0.25">
      <c r="A30" t="str">
        <v>Incomplete Wiring At Main Saloon Db</v>
      </c>
      <c r="B30" t="str">
        <v>Waste Tank Indicator Light Not Fitted</v>
      </c>
      <c r="C30" t="str">
        <v>Cabin Door Missing A Magnet Stopper</v>
      </c>
      <c r="D30" t="str">
        <v>Cabin Door Missing A Magnet Stopper</v>
      </c>
      <c r="E30" t="str">
        <v>Toilet Salt/Fresh Is Cross Wired</v>
      </c>
      <c r="G30" t="str">
        <v>Toilet Flush Defective</v>
      </c>
    </row>
    <row r="31" spans="1:10" x14ac:dyDescent="0.25">
      <c r="A31" t="str">
        <v>Aircon Not Working</v>
      </c>
      <c r="B31" t="str">
        <v>Missing Salt/Fresh Label At Toilet</v>
      </c>
      <c r="C31" t="str">
        <v>Toilet Flush Is Cross Wired</v>
      </c>
      <c r="D31" t="str">
        <v>Toilet Flush Is Cross Wired</v>
      </c>
      <c r="E31" t="str">
        <v>Shower Head Leaking</v>
      </c>
      <c r="G31" t="str">
        <v>Incorrect Wiring On Finder Relay For Genset</v>
      </c>
    </row>
    <row r="32" spans="1:10" x14ac:dyDescent="0.25">
      <c r="A32" t="str">
        <v>Saloon Door Needs To Be Set</v>
      </c>
      <c r="B32" t="str">
        <v>Shower Leaking Into Bilge</v>
      </c>
      <c r="D32" t="str">
        <v>Aircon Pump Pipes Leaking</v>
      </c>
      <c r="E32" t="str">
        <v>Toilet Flush Defective</v>
      </c>
      <c r="G32" t="str">
        <v>Cabin Door Missing A Magnet Stopper</v>
      </c>
    </row>
    <row r="33" spans="1:7" x14ac:dyDescent="0.25">
      <c r="A33" t="str">
        <v>Aircon Not Draining</v>
      </c>
      <c r="B33" t="str">
        <v>Toilet Salt/Fresh Is Cross Wired</v>
      </c>
      <c r="D33" t="str">
        <v>Aircon Connection Box Not Labeled</v>
      </c>
      <c r="E33" t="str">
        <v>Cabin Door Missing A Magnet Stopper</v>
      </c>
      <c r="G33" t="str">
        <v>Toilet Flush Is Cross Wired</v>
      </c>
    </row>
    <row r="34" spans="1:7" x14ac:dyDescent="0.25">
      <c r="A34" t="str">
        <v>Incomplete Wiring On Db</v>
      </c>
      <c r="B34" t="str">
        <v>Shower Head Leaking</v>
      </c>
      <c r="D34" t="str">
        <v>Aircon Box Incorrectly Wired</v>
      </c>
      <c r="E34" t="str">
        <v xml:space="preserve">Leak On Water Heater </v>
      </c>
      <c r="G34" t="str">
        <v>Battery Cover Not Fitted</v>
      </c>
    </row>
    <row r="35" spans="1:7" x14ac:dyDescent="0.25">
      <c r="A35" t="str">
        <v>Speakers Not Working</v>
      </c>
      <c r="B35" t="str">
        <v>Toilet Flush Defective</v>
      </c>
      <c r="D35" t="str">
        <v>Missing Timmer Module For Aircon Relays</v>
      </c>
      <c r="E35" t="str">
        <v>Toilet Flush Is Cross Wired</v>
      </c>
    </row>
    <row r="36" spans="1:7" x14ac:dyDescent="0.25">
      <c r="B36" t="str">
        <v>Cabin Door Missing A Magnet Stopper</v>
      </c>
    </row>
    <row r="37" spans="1:7" x14ac:dyDescent="0.25">
      <c r="B37" t="str">
        <v xml:space="preserve">Leak On Water Heater </v>
      </c>
    </row>
    <row r="38" spans="1:7" x14ac:dyDescent="0.25">
      <c r="B38" t="str">
        <v>Toilet Flush Is Cross Wired</v>
      </c>
    </row>
    <row r="39" spans="1:7" x14ac:dyDescent="0.25">
      <c r="B39" t="str">
        <v>Morse Control Cables Are Badly Routed</v>
      </c>
    </row>
  </sheetData>
  <sheetProtection algorithmName="SHA-512" hashValue="mDQKtk1r/hyt3EQF5J/alnlVWdBC5T5YcCscEqKwJMGZ7G7DbryxuEP/QF3EmcsQeg+G7P/IFVZ6nzlqEdRSXw==" saltValue="FvZARYsa9A+G8AW4xpK5e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07e67d-b446-430d-a922-21b91b73c4e1">
      <Terms xmlns="http://schemas.microsoft.com/office/infopath/2007/PartnerControls"/>
    </lcf76f155ced4ddcb4097134ff3c332f>
    <TaxCatchAll xmlns="15d6e59b-c691-4fab-8659-5869cd1019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975E0E614B234F9D2ED5E97693E0E2" ma:contentTypeVersion="19" ma:contentTypeDescription="Create a new document." ma:contentTypeScope="" ma:versionID="4452da2599a0ba2147d407d2ddd00403">
  <xsd:schema xmlns:xsd="http://www.w3.org/2001/XMLSchema" xmlns:xs="http://www.w3.org/2001/XMLSchema" xmlns:p="http://schemas.microsoft.com/office/2006/metadata/properties" xmlns:ns2="6207e67d-b446-430d-a922-21b91b73c4e1" xmlns:ns3="15d6e59b-c691-4fab-8659-5869cd1019f1" targetNamespace="http://schemas.microsoft.com/office/2006/metadata/properties" ma:root="true" ma:fieldsID="a5074ecf4d9cd6461ff1dd02ff8bce1e" ns2:_="" ns3:_="">
    <xsd:import namespace="6207e67d-b446-430d-a922-21b91b73c4e1"/>
    <xsd:import namespace="15d6e59b-c691-4fab-8659-5869cd101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7e67d-b446-430d-a922-21b91b73c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9e4958a-2245-4120-8a26-3d1bdfaee8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6e59b-c691-4fab-8659-5869cd101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43732a-5064-4d87-af9e-ed4491335983}" ma:internalName="TaxCatchAll" ma:showField="CatchAllData" ma:web="15d6e59b-c691-4fab-8659-5869cd101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A56F0-190F-4C82-A461-A7C7D7DF8565}">
  <ds:schemaRefs>
    <ds:schemaRef ds:uri="http://schemas.microsoft.com/office/2006/metadata/properties"/>
    <ds:schemaRef ds:uri="http://schemas.microsoft.com/office/infopath/2007/PartnerControls"/>
    <ds:schemaRef ds:uri="6207e67d-b446-430d-a922-21b91b73c4e1"/>
    <ds:schemaRef ds:uri="15d6e59b-c691-4fab-8659-5869cd1019f1"/>
  </ds:schemaRefs>
</ds:datastoreItem>
</file>

<file path=customXml/itemProps2.xml><?xml version="1.0" encoding="utf-8"?>
<ds:datastoreItem xmlns:ds="http://schemas.openxmlformats.org/officeDocument/2006/customXml" ds:itemID="{AAD13951-1741-4BC2-B43D-0F7518E193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B87B8-B898-4379-B85C-D2F7DD84D8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07e67d-b446-430d-a922-21b91b73c4e1"/>
    <ds:schemaRef ds:uri="15d6e59b-c691-4fab-8659-5869cd101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C1019</vt:lpstr>
      <vt:lpstr>C1018</vt:lpstr>
      <vt:lpstr>C1013</vt:lpstr>
      <vt:lpstr>C1017</vt:lpstr>
      <vt:lpstr>C1015</vt:lpstr>
      <vt:lpstr>C1012</vt:lpstr>
      <vt:lpstr>C1016</vt:lpstr>
      <vt:lpstr>C1010</vt:lpstr>
      <vt:lpstr>C1009</vt:lpstr>
      <vt:lpstr>C1008</vt:lpstr>
      <vt:lpstr>C1007</vt:lpstr>
      <vt:lpstr>C1006</vt:lpstr>
      <vt:lpstr>C1005</vt:lpstr>
      <vt:lpstr>C1004</vt:lpstr>
      <vt:lpstr>C1003</vt:lpstr>
      <vt:lpstr>Common_Defect_List</vt:lpstr>
      <vt:lpstr>Breakdown of areas</vt:lpstr>
      <vt:lpstr>'C1003'!Print_Area</vt:lpstr>
      <vt:lpstr>'C1004'!Print_Area</vt:lpstr>
      <vt:lpstr>'C1005'!Print_Area</vt:lpstr>
      <vt:lpstr>'C1006'!Print_Area</vt:lpstr>
      <vt:lpstr>'C1007'!Print_Area</vt:lpstr>
      <vt:lpstr>'C1008'!Print_Area</vt:lpstr>
      <vt:lpstr>'C1009'!Print_Area</vt:lpstr>
      <vt:lpstr>'C1010'!Print_Area</vt:lpstr>
      <vt:lpstr>'C1012'!Print_Area</vt:lpstr>
      <vt:lpstr>'C1013'!Print_Area</vt:lpstr>
      <vt:lpstr>'C1015'!Print_Area</vt:lpstr>
      <vt:lpstr>'C1016'!Print_Area</vt:lpstr>
      <vt:lpstr>'C1017'!Print_Area</vt:lpstr>
      <vt:lpstr>'C1018'!Print_Area</vt:lpstr>
      <vt:lpstr>'C1019'!Print_Area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Andries Van Veen</dc:creator>
  <cp:keywords/>
  <dc:description/>
  <cp:lastModifiedBy>Andries Van Veen</cp:lastModifiedBy>
  <cp:revision/>
  <cp:lastPrinted>2025-06-24T08:34:27Z</cp:lastPrinted>
  <dcterms:created xsi:type="dcterms:W3CDTF">2024-10-29T07:27:53Z</dcterms:created>
  <dcterms:modified xsi:type="dcterms:W3CDTF">2025-06-24T10:22:09Z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0x0101000A975E0E614B234F9D2ED5E97693E0E2</vt:lpwstr>
  </property>
  <property fmtid="{D5CDD505-2E9C-101B-9397-08002B2CF9AE}" pid="3" name="MediaServiceImageTags">
    <vt:lpwstr/>
  </property>
</Properties>
</file>